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gaysukum\Downloads\"/>
    </mc:Choice>
  </mc:AlternateContent>
  <xr:revisionPtr revIDLastSave="745" documentId="8_{91CBF59C-FEBE-4792-BF38-985743D71422}" xr6:coauthVersionLast="47" xr6:coauthVersionMax="47" xr10:uidLastSave="{DD88396C-3803-4E0D-8101-CA8DBEBC405D}"/>
  <bookViews>
    <workbookView xWindow="-110" yWindow="-110" windowWidth="19420" windowHeight="11500" firstSheet="3" activeTab="11" xr2:uid="{00000000-000D-0000-FFFF-FFFF00000000}"/>
  </bookViews>
  <sheets>
    <sheet name="Dashboard" sheetId="9" r:id="rId1"/>
    <sheet name="Revision History" sheetId="3" r:id="rId2"/>
    <sheet name="GGO Web" sheetId="18" r:id="rId3"/>
    <sheet name="MSB Web US" sheetId="17" r:id="rId4"/>
    <sheet name="MSB Mobile" sheetId="16" r:id="rId5"/>
    <sheet name="MSB DevServices" sheetId="15" r:id="rId6"/>
    <sheet name="MSB Accounting" sheetId="13" r:id="rId7"/>
    <sheet name="MSB Activities" sheetId="14" r:id="rId8"/>
    <sheet name="Sheet1" sheetId="19" r:id="rId9"/>
    <sheet name="MCS" sheetId="12" r:id="rId10"/>
    <sheet name="MealOrders-US" sheetId="11" r:id="rId11"/>
    <sheet name="FOH" sheetId="10" r:id="rId12"/>
    <sheet name="BOH" sheetId="8" r:id="rId13"/>
    <sheet name="Config" sheetId="4" r:id="rId14"/>
    <sheet name="Instructions" sheetId="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3" i="8" l="1"/>
  <c r="Q92" i="8"/>
  <c r="Q91" i="8"/>
  <c r="Q90" i="8"/>
  <c r="Q89" i="8"/>
  <c r="Q88" i="8"/>
  <c r="Q87" i="8"/>
  <c r="Q94" i="8" s="1"/>
  <c r="Q93" i="10"/>
  <c r="Q92" i="10"/>
  <c r="Q91" i="10"/>
  <c r="Q90" i="10"/>
  <c r="Q89" i="10"/>
  <c r="Q88" i="10"/>
  <c r="Q87" i="10"/>
  <c r="Q94" i="10" s="1"/>
  <c r="Q83" i="14"/>
  <c r="Q82" i="14"/>
  <c r="Q81" i="14"/>
  <c r="Q80" i="14"/>
  <c r="Q79" i="14"/>
  <c r="Q78" i="14"/>
  <c r="Q77" i="14"/>
  <c r="Q84" i="14" s="1"/>
  <c r="Q83" i="17"/>
  <c r="Q82" i="17"/>
  <c r="Q81" i="17"/>
  <c r="Q80" i="17"/>
  <c r="Q79" i="17"/>
  <c r="Q78" i="17"/>
  <c r="Q77" i="17"/>
  <c r="Q84" i="17" s="1"/>
  <c r="Q73" i="17"/>
  <c r="Q72" i="17"/>
  <c r="Q71" i="17"/>
  <c r="Q70" i="17"/>
  <c r="Q69" i="17"/>
  <c r="Q68" i="17"/>
  <c r="Q67" i="17"/>
  <c r="Q74" i="17" s="1"/>
  <c r="Q113" i="18"/>
  <c r="Q112" i="18"/>
  <c r="Q111" i="18"/>
  <c r="Q110" i="18"/>
  <c r="Q109" i="18"/>
  <c r="Q108" i="18"/>
  <c r="Q107" i="18"/>
  <c r="Q114" i="18" s="1"/>
  <c r="Q73" i="11"/>
  <c r="Q72" i="11"/>
  <c r="Q71" i="11"/>
  <c r="Q70" i="11"/>
  <c r="Q69" i="11"/>
  <c r="Q68" i="11"/>
  <c r="Q67" i="11"/>
  <c r="Q74" i="11" s="1"/>
  <c r="Q73" i="14"/>
  <c r="Q72" i="14"/>
  <c r="Q71" i="14"/>
  <c r="Q70" i="14"/>
  <c r="Q69" i="14"/>
  <c r="Q68" i="14"/>
  <c r="Q67" i="14"/>
  <c r="Q74" i="14" s="1"/>
  <c r="Q83" i="8"/>
  <c r="Q82" i="8"/>
  <c r="Q81" i="8"/>
  <c r="Q80" i="8"/>
  <c r="Q79" i="8"/>
  <c r="Q78" i="8"/>
  <c r="Q77" i="8"/>
  <c r="Q84" i="8" s="1"/>
  <c r="Q83" i="10"/>
  <c r="Q82" i="10"/>
  <c r="Q81" i="10"/>
  <c r="Q80" i="10"/>
  <c r="Q79" i="10"/>
  <c r="Q78" i="10"/>
  <c r="Q77" i="10"/>
  <c r="Q84" i="10" s="1"/>
  <c r="Q103" i="18"/>
  <c r="Q102" i="18"/>
  <c r="Q101" i="18"/>
  <c r="Q100" i="18"/>
  <c r="Q99" i="18"/>
  <c r="Q98" i="18"/>
  <c r="Q97" i="18"/>
  <c r="Q104" i="18" s="1"/>
  <c r="I47" i="14"/>
  <c r="I48" i="14"/>
  <c r="I49" i="14" s="1"/>
  <c r="Q63" i="14"/>
  <c r="Q62" i="14"/>
  <c r="Q61" i="14"/>
  <c r="Q60" i="14"/>
  <c r="Q59" i="14"/>
  <c r="Q58" i="14"/>
  <c r="Q57" i="14"/>
  <c r="Q64" i="14" s="1"/>
  <c r="Q93" i="18"/>
  <c r="Q92" i="18"/>
  <c r="Q91" i="18"/>
  <c r="Q90" i="18"/>
  <c r="Q89" i="18"/>
  <c r="Q88" i="18"/>
  <c r="Q87" i="18"/>
  <c r="Q94" i="18" s="1"/>
  <c r="Q63" i="11"/>
  <c r="Q62" i="11"/>
  <c r="Q61" i="11"/>
  <c r="Q60" i="11"/>
  <c r="Q59" i="11"/>
  <c r="Q58" i="11"/>
  <c r="Q57" i="11"/>
  <c r="Q64" i="11" s="1"/>
  <c r="Q33" i="13"/>
  <c r="Q32" i="13"/>
  <c r="Q31" i="13"/>
  <c r="Q30" i="13"/>
  <c r="Q29" i="13"/>
  <c r="Q28" i="13"/>
  <c r="Q27" i="13"/>
  <c r="Q34" i="13" s="1"/>
  <c r="Q63" i="17"/>
  <c r="Q62" i="17"/>
  <c r="Q61" i="17"/>
  <c r="Q60" i="17"/>
  <c r="Q59" i="17"/>
  <c r="Q58" i="17"/>
  <c r="Q57" i="17"/>
  <c r="Q64" i="17" s="1"/>
  <c r="Q73" i="8"/>
  <c r="Q72" i="8"/>
  <c r="Q71" i="8"/>
  <c r="Q70" i="8"/>
  <c r="Q69" i="8"/>
  <c r="Q68" i="8"/>
  <c r="Q67" i="8"/>
  <c r="Q74" i="8" s="1"/>
  <c r="Q73" i="10"/>
  <c r="Q72" i="10"/>
  <c r="Q71" i="10"/>
  <c r="Q70" i="10"/>
  <c r="Q69" i="10"/>
  <c r="Q68" i="10"/>
  <c r="Q67" i="10"/>
  <c r="Q74" i="10" s="1"/>
  <c r="Q53" i="14"/>
  <c r="Q52" i="14"/>
  <c r="Q51" i="14"/>
  <c r="Q50" i="14"/>
  <c r="Q49" i="14"/>
  <c r="Q48" i="14"/>
  <c r="Q47" i="14"/>
  <c r="Q54" i="14" s="1"/>
  <c r="Q83" i="18"/>
  <c r="Q82" i="18"/>
  <c r="Q81" i="18"/>
  <c r="Q80" i="18"/>
  <c r="Q79" i="18"/>
  <c r="Q78" i="18"/>
  <c r="Q77" i="18"/>
  <c r="Q84" i="18" s="1"/>
  <c r="Q73" i="18"/>
  <c r="Q72" i="18"/>
  <c r="Q71" i="18"/>
  <c r="Q70" i="18"/>
  <c r="Q69" i="18"/>
  <c r="Q68" i="18"/>
  <c r="Q67" i="18"/>
  <c r="Q74" i="18" s="1"/>
  <c r="Q63" i="18"/>
  <c r="Q62" i="18"/>
  <c r="Q61" i="18"/>
  <c r="Q60" i="18"/>
  <c r="Q59" i="18"/>
  <c r="Q58" i="18"/>
  <c r="Q57" i="18"/>
  <c r="Q64" i="18" s="1"/>
  <c r="Q63" i="10"/>
  <c r="Q62" i="10"/>
  <c r="Q61" i="10"/>
  <c r="Q60" i="10"/>
  <c r="Q59" i="10"/>
  <c r="Q58" i="10"/>
  <c r="Q57" i="10"/>
  <c r="Q64" i="10" s="1"/>
  <c r="Q63" i="8"/>
  <c r="Q62" i="8"/>
  <c r="Q61" i="8"/>
  <c r="Q60" i="8"/>
  <c r="Q59" i="8"/>
  <c r="Q58" i="8"/>
  <c r="Q57" i="8"/>
  <c r="Q64" i="8" s="1"/>
  <c r="Q23" i="12"/>
  <c r="Q22" i="12"/>
  <c r="Q21" i="12"/>
  <c r="Q20" i="12"/>
  <c r="Q19" i="12"/>
  <c r="Q18" i="12"/>
  <c r="Q17" i="12"/>
  <c r="Q24" i="12" s="1"/>
  <c r="Q53" i="11"/>
  <c r="Q52" i="11"/>
  <c r="Q51" i="11"/>
  <c r="Q50" i="11"/>
  <c r="Q49" i="11"/>
  <c r="Q48" i="11"/>
  <c r="Q47" i="11"/>
  <c r="Q54" i="11" s="1"/>
  <c r="Q53" i="18"/>
  <c r="Q52" i="18"/>
  <c r="Q51" i="18"/>
  <c r="Q50" i="18"/>
  <c r="Q49" i="18"/>
  <c r="Q48" i="18"/>
  <c r="Q47" i="18"/>
  <c r="Q54" i="18" s="1"/>
  <c r="Q53" i="10"/>
  <c r="Q52" i="10"/>
  <c r="Q51" i="10"/>
  <c r="Q50" i="10"/>
  <c r="Q49" i="10"/>
  <c r="Q48" i="10"/>
  <c r="Q47" i="10"/>
  <c r="Q54" i="10" s="1"/>
  <c r="Q53" i="8"/>
  <c r="Q52" i="8"/>
  <c r="Q51" i="8"/>
  <c r="Q50" i="8"/>
  <c r="Q49" i="8"/>
  <c r="Q48" i="8"/>
  <c r="Q47" i="8"/>
  <c r="Q54" i="8" s="1"/>
  <c r="Q53" i="17"/>
  <c r="Q52" i="17"/>
  <c r="Q51" i="17"/>
  <c r="Q50" i="17"/>
  <c r="Q49" i="17"/>
  <c r="Q48" i="17"/>
  <c r="Q47" i="17"/>
  <c r="Q54" i="17" s="1"/>
  <c r="Q43" i="11"/>
  <c r="Q42" i="11"/>
  <c r="Q41" i="11"/>
  <c r="Q40" i="11"/>
  <c r="Q39" i="11"/>
  <c r="Q38" i="11"/>
  <c r="Q37" i="11"/>
  <c r="Q44" i="11" s="1"/>
  <c r="Q43" i="18"/>
  <c r="Q42" i="18"/>
  <c r="Q41" i="18"/>
  <c r="Q40" i="18"/>
  <c r="Q39" i="18"/>
  <c r="Q38" i="18"/>
  <c r="Q37" i="18"/>
  <c r="Q44" i="18" s="1"/>
  <c r="Q43" i="14"/>
  <c r="Q42" i="14"/>
  <c r="Q41" i="14"/>
  <c r="Q40" i="14"/>
  <c r="Q39" i="14"/>
  <c r="Q38" i="14"/>
  <c r="Q37" i="14"/>
  <c r="Q44" i="14" s="1"/>
  <c r="Q43" i="8"/>
  <c r="Q42" i="8"/>
  <c r="Q41" i="8"/>
  <c r="Q40" i="8"/>
  <c r="Q39" i="8"/>
  <c r="Q38" i="8"/>
  <c r="Q37" i="8"/>
  <c r="Q44" i="8" s="1"/>
  <c r="Q43" i="10"/>
  <c r="Q42" i="10"/>
  <c r="Q41" i="10"/>
  <c r="Q40" i="10"/>
  <c r="Q39" i="10"/>
  <c r="Q38" i="10"/>
  <c r="Q37" i="10"/>
  <c r="Q44" i="10" s="1"/>
  <c r="Q43" i="17"/>
  <c r="Q42" i="17"/>
  <c r="Q41" i="17"/>
  <c r="Q40" i="17"/>
  <c r="Q39" i="17"/>
  <c r="Q38" i="17"/>
  <c r="Q37" i="17"/>
  <c r="Q44" i="17" s="1"/>
  <c r="Q23" i="13"/>
  <c r="Q22" i="13"/>
  <c r="Q21" i="13"/>
  <c r="Q20" i="13"/>
  <c r="Q19" i="13"/>
  <c r="Q18" i="13"/>
  <c r="Q17" i="13"/>
  <c r="Q24" i="13" s="1"/>
  <c r="Q33" i="17"/>
  <c r="Q32" i="17"/>
  <c r="Q31" i="17"/>
  <c r="Q30" i="17"/>
  <c r="Q29" i="17"/>
  <c r="Q28" i="17"/>
  <c r="Q27" i="17"/>
  <c r="Q34" i="17" s="1"/>
  <c r="Q33" i="18"/>
  <c r="Q32" i="18"/>
  <c r="Q31" i="18"/>
  <c r="Q30" i="18"/>
  <c r="Q29" i="18"/>
  <c r="Q28" i="18"/>
  <c r="Q27" i="18"/>
  <c r="Q34" i="18" s="1"/>
  <c r="Q33" i="10"/>
  <c r="Q32" i="10"/>
  <c r="Q31" i="10"/>
  <c r="Q30" i="10"/>
  <c r="Q29" i="10"/>
  <c r="Q28" i="10"/>
  <c r="Q27" i="10"/>
  <c r="Q34" i="10" s="1"/>
  <c r="Q33" i="8"/>
  <c r="Q32" i="8"/>
  <c r="Q31" i="8"/>
  <c r="Q30" i="8"/>
  <c r="Q29" i="8"/>
  <c r="Q28" i="8"/>
  <c r="Q27" i="8"/>
  <c r="Q34" i="8" s="1"/>
  <c r="Q27" i="14"/>
  <c r="Q28" i="14"/>
  <c r="Q29" i="14"/>
  <c r="Q30" i="14"/>
  <c r="Q31" i="14"/>
  <c r="Q32" i="14"/>
  <c r="Q33" i="14"/>
  <c r="Q34" i="14"/>
  <c r="Q33" i="11"/>
  <c r="Q32" i="11"/>
  <c r="Q31" i="11"/>
  <c r="Q30" i="11"/>
  <c r="Q29" i="11"/>
  <c r="Q28" i="11"/>
  <c r="Q27" i="11"/>
  <c r="Q34" i="11" s="1"/>
  <c r="Q23" i="8"/>
  <c r="Q22" i="8"/>
  <c r="Q21" i="8"/>
  <c r="Q20" i="8"/>
  <c r="Q19" i="8"/>
  <c r="Q18" i="8"/>
  <c r="Q17" i="8"/>
  <c r="Q24" i="8" s="1"/>
  <c r="Q23" i="10"/>
  <c r="Q22" i="10"/>
  <c r="Q21" i="10"/>
  <c r="Q20" i="10"/>
  <c r="Q19" i="10"/>
  <c r="Q18" i="10"/>
  <c r="Q17" i="10"/>
  <c r="Q24" i="10" s="1"/>
  <c r="Q23" i="17"/>
  <c r="Q22" i="17"/>
  <c r="Q21" i="17"/>
  <c r="Q20" i="17"/>
  <c r="Q19" i="17"/>
  <c r="Q18" i="17"/>
  <c r="Q17" i="17"/>
  <c r="Q24" i="17" s="1"/>
  <c r="Q23" i="14"/>
  <c r="Q22" i="14"/>
  <c r="Q21" i="14"/>
  <c r="Q20" i="14"/>
  <c r="Q19" i="14"/>
  <c r="Q18" i="14"/>
  <c r="Q17" i="14"/>
  <c r="Q24" i="14" s="1"/>
  <c r="Q23" i="18"/>
  <c r="Q22" i="18"/>
  <c r="Q21" i="18"/>
  <c r="Q20" i="18"/>
  <c r="Q19" i="18"/>
  <c r="Q18" i="18"/>
  <c r="Q17" i="18"/>
  <c r="Q24" i="18" s="1"/>
  <c r="Q24" i="11"/>
  <c r="Q23" i="11"/>
  <c r="Q22" i="11"/>
  <c r="Q21" i="11"/>
  <c r="Q20" i="11"/>
  <c r="Q19" i="11"/>
  <c r="Q18" i="11"/>
  <c r="Q17" i="11"/>
  <c r="Q13" i="8"/>
  <c r="Q12" i="8"/>
  <c r="Q11" i="8"/>
  <c r="Q10" i="8"/>
  <c r="Q9" i="8"/>
  <c r="Q8" i="8"/>
  <c r="Q7" i="8"/>
  <c r="Q13" i="10"/>
  <c r="Q12" i="10"/>
  <c r="Q11" i="10"/>
  <c r="Q10" i="10"/>
  <c r="Q9" i="10"/>
  <c r="Q8" i="10"/>
  <c r="Q7" i="10"/>
  <c r="Q13" i="11"/>
  <c r="Q12" i="11"/>
  <c r="Q11" i="11"/>
  <c r="Q10" i="11"/>
  <c r="Q9" i="11"/>
  <c r="Q8" i="11"/>
  <c r="Q7" i="11"/>
  <c r="Q13" i="12"/>
  <c r="Q12" i="12"/>
  <c r="Q11" i="12"/>
  <c r="Q10" i="12"/>
  <c r="Q9" i="12"/>
  <c r="Q8" i="12"/>
  <c r="Q7" i="12"/>
  <c r="Q13" i="13"/>
  <c r="Q12" i="13"/>
  <c r="Q11" i="13"/>
  <c r="Q10" i="13"/>
  <c r="Q9" i="13"/>
  <c r="Q8" i="13"/>
  <c r="Q7" i="13"/>
  <c r="Q13" i="14"/>
  <c r="Q12" i="14"/>
  <c r="Q11" i="14"/>
  <c r="Q10" i="14"/>
  <c r="Q9" i="14"/>
  <c r="Q8" i="14"/>
  <c r="Q7" i="14"/>
  <c r="Q13" i="15"/>
  <c r="Q12" i="15"/>
  <c r="Q11" i="15"/>
  <c r="Q10" i="15"/>
  <c r="Q9" i="15"/>
  <c r="Q8" i="15"/>
  <c r="Q7" i="15"/>
  <c r="Q13" i="16"/>
  <c r="Q12" i="16"/>
  <c r="Q11" i="16"/>
  <c r="Q10" i="16"/>
  <c r="Q9" i="16"/>
  <c r="Q8" i="16"/>
  <c r="Q7" i="16"/>
  <c r="Q13" i="17"/>
  <c r="Q12" i="17"/>
  <c r="Q11" i="17"/>
  <c r="Q10" i="17"/>
  <c r="Q9" i="17"/>
  <c r="Q8" i="17"/>
  <c r="Q7" i="17"/>
  <c r="Q13" i="18"/>
  <c r="Q12" i="18"/>
  <c r="Q11" i="18"/>
  <c r="Q10" i="18"/>
  <c r="Q9" i="18"/>
  <c r="Q8" i="18"/>
  <c r="Q7" i="18"/>
  <c r="Q14" i="8"/>
  <c r="Q14" i="10"/>
  <c r="Q14" i="11"/>
  <c r="Q14" i="12"/>
  <c r="Q14" i="13"/>
  <c r="Q14" i="14"/>
  <c r="Q14" i="15"/>
  <c r="Q14" i="16"/>
  <c r="Q14" i="17"/>
  <c r="Q14" i="18"/>
  <c r="C9" i="9"/>
  <c r="C8" i="9"/>
  <c r="C11" i="9" s="1"/>
</calcChain>
</file>

<file path=xl/sharedStrings.xml><?xml version="1.0" encoding="utf-8"?>
<sst xmlns="http://schemas.openxmlformats.org/spreadsheetml/2006/main" count="1373" uniqueCount="130">
  <si>
    <t>Good</t>
  </si>
  <si>
    <t>&gt;= 3</t>
  </si>
  <si>
    <t>Warning</t>
  </si>
  <si>
    <t>&gt; 2 and &lt;= 4</t>
  </si>
  <si>
    <t>Alarming</t>
  </si>
  <si>
    <t>&lt; 2</t>
  </si>
  <si>
    <t>Project Name</t>
  </si>
  <si>
    <t>Overall Score out of 5</t>
  </si>
  <si>
    <t xml:space="preserve">&lt;Project-1&gt; </t>
  </si>
  <si>
    <t>&lt;Project-1&gt;</t>
  </si>
  <si>
    <t>Overall Customer Experience</t>
  </si>
  <si>
    <t>#</t>
  </si>
  <si>
    <t>Date</t>
  </si>
  <si>
    <t>Version</t>
  </si>
  <si>
    <t>Description</t>
  </si>
  <si>
    <t>Created By</t>
  </si>
  <si>
    <t>Remarks</t>
  </si>
  <si>
    <t>Draft</t>
  </si>
  <si>
    <t>SPO</t>
  </si>
  <si>
    <t>Baseline version</t>
  </si>
  <si>
    <t>Overall score converted out of 5, Added Intructions and Config sheet</t>
  </si>
  <si>
    <t>Changes done by Gayathri Sukumar</t>
  </si>
  <si>
    <t>Client PO</t>
  </si>
  <si>
    <t>Doug Cenci</t>
  </si>
  <si>
    <t>Relevatz PO</t>
  </si>
  <si>
    <t>Jenniffer</t>
  </si>
  <si>
    <t>Apr-21-2025</t>
  </si>
  <si>
    <t>Survey Questions</t>
  </si>
  <si>
    <t>Exceeds Expectation</t>
  </si>
  <si>
    <t>Meets Expectations</t>
  </si>
  <si>
    <t>Needs Improvement</t>
  </si>
  <si>
    <t xml:space="preserve"> 
Contribute to defining product vision, goals, and objectives, and communicate them to the sprint team.</t>
  </si>
  <si>
    <t>X</t>
  </si>
  <si>
    <t>Continuously seek knowledge of personas, market, product, and stakeholders to become a subject matter expert</t>
  </si>
  <si>
    <t>Demonstrate good understanding of the priorities to manage and prioritize sprint metrics backlog</t>
  </si>
  <si>
    <t>Demonstrate good communication and influence within the sprint team to define , estimate and deliver solutions to business solve the problems</t>
  </si>
  <si>
    <t>Collaborate with cross-functional teams including developers , designers and other stakeholders to balance multiple perspective and deliver a quality product</t>
  </si>
  <si>
    <t>Conduct market-research including competitor product and analyze customer feedback to identify areas of improvment for the product</t>
  </si>
  <si>
    <t>Overall I am satisfied with Relevantz team members</t>
  </si>
  <si>
    <t>May-27-2025</t>
  </si>
  <si>
    <t>June-16-2025</t>
  </si>
  <si>
    <t>August-18-2025</t>
  </si>
  <si>
    <t>September-15-2025</t>
  </si>
  <si>
    <t>October-15-2025</t>
  </si>
  <si>
    <t>November-17-2025</t>
  </si>
  <si>
    <t>Jan-13-2026</t>
  </si>
  <si>
    <t>Feb-23-2026</t>
  </si>
  <si>
    <t>Mar-23-2026</t>
  </si>
  <si>
    <t>Apr- 27-2026</t>
  </si>
  <si>
    <t>Client Product Manager</t>
  </si>
  <si>
    <t>Troy Jones</t>
  </si>
  <si>
    <t>Relevantz Business Analyst</t>
  </si>
  <si>
    <t>Vivian Richard</t>
  </si>
  <si>
    <t>Overall Score</t>
  </si>
  <si>
    <t>Definitely between a meet and exceeds , yet there is room for improvement</t>
  </si>
  <si>
    <t>He hasnt been given oppurttunity or asked for help on those areas</t>
  </si>
  <si>
    <t>Would expect Richard to do more given th oppurtunuity</t>
  </si>
  <si>
    <t>Jun-18-2025</t>
  </si>
  <si>
    <t>Jul-16-2025</t>
  </si>
  <si>
    <t>Aug-22-2025</t>
  </si>
  <si>
    <t>Jan-29-2026</t>
  </si>
  <si>
    <t>Apr-29-2026</t>
  </si>
  <si>
    <t>May-12-2026</t>
  </si>
  <si>
    <t>Jason Mathews</t>
  </si>
  <si>
    <t>Bavithra</t>
  </si>
  <si>
    <t>Product Ower</t>
  </si>
  <si>
    <t>Carmin Zoccali</t>
  </si>
  <si>
    <t>Team</t>
  </si>
  <si>
    <t>MSB Dev Services</t>
  </si>
  <si>
    <t>NA</t>
  </si>
  <si>
    <t>Jeanette Elliot</t>
  </si>
  <si>
    <t>Pramod Rai</t>
  </si>
  <si>
    <t>Jun-24-2025</t>
  </si>
  <si>
    <t>Feb-17-2026</t>
  </si>
  <si>
    <t>Sowjanya has been doing a great job , testing the product, ramping up faster being new to the team</t>
  </si>
  <si>
    <t>Kristy MacChyne</t>
  </si>
  <si>
    <t>Relevantz Business Analyst/Product Owner</t>
  </si>
  <si>
    <t>Kanchanamala</t>
  </si>
  <si>
    <t>Apr-8-2025</t>
  </si>
  <si>
    <t>aDDITIONAL responsibilities , handling refinement. Doing a great job handling multiple responsibilities</t>
  </si>
  <si>
    <t>Entire team doing great under Allen leadership , team independent and collaborative</t>
  </si>
  <si>
    <t>May-13-2025</t>
  </si>
  <si>
    <t>Kanchana leading the refinement yesterday , covering for Kristy</t>
  </si>
  <si>
    <t>Jun-10-2025</t>
  </si>
  <si>
    <t>Aug-13-2025</t>
  </si>
  <si>
    <t>Mar-10-2026</t>
  </si>
  <si>
    <t>Apr-14-2026</t>
  </si>
  <si>
    <t>Client Product Owner/manager</t>
  </si>
  <si>
    <t>William Weaver(Josh)</t>
  </si>
  <si>
    <t>Apr-1-2025</t>
  </si>
  <si>
    <t>Exceeds Expectations</t>
  </si>
  <si>
    <t>Conduct market-research including competitor product and analyze customer feedback to identify areas of improvement for the product</t>
  </si>
  <si>
    <t>Oct-27-2025</t>
  </si>
  <si>
    <t>Team Name</t>
  </si>
  <si>
    <t>MealOrders</t>
  </si>
  <si>
    <t>Client Product Owner</t>
  </si>
  <si>
    <t>Hunter Brown</t>
  </si>
  <si>
    <t>Hunter taking over Meal Orders and platform product manager for Kaleida. Would be product manager for MSB kaleida</t>
  </si>
  <si>
    <t>Charu absence left a gap but picked up pace , Charu and hunter covered for Tino</t>
  </si>
  <si>
    <t>Aug-19-2025</t>
  </si>
  <si>
    <t>Sep-16-2025</t>
  </si>
  <si>
    <t>Apr-21-2026</t>
  </si>
  <si>
    <t>Gary Davis/Robyn Riley</t>
  </si>
  <si>
    <t>Relevantz PO</t>
  </si>
  <si>
    <t>Jagan Selvaraj</t>
  </si>
  <si>
    <t>Apr-9-2025</t>
  </si>
  <si>
    <t>May-14-2025</t>
  </si>
  <si>
    <t>Sep-10-2025</t>
  </si>
  <si>
    <t>Nov-12-2025</t>
  </si>
  <si>
    <t>Jan-14-2026</t>
  </si>
  <si>
    <t>Apr-8-2026</t>
  </si>
  <si>
    <t>May-13-2026</t>
  </si>
  <si>
    <t>Shenbagavalli Srinivasan</t>
  </si>
  <si>
    <t>Strongly Agree</t>
  </si>
  <si>
    <t>Agree</t>
  </si>
  <si>
    <t>Neutral</t>
  </si>
  <si>
    <t>Disagree</t>
  </si>
  <si>
    <t>Strongly Disagree</t>
  </si>
  <si>
    <t>Rating</t>
  </si>
  <si>
    <t>Action Item</t>
  </si>
  <si>
    <t>Owner</t>
  </si>
  <si>
    <t>Provide schedules for Friday(31-October)</t>
  </si>
  <si>
    <t>Govinda</t>
  </si>
  <si>
    <t>Provide schedules for next week</t>
  </si>
  <si>
    <t xml:space="preserve">Schedule interviews for friday and next week through google meet. </t>
  </si>
  <si>
    <t>Ganapathi</t>
  </si>
  <si>
    <t>Survey Questions Section</t>
  </si>
  <si>
    <r>
      <t>1.</t>
    </r>
    <r>
      <rPr>
        <sz val="10"/>
        <color rgb="FFFF0000"/>
        <rFont val="Arial"/>
        <family val="2"/>
        <scheme val="minor"/>
      </rPr>
      <t xml:space="preserve"> DO NOT UPDATE/DELETE</t>
    </r>
    <r>
      <rPr>
        <sz val="10"/>
        <color theme="1"/>
        <rFont val="Arial"/>
        <family val="2"/>
        <scheme val="minor"/>
      </rPr>
      <t xml:space="preserve"> THE VALUE OF 'OVERAL SCORE OUT OF 5'  (IT IS AUTO CALCULATED)</t>
    </r>
  </si>
  <si>
    <r>
      <t xml:space="preserve">1. </t>
    </r>
    <r>
      <rPr>
        <sz val="10"/>
        <color rgb="FFFF0000"/>
        <rFont val="Arial"/>
        <family val="2"/>
        <scheme val="minor"/>
      </rPr>
      <t>DO NOT COPY PASTE</t>
    </r>
    <r>
      <rPr>
        <sz val="10"/>
        <color theme="1"/>
        <rFont val="Arial"/>
        <family val="2"/>
        <scheme val="minor"/>
      </rPr>
      <t xml:space="preserve"> THE RATING CELLS BETWEEN D AND I</t>
    </r>
  </si>
  <si>
    <r>
      <t xml:space="preserve">2. TO CHANGE THE RATING, </t>
    </r>
    <r>
      <rPr>
        <sz val="10"/>
        <color rgb="FFFF0000"/>
        <rFont val="Arial"/>
        <family val="2"/>
        <scheme val="minor"/>
      </rPr>
      <t>DELETE THE RATING CELL AND ENTER</t>
    </r>
    <r>
      <rPr>
        <sz val="10"/>
        <color theme="1"/>
        <rFont val="Arial"/>
        <family val="2"/>
        <scheme val="minor"/>
      </rPr>
      <t xml:space="preserve"> IN REQUIRED CELL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</si>
</sst>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  <scheme val="minor"/>
    </font>
    <font>
      <sz val="10"/>
      <color rgb="FF222222"/>
      <name val="Arial"/>
      <family val="2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u/>
      <sz val="14"/>
      <color rgb="FF000000"/>
      <name val="Arial"/>
      <family val="2"/>
      <scheme val="minor"/>
    </font>
    <font>
      <b/>
      <sz val="16"/>
      <color theme="0"/>
      <name val="Arial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Arial"/>
      <scheme val="minor"/>
    </font>
    <font>
      <sz val="10"/>
      <color theme="1"/>
      <name val="Arial"/>
    </font>
    <font>
      <b/>
      <sz val="10"/>
      <color rgb="FF38761D"/>
      <name val="Arial"/>
    </font>
    <font>
      <b/>
      <sz val="10"/>
      <color theme="1"/>
      <name val="Arial"/>
      <family val="2"/>
      <scheme val="minor"/>
    </font>
    <font>
      <b/>
      <sz val="10"/>
      <name val="Arial"/>
      <family val="2"/>
    </font>
    <font>
      <b/>
      <sz val="10"/>
      <color rgb="FF000000"/>
      <name val="Arial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280C92"/>
        <bgColor rgb="FF280C92"/>
      </patternFill>
    </fill>
    <fill>
      <patternFill patternType="solid">
        <fgColor rgb="FF9E0B8C"/>
        <bgColor rgb="FF9E0B8C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E0A8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219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rgb="FFF3F3F3"/>
      </left>
      <right/>
      <top style="thin">
        <color rgb="FFF3F3F3"/>
      </top>
      <bottom style="thin">
        <color rgb="FFF3F3F3"/>
      </bottom>
      <diagonal/>
    </border>
    <border>
      <left/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F3F3F3"/>
      </top>
      <bottom style="thin">
        <color rgb="FFF3F3F3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3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5" fillId="4" borderId="0" xfId="0" applyFont="1" applyFill="1"/>
    <xf numFmtId="0" fontId="0" fillId="5" borderId="4" xfId="0" applyFill="1" applyBorder="1" applyAlignment="1">
      <alignment horizontal="center" vertical="center"/>
    </xf>
    <xf numFmtId="0" fontId="0" fillId="0" borderId="4" xfId="0" applyBorder="1"/>
    <xf numFmtId="15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3" fillId="0" borderId="0" xfId="0" applyFont="1"/>
    <xf numFmtId="0" fontId="6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0" borderId="4" xfId="0" applyFont="1" applyBorder="1" applyAlignment="1">
      <alignment wrapText="1"/>
    </xf>
    <xf numFmtId="0" fontId="1" fillId="0" borderId="8" xfId="0" applyFont="1" applyBorder="1"/>
    <xf numFmtId="0" fontId="1" fillId="0" borderId="0" xfId="0" applyFont="1"/>
    <xf numFmtId="0" fontId="1" fillId="0" borderId="9" xfId="0" applyFont="1" applyBorder="1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0" fontId="0" fillId="7" borderId="15" xfId="0" applyFill="1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8" borderId="20" xfId="0" applyFill="1" applyBorder="1"/>
    <xf numFmtId="0" fontId="0" fillId="0" borderId="21" xfId="0" applyBorder="1"/>
    <xf numFmtId="0" fontId="0" fillId="0" borderId="22" xfId="0" applyBorder="1"/>
    <xf numFmtId="0" fontId="0" fillId="13" borderId="18" xfId="0" applyFill="1" applyBorder="1"/>
    <xf numFmtId="0" fontId="11" fillId="11" borderId="23" xfId="0" applyFont="1" applyFill="1" applyBorder="1" applyAlignment="1">
      <alignment vertical="center"/>
    </xf>
    <xf numFmtId="2" fontId="12" fillId="12" borderId="24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10" borderId="4" xfId="0" applyFill="1" applyBorder="1"/>
    <xf numFmtId="2" fontId="0" fillId="0" borderId="4" xfId="0" applyNumberFormat="1" applyBorder="1" applyAlignment="1">
      <alignment horizontal="center" vertical="center"/>
    </xf>
    <xf numFmtId="0" fontId="10" fillId="9" borderId="25" xfId="0" applyFont="1" applyFill="1" applyBorder="1"/>
    <xf numFmtId="2" fontId="10" fillId="9" borderId="26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4" xfId="0" applyFont="1" applyBorder="1"/>
    <xf numFmtId="0" fontId="0" fillId="4" borderId="0" xfId="0" applyFill="1" applyAlignment="1">
      <alignment horizontal="center" vertical="center"/>
    </xf>
    <xf numFmtId="0" fontId="0" fillId="4" borderId="27" xfId="0" applyFill="1" applyBorder="1" applyAlignment="1">
      <alignment horizontal="left" vertical="center"/>
    </xf>
    <xf numFmtId="0" fontId="3" fillId="0" borderId="28" xfId="0" applyFont="1" applyBorder="1"/>
    <xf numFmtId="0" fontId="9" fillId="6" borderId="13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wrapText="1"/>
    </xf>
    <xf numFmtId="0" fontId="13" fillId="0" borderId="4" xfId="0" applyFont="1" applyBorder="1" applyAlignment="1">
      <alignment wrapText="1"/>
    </xf>
    <xf numFmtId="0" fontId="9" fillId="6" borderId="14" xfId="0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15" fontId="0" fillId="0" borderId="4" xfId="0" applyNumberFormat="1" applyBorder="1"/>
    <xf numFmtId="0" fontId="17" fillId="15" borderId="4" xfId="0" applyFont="1" applyFill="1" applyBorder="1"/>
    <xf numFmtId="3" fontId="0" fillId="0" borderId="0" xfId="0" applyNumberFormat="1"/>
    <xf numFmtId="164" fontId="15" fillId="14" borderId="4" xfId="0" applyNumberFormat="1" applyFont="1" applyFill="1" applyBorder="1" applyAlignment="1">
      <alignment horizontal="left"/>
    </xf>
    <xf numFmtId="0" fontId="9" fillId="6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2" fillId="2" borderId="1" xfId="0" applyFont="1" applyFill="1" applyBorder="1" applyAlignment="1"/>
    <xf numFmtId="0" fontId="3" fillId="0" borderId="29" xfId="0" applyFont="1" applyBorder="1" applyAlignment="1"/>
    <xf numFmtId="0" fontId="16" fillId="14" borderId="4" xfId="0" applyFont="1" applyFill="1" applyBorder="1" applyAlignment="1"/>
    <xf numFmtId="0" fontId="3" fillId="0" borderId="2" xfId="0" applyFont="1" applyBorder="1" applyAlignment="1"/>
  </cellXfs>
  <cellStyles count="1">
    <cellStyle name="Normal" xfId="0" builtinId="0"/>
  </cellStyles>
  <dxfs count="6"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9E0A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1CEA-59E3-44AE-BCBF-9D94F1BB21BA}">
  <dimension ref="B3:F12"/>
  <sheetViews>
    <sheetView showGridLines="0" workbookViewId="0">
      <selection activeCell="E17" sqref="E17"/>
    </sheetView>
  </sheetViews>
  <sheetFormatPr defaultRowHeight="12.75"/>
  <cols>
    <col min="2" max="2" width="31.7109375" customWidth="1"/>
    <col min="3" max="3" width="25.28515625" customWidth="1"/>
    <col min="6" max="6" width="13" customWidth="1"/>
  </cols>
  <sheetData>
    <row r="3" spans="2:6">
      <c r="C3" s="29"/>
      <c r="D3" s="30" t="s">
        <v>0</v>
      </c>
      <c r="E3" s="31"/>
      <c r="F3" s="32" t="s">
        <v>1</v>
      </c>
    </row>
    <row r="4" spans="2:6">
      <c r="C4" s="29"/>
      <c r="D4" s="37" t="s">
        <v>2</v>
      </c>
      <c r="F4" s="33" t="s">
        <v>3</v>
      </c>
    </row>
    <row r="5" spans="2:6">
      <c r="C5" s="29"/>
      <c r="D5" s="34" t="s">
        <v>4</v>
      </c>
      <c r="E5" s="35"/>
      <c r="F5" s="36" t="s">
        <v>5</v>
      </c>
    </row>
    <row r="6" spans="2:6">
      <c r="C6" s="29"/>
    </row>
    <row r="7" spans="2:6" ht="15">
      <c r="B7" s="43" t="s">
        <v>6</v>
      </c>
      <c r="C7" s="44" t="s">
        <v>7</v>
      </c>
    </row>
    <row r="8" spans="2:6">
      <c r="B8" s="41" t="s">
        <v>8</v>
      </c>
      <c r="C8" s="42" t="e">
        <f>BOH!#REF!</f>
        <v>#REF!</v>
      </c>
    </row>
    <row r="9" spans="2:6">
      <c r="B9" s="41" t="s">
        <v>9</v>
      </c>
      <c r="C9" s="42" t="e">
        <f>#REF!</f>
        <v>#REF!</v>
      </c>
    </row>
    <row r="10" spans="2:6">
      <c r="C10" s="29"/>
    </row>
    <row r="11" spans="2:6" s="40" customFormat="1" ht="24.75" customHeight="1">
      <c r="B11" s="38" t="s">
        <v>10</v>
      </c>
      <c r="C11" s="39" t="e">
        <f>AVERAGE(C8:C9)</f>
        <v>#REF!</v>
      </c>
    </row>
    <row r="12" spans="2:6">
      <c r="C12" s="29"/>
    </row>
  </sheetData>
  <conditionalFormatting sqref="C8:C9">
    <cfRule type="cellIs" dxfId="5" priority="4" operator="greaterThan">
      <formula>4</formula>
    </cfRule>
    <cfRule type="cellIs" dxfId="4" priority="5" operator="between">
      <formula>2.1</formula>
      <formula>4</formula>
    </cfRule>
    <cfRule type="cellIs" dxfId="3" priority="6" operator="lessThanOrEqual">
      <formula>2</formula>
    </cfRule>
  </conditionalFormatting>
  <conditionalFormatting sqref="C11">
    <cfRule type="cellIs" dxfId="2" priority="3" operator="greaterThan">
      <formula>4</formula>
    </cfRule>
  </conditionalFormatting>
  <conditionalFormatting sqref="C11">
    <cfRule type="cellIs" dxfId="1" priority="2" operator="between">
      <formula>2</formula>
      <formula>4</formula>
    </cfRule>
  </conditionalFormatting>
  <conditionalFormatting sqref="C11">
    <cfRule type="cellIs" dxfId="0" priority="1" operator="lessThan">
      <formula>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96270-1CBD-4D36-9EFF-B9AE7C0CE7C7}">
  <dimension ref="B2:G15"/>
  <sheetViews>
    <sheetView showGridLines="0" workbookViewId="0">
      <selection activeCell="G7" sqref="G7"/>
    </sheetView>
  </sheetViews>
  <sheetFormatPr defaultRowHeight="12.6"/>
  <cols>
    <col min="2" max="2" width="3.5703125" customWidth="1"/>
    <col min="3" max="3" width="15.42578125" style="11" customWidth="1"/>
    <col min="4" max="4" width="18.42578125" style="12" customWidth="1"/>
    <col min="5" max="5" width="32.28515625" customWidth="1"/>
    <col min="6" max="6" width="24.28515625" customWidth="1"/>
    <col min="7" max="7" width="37" customWidth="1"/>
  </cols>
  <sheetData>
    <row r="2" spans="2:7"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</row>
    <row r="3" spans="2:7">
      <c r="B3" s="7">
        <v>1</v>
      </c>
      <c r="C3" s="8">
        <v>44382</v>
      </c>
      <c r="D3" s="9">
        <v>0.1</v>
      </c>
      <c r="E3" s="7" t="s">
        <v>17</v>
      </c>
      <c r="F3" s="7" t="s">
        <v>18</v>
      </c>
      <c r="G3" s="7" t="s">
        <v>19</v>
      </c>
    </row>
    <row r="4" spans="2:7" ht="24.95">
      <c r="B4" s="7">
        <v>2</v>
      </c>
      <c r="C4" s="8">
        <v>45540</v>
      </c>
      <c r="D4" s="9">
        <v>0.2</v>
      </c>
      <c r="E4" s="23" t="s">
        <v>20</v>
      </c>
      <c r="F4" s="15"/>
      <c r="G4" s="15" t="s">
        <v>21</v>
      </c>
    </row>
    <row r="5" spans="2:7">
      <c r="B5" s="7"/>
      <c r="C5" s="10"/>
      <c r="D5" s="9"/>
      <c r="E5" s="7"/>
      <c r="F5" s="7"/>
      <c r="G5" s="7"/>
    </row>
    <row r="6" spans="2:7">
      <c r="B6" s="7"/>
      <c r="C6" s="10"/>
      <c r="D6" s="9"/>
      <c r="E6" s="7"/>
      <c r="F6" s="7"/>
      <c r="G6" s="7"/>
    </row>
    <row r="7" spans="2:7">
      <c r="B7" s="7"/>
      <c r="C7" s="10"/>
      <c r="D7" s="9"/>
      <c r="E7" s="7"/>
      <c r="F7" s="7"/>
      <c r="G7" s="7"/>
    </row>
    <row r="8" spans="2:7">
      <c r="B8" s="7"/>
      <c r="C8" s="10"/>
      <c r="D8" s="9"/>
      <c r="E8" s="7"/>
      <c r="F8" s="7"/>
      <c r="G8" s="7"/>
    </row>
    <row r="9" spans="2:7">
      <c r="B9" s="7"/>
      <c r="C9" s="10"/>
      <c r="D9" s="9"/>
      <c r="E9" s="7"/>
      <c r="F9" s="7"/>
      <c r="G9" s="7"/>
    </row>
    <row r="10" spans="2:7">
      <c r="B10" s="7"/>
      <c r="C10" s="10"/>
      <c r="D10" s="9"/>
      <c r="E10" s="7"/>
      <c r="F10" s="7"/>
      <c r="G10" s="7"/>
    </row>
    <row r="11" spans="2:7">
      <c r="B11" s="7"/>
      <c r="C11" s="10"/>
      <c r="D11" s="9"/>
      <c r="E11" s="7"/>
      <c r="F11" s="7"/>
      <c r="G11" s="7"/>
    </row>
    <row r="12" spans="2:7">
      <c r="B12" s="7"/>
      <c r="C12" s="10"/>
      <c r="D12" s="9"/>
      <c r="E12" s="7"/>
      <c r="F12" s="7"/>
      <c r="G12" s="7"/>
    </row>
    <row r="13" spans="2:7">
      <c r="B13" s="7"/>
      <c r="C13" s="10"/>
      <c r="D13" s="9"/>
      <c r="E13" s="7"/>
      <c r="F13" s="7"/>
      <c r="G13" s="7"/>
    </row>
    <row r="14" spans="2:7">
      <c r="B14" s="7"/>
      <c r="C14" s="10"/>
      <c r="D14" s="9"/>
      <c r="E14" s="7"/>
      <c r="F14" s="7"/>
      <c r="G14" s="7"/>
    </row>
    <row r="15" spans="2:7">
      <c r="B15" s="7"/>
      <c r="C15" s="10"/>
      <c r="D15" s="9"/>
      <c r="E15" s="7"/>
      <c r="F15" s="7"/>
      <c r="G15" s="7"/>
    </row>
  </sheetData>
  <pageMargins left="0.7" right="0.7" top="0.75" bottom="0.75" header="0.3" footer="0.3"/>
  <headerFooter>
    <oddFooter>&amp;R_x000D_&amp;1#&amp;"Calibri"&amp;8&amp;K000000 Cisco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348B-7F5B-4D6B-BB7E-E4405EB8BD33}">
  <sheetPr>
    <outlinePr summaryBelow="0" summaryRight="0"/>
    <pageSetUpPr fitToPage="1"/>
  </sheetPr>
  <dimension ref="A1:V903"/>
  <sheetViews>
    <sheetView showGridLines="0" topLeftCell="A91" zoomScale="90" zoomScaleNormal="90" workbookViewId="0">
      <selection activeCell="D105" sqref="D105:F105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7.42578125" customWidth="1"/>
    <col min="6" max="6" width="8" customWidth="1"/>
    <col min="7" max="7" width="59.42578125" customWidth="1"/>
    <col min="8" max="8" width="11.85546875" customWidth="1"/>
    <col min="9" max="9" width="12.85546875" customWidth="1"/>
    <col min="10" max="10" width="2.28515625" customWidth="1"/>
    <col min="11" max="11" width="4" customWidth="1"/>
    <col min="12" max="12" width="20.5703125" customWidth="1"/>
    <col min="13" max="13" width="9.140625"/>
  </cols>
  <sheetData>
    <row r="1" spans="1:22" ht="12.75">
      <c r="B1" s="1"/>
    </row>
    <row r="2" spans="1:22" s="27" customFormat="1" ht="12.75" customHeight="1">
      <c r="B2" s="28"/>
      <c r="C2" s="27" t="s">
        <v>22</v>
      </c>
      <c r="D2" s="27" t="s">
        <v>23</v>
      </c>
    </row>
    <row r="3" spans="1:22" ht="12.75">
      <c r="B3" s="1"/>
      <c r="C3" s="27" t="s">
        <v>24</v>
      </c>
      <c r="D3" t="s">
        <v>25</v>
      </c>
    </row>
    <row r="4" spans="1:22" ht="12.75">
      <c r="B4" s="1"/>
    </row>
    <row r="5" spans="1:22" ht="12.75">
      <c r="B5" s="70" t="s">
        <v>12</v>
      </c>
      <c r="C5" s="71"/>
      <c r="D5" s="62" t="s">
        <v>26</v>
      </c>
      <c r="E5" s="72"/>
      <c r="F5" s="72"/>
    </row>
    <row r="6" spans="1:22" ht="35.25">
      <c r="A6" s="2"/>
      <c r="B6" s="3" t="s">
        <v>11</v>
      </c>
      <c r="C6" s="3" t="s">
        <v>27</v>
      </c>
      <c r="D6" s="54" t="s">
        <v>28</v>
      </c>
      <c r="E6" s="54" t="s">
        <v>29</v>
      </c>
      <c r="F6" s="54" t="s">
        <v>30</v>
      </c>
      <c r="G6" s="3" t="s">
        <v>16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35.25">
      <c r="B7" s="4">
        <v>1</v>
      </c>
      <c r="C7" s="45" t="s">
        <v>31</v>
      </c>
      <c r="D7" s="46"/>
      <c r="E7" s="46" t="s">
        <v>32</v>
      </c>
      <c r="F7" s="46"/>
      <c r="G7" s="55"/>
      <c r="Q7">
        <f>COUNTA(D7)*5 +COUNTA(E7)*4+COUNTA(F7)*1</f>
        <v>4</v>
      </c>
    </row>
    <row r="8" spans="1:22" ht="23.25">
      <c r="B8" s="4">
        <v>2</v>
      </c>
      <c r="C8" s="45" t="s">
        <v>33</v>
      </c>
      <c r="D8" s="46"/>
      <c r="E8" s="47" t="s">
        <v>32</v>
      </c>
      <c r="F8" s="46"/>
      <c r="G8" s="55"/>
      <c r="Q8">
        <f t="shared" ref="Q8:Q13" si="0">COUNTA(D8)*5 +COUNTA(E8)*4+COUNTA(F8)*1</f>
        <v>4</v>
      </c>
    </row>
    <row r="9" spans="1:22" ht="12.75">
      <c r="B9" s="4">
        <v>3</v>
      </c>
      <c r="C9" s="45" t="s">
        <v>34</v>
      </c>
      <c r="D9" s="46"/>
      <c r="E9" s="46" t="s">
        <v>32</v>
      </c>
      <c r="F9" s="46"/>
      <c r="G9" s="55"/>
      <c r="Q9">
        <f t="shared" si="0"/>
        <v>4</v>
      </c>
    </row>
    <row r="10" spans="1:22" ht="23.25">
      <c r="B10" s="4">
        <v>4</v>
      </c>
      <c r="C10" s="45" t="s">
        <v>35</v>
      </c>
      <c r="D10" s="46"/>
      <c r="E10" s="46" t="s">
        <v>32</v>
      </c>
      <c r="F10" s="46"/>
      <c r="G10" s="55"/>
      <c r="H10" s="5"/>
      <c r="Q10">
        <f t="shared" si="0"/>
        <v>4</v>
      </c>
    </row>
    <row r="11" spans="1:22" ht="23.25">
      <c r="B11" s="4">
        <v>5</v>
      </c>
      <c r="C11" s="45" t="s">
        <v>36</v>
      </c>
      <c r="D11" s="46"/>
      <c r="E11" s="46" t="s">
        <v>32</v>
      </c>
      <c r="F11" s="46"/>
      <c r="G11" s="55"/>
      <c r="H11" s="5"/>
      <c r="Q11">
        <f t="shared" si="0"/>
        <v>4</v>
      </c>
    </row>
    <row r="12" spans="1:22" ht="23.25">
      <c r="B12" s="4">
        <v>6</v>
      </c>
      <c r="C12" s="45" t="s">
        <v>37</v>
      </c>
      <c r="D12" s="46"/>
      <c r="E12" s="46" t="s">
        <v>32</v>
      </c>
      <c r="F12" s="46"/>
      <c r="G12" s="55"/>
      <c r="H12" s="5"/>
      <c r="Q12">
        <f t="shared" si="0"/>
        <v>4</v>
      </c>
    </row>
    <row r="13" spans="1:22" ht="12.75">
      <c r="B13" s="4">
        <v>7</v>
      </c>
      <c r="C13" s="45" t="s">
        <v>38</v>
      </c>
      <c r="D13" s="48" t="s">
        <v>32</v>
      </c>
      <c r="E13" s="48"/>
      <c r="F13" s="49"/>
      <c r="G13" s="49"/>
      <c r="H13" s="5"/>
      <c r="Q13">
        <f t="shared" si="0"/>
        <v>5</v>
      </c>
    </row>
    <row r="14" spans="1:22" ht="12.75">
      <c r="B14" s="1"/>
      <c r="Q14">
        <f>AVERAGE(Q7:Q13)</f>
        <v>4.1428571428571432</v>
      </c>
    </row>
    <row r="15" spans="1:22" ht="12.75">
      <c r="B15" s="70" t="s">
        <v>12</v>
      </c>
      <c r="C15" s="71"/>
      <c r="D15" s="62" t="s">
        <v>39</v>
      </c>
      <c r="E15" s="72"/>
      <c r="F15" s="72"/>
    </row>
    <row r="16" spans="1:22" ht="35.25">
      <c r="B16" s="3" t="s">
        <v>11</v>
      </c>
      <c r="C16" s="3" t="s">
        <v>27</v>
      </c>
      <c r="D16" s="54" t="s">
        <v>28</v>
      </c>
      <c r="E16" s="54" t="s">
        <v>29</v>
      </c>
      <c r="F16" s="54" t="s">
        <v>30</v>
      </c>
      <c r="G16" s="3" t="s">
        <v>16</v>
      </c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2:17" ht="35.25">
      <c r="B17" s="4">
        <v>1</v>
      </c>
      <c r="C17" s="45" t="s">
        <v>31</v>
      </c>
      <c r="D17" s="46"/>
      <c r="E17" s="46" t="s">
        <v>32</v>
      </c>
      <c r="F17" s="46"/>
      <c r="G17" s="55"/>
      <c r="Q17">
        <f>COUNTA(D17)*5 +COUNTA(E17)*4+COUNTA(F17)*1</f>
        <v>4</v>
      </c>
    </row>
    <row r="18" spans="2:17" ht="23.25">
      <c r="B18" s="4">
        <v>2</v>
      </c>
      <c r="C18" s="45" t="s">
        <v>33</v>
      </c>
      <c r="D18" s="46"/>
      <c r="E18" s="47" t="s">
        <v>32</v>
      </c>
      <c r="F18" s="46"/>
      <c r="G18" s="55"/>
      <c r="Q18">
        <f t="shared" ref="Q18:Q23" si="1">COUNTA(D18)*5 +COUNTA(E18)*4+COUNTA(F18)*1</f>
        <v>4</v>
      </c>
    </row>
    <row r="19" spans="2:17" ht="12.75">
      <c r="B19" s="4">
        <v>3</v>
      </c>
      <c r="C19" s="45" t="s">
        <v>34</v>
      </c>
      <c r="D19" s="46"/>
      <c r="E19" s="46" t="s">
        <v>32</v>
      </c>
      <c r="F19" s="46"/>
      <c r="G19" s="55"/>
      <c r="Q19">
        <f t="shared" si="1"/>
        <v>4</v>
      </c>
    </row>
    <row r="20" spans="2:17" ht="23.25">
      <c r="B20" s="4">
        <v>4</v>
      </c>
      <c r="C20" s="45" t="s">
        <v>35</v>
      </c>
      <c r="D20" s="46"/>
      <c r="E20" s="46" t="s">
        <v>32</v>
      </c>
      <c r="F20" s="46"/>
      <c r="G20" s="55"/>
      <c r="H20" s="5"/>
      <c r="Q20">
        <f t="shared" si="1"/>
        <v>4</v>
      </c>
    </row>
    <row r="21" spans="2:17" ht="23.25">
      <c r="B21" s="4">
        <v>5</v>
      </c>
      <c r="C21" s="45" t="s">
        <v>36</v>
      </c>
      <c r="D21" s="46"/>
      <c r="E21" s="46" t="s">
        <v>32</v>
      </c>
      <c r="F21" s="46"/>
      <c r="G21" s="55"/>
      <c r="H21" s="5"/>
      <c r="Q21">
        <f t="shared" si="1"/>
        <v>4</v>
      </c>
    </row>
    <row r="22" spans="2:17" ht="23.25">
      <c r="B22" s="4">
        <v>6</v>
      </c>
      <c r="C22" s="45" t="s">
        <v>37</v>
      </c>
      <c r="D22" s="46"/>
      <c r="E22" s="46" t="s">
        <v>32</v>
      </c>
      <c r="F22" s="46"/>
      <c r="G22" s="55"/>
      <c r="H22" s="5"/>
      <c r="Q22">
        <f t="shared" si="1"/>
        <v>4</v>
      </c>
    </row>
    <row r="23" spans="2:17" ht="12.75">
      <c r="B23" s="4">
        <v>7</v>
      </c>
      <c r="C23" s="45" t="s">
        <v>38</v>
      </c>
      <c r="D23" s="48" t="s">
        <v>32</v>
      </c>
      <c r="E23" s="48"/>
      <c r="F23" s="49"/>
      <c r="G23" s="49"/>
      <c r="H23" s="5"/>
      <c r="Q23">
        <f t="shared" si="1"/>
        <v>5</v>
      </c>
    </row>
    <row r="24" spans="2:17" ht="12.75">
      <c r="B24" s="1"/>
      <c r="Q24">
        <f>AVERAGE(Q17:Q23)</f>
        <v>4.1428571428571432</v>
      </c>
    </row>
    <row r="25" spans="2:17" ht="12.75">
      <c r="B25" s="70" t="s">
        <v>12</v>
      </c>
      <c r="C25" s="71"/>
      <c r="D25" s="62" t="s">
        <v>40</v>
      </c>
      <c r="E25" s="72"/>
      <c r="F25" s="72"/>
    </row>
    <row r="26" spans="2:17" ht="35.25">
      <c r="B26" s="3" t="s">
        <v>11</v>
      </c>
      <c r="C26" s="3" t="s">
        <v>27</v>
      </c>
      <c r="D26" s="54" t="s">
        <v>28</v>
      </c>
      <c r="E26" s="54" t="s">
        <v>29</v>
      </c>
      <c r="F26" s="54" t="s">
        <v>30</v>
      </c>
      <c r="G26" s="3" t="s">
        <v>16</v>
      </c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2:17" ht="35.25">
      <c r="B27" s="4">
        <v>1</v>
      </c>
      <c r="C27" s="45" t="s">
        <v>31</v>
      </c>
      <c r="D27" s="46"/>
      <c r="E27" s="46" t="s">
        <v>32</v>
      </c>
      <c r="F27" s="46"/>
      <c r="G27" s="55"/>
      <c r="Q27">
        <f>COUNTA(D27)*5 +COUNTA(E27)*4+COUNTA(F27)*1</f>
        <v>4</v>
      </c>
    </row>
    <row r="28" spans="2:17" ht="23.25">
      <c r="B28" s="4">
        <v>2</v>
      </c>
      <c r="C28" s="45" t="s">
        <v>33</v>
      </c>
      <c r="D28" s="46"/>
      <c r="E28" s="47" t="s">
        <v>32</v>
      </c>
      <c r="F28" s="46"/>
      <c r="G28" s="55"/>
      <c r="Q28">
        <f t="shared" ref="Q28:Q33" si="2">COUNTA(D28)*5 +COUNTA(E28)*4+COUNTA(F28)*1</f>
        <v>4</v>
      </c>
    </row>
    <row r="29" spans="2:17" ht="12.75">
      <c r="B29" s="4">
        <v>3</v>
      </c>
      <c r="C29" s="45" t="s">
        <v>34</v>
      </c>
      <c r="D29" s="46"/>
      <c r="E29" s="46" t="s">
        <v>32</v>
      </c>
      <c r="F29" s="46"/>
      <c r="G29" s="55"/>
      <c r="Q29">
        <f t="shared" si="2"/>
        <v>4</v>
      </c>
    </row>
    <row r="30" spans="2:17" ht="23.25">
      <c r="B30" s="4">
        <v>4</v>
      </c>
      <c r="C30" s="45" t="s">
        <v>35</v>
      </c>
      <c r="D30" s="46"/>
      <c r="E30" s="46" t="s">
        <v>32</v>
      </c>
      <c r="F30" s="46"/>
      <c r="G30" s="55"/>
      <c r="H30" s="5"/>
      <c r="Q30">
        <f t="shared" si="2"/>
        <v>4</v>
      </c>
    </row>
    <row r="31" spans="2:17" ht="23.25">
      <c r="B31" s="4">
        <v>5</v>
      </c>
      <c r="C31" s="45" t="s">
        <v>36</v>
      </c>
      <c r="D31" s="46"/>
      <c r="E31" s="46" t="s">
        <v>32</v>
      </c>
      <c r="F31" s="46"/>
      <c r="G31" s="55"/>
      <c r="H31" s="5"/>
      <c r="Q31">
        <f t="shared" si="2"/>
        <v>4</v>
      </c>
    </row>
    <row r="32" spans="2:17" ht="23.25">
      <c r="B32" s="4">
        <v>6</v>
      </c>
      <c r="C32" s="45" t="s">
        <v>37</v>
      </c>
      <c r="D32" s="46"/>
      <c r="E32" s="46" t="s">
        <v>32</v>
      </c>
      <c r="F32" s="46"/>
      <c r="G32" s="55"/>
      <c r="H32" s="5"/>
      <c r="Q32">
        <f t="shared" si="2"/>
        <v>4</v>
      </c>
    </row>
    <row r="33" spans="2:17" ht="12.75">
      <c r="B33" s="4">
        <v>7</v>
      </c>
      <c r="C33" s="45" t="s">
        <v>38</v>
      </c>
      <c r="D33" s="48" t="s">
        <v>32</v>
      </c>
      <c r="E33" s="48"/>
      <c r="F33" s="49"/>
      <c r="G33" s="49"/>
      <c r="H33" s="5"/>
      <c r="Q33">
        <f t="shared" si="2"/>
        <v>5</v>
      </c>
    </row>
    <row r="34" spans="2:17" ht="12.75">
      <c r="B34" s="1"/>
      <c r="Q34">
        <f>AVERAGE(Q27:Q33)</f>
        <v>4.1428571428571432</v>
      </c>
    </row>
    <row r="35" spans="2:17" ht="12.75">
      <c r="B35" s="70" t="s">
        <v>12</v>
      </c>
      <c r="C35" s="71"/>
      <c r="D35" s="62" t="s">
        <v>41</v>
      </c>
      <c r="E35" s="72"/>
      <c r="F35" s="72"/>
    </row>
    <row r="36" spans="2:17" ht="35.25">
      <c r="B36" s="3" t="s">
        <v>11</v>
      </c>
      <c r="C36" s="3" t="s">
        <v>27</v>
      </c>
      <c r="D36" s="54" t="s">
        <v>28</v>
      </c>
      <c r="E36" s="54" t="s">
        <v>29</v>
      </c>
      <c r="F36" s="54" t="s">
        <v>30</v>
      </c>
      <c r="G36" s="3" t="s">
        <v>16</v>
      </c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35.25">
      <c r="B37" s="4">
        <v>1</v>
      </c>
      <c r="C37" s="45" t="s">
        <v>31</v>
      </c>
      <c r="D37" s="46"/>
      <c r="E37" s="46" t="s">
        <v>32</v>
      </c>
      <c r="F37" s="46"/>
      <c r="G37" s="55"/>
      <c r="Q37">
        <f>COUNTA(D37)*5 +COUNTA(E37)*4+COUNTA(F37)*1</f>
        <v>4</v>
      </c>
    </row>
    <row r="38" spans="2:17" ht="23.25">
      <c r="B38" s="4">
        <v>2</v>
      </c>
      <c r="C38" s="45" t="s">
        <v>33</v>
      </c>
      <c r="D38" s="46"/>
      <c r="E38" s="47" t="s">
        <v>32</v>
      </c>
      <c r="F38" s="46"/>
      <c r="G38" s="55"/>
      <c r="Q38">
        <f t="shared" ref="Q38:Q43" si="3">COUNTA(D38)*5 +COUNTA(E38)*4+COUNTA(F38)*1</f>
        <v>4</v>
      </c>
    </row>
    <row r="39" spans="2:17" ht="12.75">
      <c r="B39" s="4">
        <v>3</v>
      </c>
      <c r="C39" s="45" t="s">
        <v>34</v>
      </c>
      <c r="D39" s="46"/>
      <c r="E39" s="46" t="s">
        <v>32</v>
      </c>
      <c r="F39" s="46"/>
      <c r="G39" s="55"/>
      <c r="Q39">
        <f t="shared" si="3"/>
        <v>4</v>
      </c>
    </row>
    <row r="40" spans="2:17" ht="23.25">
      <c r="B40" s="4">
        <v>4</v>
      </c>
      <c r="C40" s="45" t="s">
        <v>35</v>
      </c>
      <c r="D40" s="46"/>
      <c r="E40" s="46" t="s">
        <v>32</v>
      </c>
      <c r="F40" s="46"/>
      <c r="G40" s="55"/>
      <c r="H40" s="5"/>
      <c r="Q40">
        <f t="shared" si="3"/>
        <v>4</v>
      </c>
    </row>
    <row r="41" spans="2:17" ht="23.25">
      <c r="B41" s="4">
        <v>5</v>
      </c>
      <c r="C41" s="45" t="s">
        <v>36</v>
      </c>
      <c r="D41" s="46"/>
      <c r="E41" s="46" t="s">
        <v>32</v>
      </c>
      <c r="F41" s="46"/>
      <c r="G41" s="55"/>
      <c r="H41" s="5"/>
      <c r="Q41">
        <f t="shared" si="3"/>
        <v>4</v>
      </c>
    </row>
    <row r="42" spans="2:17" ht="23.25">
      <c r="B42" s="4">
        <v>6</v>
      </c>
      <c r="C42" s="45" t="s">
        <v>37</v>
      </c>
      <c r="D42" s="46"/>
      <c r="E42" s="46" t="s">
        <v>32</v>
      </c>
      <c r="F42" s="46"/>
      <c r="G42" s="55"/>
      <c r="H42" s="5"/>
      <c r="Q42">
        <f t="shared" si="3"/>
        <v>4</v>
      </c>
    </row>
    <row r="43" spans="2:17" ht="12.75">
      <c r="B43" s="4">
        <v>7</v>
      </c>
      <c r="C43" s="45" t="s">
        <v>38</v>
      </c>
      <c r="D43" s="48" t="s">
        <v>32</v>
      </c>
      <c r="E43" s="48"/>
      <c r="F43" s="49"/>
      <c r="G43" s="49"/>
      <c r="H43" s="5"/>
      <c r="Q43">
        <f t="shared" si="3"/>
        <v>5</v>
      </c>
    </row>
    <row r="44" spans="2:17" ht="12.75">
      <c r="B44" s="1"/>
      <c r="Q44">
        <f>AVERAGE(Q37:Q43)</f>
        <v>4.1428571428571432</v>
      </c>
    </row>
    <row r="45" spans="2:17" ht="12.75">
      <c r="B45" s="70" t="s">
        <v>12</v>
      </c>
      <c r="C45" s="71"/>
      <c r="D45" s="62" t="s">
        <v>42</v>
      </c>
      <c r="E45" s="72"/>
      <c r="F45" s="72"/>
    </row>
    <row r="46" spans="2:17" ht="35.25">
      <c r="B46" s="3" t="s">
        <v>11</v>
      </c>
      <c r="C46" s="3" t="s">
        <v>27</v>
      </c>
      <c r="D46" s="54" t="s">
        <v>28</v>
      </c>
      <c r="E46" s="54" t="s">
        <v>29</v>
      </c>
      <c r="F46" s="54" t="s">
        <v>30</v>
      </c>
      <c r="G46" s="3" t="s">
        <v>16</v>
      </c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2:17" ht="35.25">
      <c r="B47" s="4">
        <v>1</v>
      </c>
      <c r="C47" s="45" t="s">
        <v>31</v>
      </c>
      <c r="D47" s="46"/>
      <c r="E47" s="46" t="s">
        <v>32</v>
      </c>
      <c r="F47" s="46"/>
      <c r="G47" s="55"/>
      <c r="Q47">
        <f>COUNTA(D47)*5 +COUNTA(E47)*4+COUNTA(F47)*1</f>
        <v>4</v>
      </c>
    </row>
    <row r="48" spans="2:17" ht="23.25">
      <c r="B48" s="4">
        <v>2</v>
      </c>
      <c r="C48" s="45" t="s">
        <v>33</v>
      </c>
      <c r="D48" s="46"/>
      <c r="E48" s="47" t="s">
        <v>32</v>
      </c>
      <c r="F48" s="46"/>
      <c r="G48" s="55"/>
      <c r="Q48">
        <f t="shared" ref="Q48:Q53" si="4">COUNTA(D48)*5 +COUNTA(E48)*4+COUNTA(F48)*1</f>
        <v>4</v>
      </c>
    </row>
    <row r="49" spans="2:17" ht="12.75">
      <c r="B49" s="4">
        <v>3</v>
      </c>
      <c r="C49" s="45" t="s">
        <v>34</v>
      </c>
      <c r="D49" s="46"/>
      <c r="E49" s="46" t="s">
        <v>32</v>
      </c>
      <c r="F49" s="46"/>
      <c r="G49" s="55"/>
      <c r="Q49">
        <f t="shared" si="4"/>
        <v>4</v>
      </c>
    </row>
    <row r="50" spans="2:17" ht="23.25">
      <c r="B50" s="4">
        <v>4</v>
      </c>
      <c r="C50" s="45" t="s">
        <v>35</v>
      </c>
      <c r="D50" s="46"/>
      <c r="E50" s="46" t="s">
        <v>32</v>
      </c>
      <c r="F50" s="46"/>
      <c r="G50" s="55"/>
      <c r="H50" s="5"/>
      <c r="Q50">
        <f t="shared" si="4"/>
        <v>4</v>
      </c>
    </row>
    <row r="51" spans="2:17" ht="23.25">
      <c r="B51" s="4">
        <v>5</v>
      </c>
      <c r="C51" s="45" t="s">
        <v>36</v>
      </c>
      <c r="D51" s="46"/>
      <c r="E51" s="46" t="s">
        <v>32</v>
      </c>
      <c r="F51" s="46"/>
      <c r="G51" s="55"/>
      <c r="H51" s="5"/>
      <c r="Q51">
        <f t="shared" si="4"/>
        <v>4</v>
      </c>
    </row>
    <row r="52" spans="2:17" ht="23.25">
      <c r="B52" s="4">
        <v>6</v>
      </c>
      <c r="C52" s="45" t="s">
        <v>37</v>
      </c>
      <c r="D52" s="46"/>
      <c r="E52" s="46" t="s">
        <v>32</v>
      </c>
      <c r="F52" s="46"/>
      <c r="G52" s="55"/>
      <c r="H52" s="5"/>
      <c r="Q52">
        <f t="shared" si="4"/>
        <v>4</v>
      </c>
    </row>
    <row r="53" spans="2:17" ht="12.75">
      <c r="B53" s="4">
        <v>7</v>
      </c>
      <c r="C53" s="45" t="s">
        <v>38</v>
      </c>
      <c r="D53" s="48" t="s">
        <v>32</v>
      </c>
      <c r="E53" s="48"/>
      <c r="F53" s="49"/>
      <c r="G53" s="49"/>
      <c r="H53" s="5"/>
      <c r="Q53">
        <f t="shared" si="4"/>
        <v>5</v>
      </c>
    </row>
    <row r="54" spans="2:17" ht="12.75">
      <c r="B54" s="1"/>
      <c r="Q54">
        <f>AVERAGE(Q47:Q53)</f>
        <v>4.1428571428571432</v>
      </c>
    </row>
    <row r="55" spans="2:17" ht="12.75">
      <c r="B55" s="70" t="s">
        <v>12</v>
      </c>
      <c r="C55" s="71"/>
      <c r="D55" s="62" t="s">
        <v>43</v>
      </c>
      <c r="E55" s="72"/>
      <c r="F55" s="72"/>
    </row>
    <row r="56" spans="2:17" ht="36">
      <c r="B56" s="3" t="s">
        <v>11</v>
      </c>
      <c r="C56" s="3" t="s">
        <v>27</v>
      </c>
      <c r="D56" s="54" t="s">
        <v>28</v>
      </c>
      <c r="E56" s="54" t="s">
        <v>29</v>
      </c>
      <c r="F56" s="54" t="s">
        <v>30</v>
      </c>
      <c r="G56" s="3" t="s">
        <v>16</v>
      </c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2:17" ht="36">
      <c r="B57" s="4">
        <v>1</v>
      </c>
      <c r="C57" s="45" t="s">
        <v>31</v>
      </c>
      <c r="D57" s="46"/>
      <c r="E57" s="46" t="s">
        <v>32</v>
      </c>
      <c r="F57" s="46"/>
      <c r="G57" s="55"/>
      <c r="Q57">
        <f>COUNTA(D57)*5 +COUNTA(E57)*4+COUNTA(F57)*1</f>
        <v>4</v>
      </c>
    </row>
    <row r="58" spans="2:17" ht="24">
      <c r="B58" s="4">
        <v>2</v>
      </c>
      <c r="C58" s="45" t="s">
        <v>33</v>
      </c>
      <c r="D58" s="46"/>
      <c r="E58" s="47" t="s">
        <v>32</v>
      </c>
      <c r="F58" s="46"/>
      <c r="G58" s="55"/>
      <c r="Q58">
        <f t="shared" ref="Q58:Q63" si="5">COUNTA(D58)*5 +COUNTA(E58)*4+COUNTA(F58)*1</f>
        <v>4</v>
      </c>
    </row>
    <row r="59" spans="2:17" ht="12.75">
      <c r="B59" s="4">
        <v>3</v>
      </c>
      <c r="C59" s="45" t="s">
        <v>34</v>
      </c>
      <c r="D59" s="46"/>
      <c r="E59" s="46" t="s">
        <v>32</v>
      </c>
      <c r="F59" s="46"/>
      <c r="G59" s="55"/>
      <c r="Q59">
        <f t="shared" si="5"/>
        <v>4</v>
      </c>
    </row>
    <row r="60" spans="2:17" ht="24">
      <c r="B60" s="4">
        <v>4</v>
      </c>
      <c r="C60" s="45" t="s">
        <v>35</v>
      </c>
      <c r="D60" s="46"/>
      <c r="E60" s="46" t="s">
        <v>32</v>
      </c>
      <c r="F60" s="46"/>
      <c r="G60" s="55"/>
      <c r="H60" s="5"/>
      <c r="Q60">
        <f t="shared" si="5"/>
        <v>4</v>
      </c>
    </row>
    <row r="61" spans="2:17" ht="24">
      <c r="B61" s="4">
        <v>5</v>
      </c>
      <c r="C61" s="45" t="s">
        <v>36</v>
      </c>
      <c r="D61" s="46"/>
      <c r="E61" s="46" t="s">
        <v>32</v>
      </c>
      <c r="F61" s="46"/>
      <c r="G61" s="55"/>
      <c r="H61" s="5"/>
      <c r="Q61">
        <f t="shared" si="5"/>
        <v>4</v>
      </c>
    </row>
    <row r="62" spans="2:17" ht="24">
      <c r="B62" s="4">
        <v>6</v>
      </c>
      <c r="C62" s="45" t="s">
        <v>37</v>
      </c>
      <c r="D62" s="46"/>
      <c r="E62" s="46" t="s">
        <v>32</v>
      </c>
      <c r="F62" s="46"/>
      <c r="G62" s="55"/>
      <c r="H62" s="5"/>
      <c r="Q62">
        <f t="shared" si="5"/>
        <v>4</v>
      </c>
    </row>
    <row r="63" spans="2:17" ht="12.75">
      <c r="B63" s="4">
        <v>7</v>
      </c>
      <c r="C63" s="45" t="s">
        <v>38</v>
      </c>
      <c r="D63" s="48" t="s">
        <v>32</v>
      </c>
      <c r="E63" s="48"/>
      <c r="F63" s="49"/>
      <c r="G63" s="49"/>
      <c r="H63" s="5"/>
      <c r="Q63">
        <f t="shared" si="5"/>
        <v>5</v>
      </c>
    </row>
    <row r="64" spans="2:17" ht="12.75">
      <c r="B64" s="1"/>
      <c r="Q64">
        <f>AVERAGE(Q57:Q63)</f>
        <v>4.1428571428571432</v>
      </c>
    </row>
    <row r="65" spans="2:17" ht="12.75">
      <c r="B65" s="70" t="s">
        <v>12</v>
      </c>
      <c r="C65" s="71"/>
      <c r="D65" s="62" t="s">
        <v>44</v>
      </c>
      <c r="E65" s="72"/>
      <c r="F65" s="72"/>
    </row>
    <row r="66" spans="2:17" ht="36">
      <c r="B66" s="3" t="s">
        <v>11</v>
      </c>
      <c r="C66" s="3" t="s">
        <v>27</v>
      </c>
      <c r="D66" s="54" t="s">
        <v>28</v>
      </c>
      <c r="E66" s="54" t="s">
        <v>29</v>
      </c>
      <c r="F66" s="54" t="s">
        <v>30</v>
      </c>
      <c r="G66" s="3" t="s">
        <v>16</v>
      </c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2:17" ht="36">
      <c r="B67" s="4">
        <v>1</v>
      </c>
      <c r="C67" s="45" t="s">
        <v>31</v>
      </c>
      <c r="D67" s="46"/>
      <c r="E67" s="46" t="s">
        <v>32</v>
      </c>
      <c r="F67" s="46"/>
      <c r="G67" s="55"/>
      <c r="Q67">
        <f>COUNTA(D67)*5 +COUNTA(E67)*4+COUNTA(F67)*1</f>
        <v>4</v>
      </c>
    </row>
    <row r="68" spans="2:17" ht="24">
      <c r="B68" s="4">
        <v>2</v>
      </c>
      <c r="C68" s="45" t="s">
        <v>33</v>
      </c>
      <c r="D68" s="46"/>
      <c r="E68" s="47" t="s">
        <v>32</v>
      </c>
      <c r="F68" s="46"/>
      <c r="G68" s="55"/>
      <c r="Q68">
        <f t="shared" ref="Q68:Q73" si="6">COUNTA(D68)*5 +COUNTA(E68)*4+COUNTA(F68)*1</f>
        <v>4</v>
      </c>
    </row>
    <row r="69" spans="2:17" ht="12.75">
      <c r="B69" s="4">
        <v>3</v>
      </c>
      <c r="C69" s="45" t="s">
        <v>34</v>
      </c>
      <c r="D69" s="46"/>
      <c r="E69" s="46" t="s">
        <v>32</v>
      </c>
      <c r="F69" s="46"/>
      <c r="G69" s="55"/>
      <c r="Q69">
        <f t="shared" si="6"/>
        <v>4</v>
      </c>
    </row>
    <row r="70" spans="2:17" ht="24">
      <c r="B70" s="4">
        <v>4</v>
      </c>
      <c r="C70" s="45" t="s">
        <v>35</v>
      </c>
      <c r="D70" s="46"/>
      <c r="E70" s="46" t="s">
        <v>32</v>
      </c>
      <c r="F70" s="46"/>
      <c r="G70" s="55"/>
      <c r="H70" s="5"/>
      <c r="Q70">
        <f t="shared" si="6"/>
        <v>4</v>
      </c>
    </row>
    <row r="71" spans="2:17" ht="24">
      <c r="B71" s="4">
        <v>5</v>
      </c>
      <c r="C71" s="45" t="s">
        <v>36</v>
      </c>
      <c r="D71" s="46"/>
      <c r="E71" s="46" t="s">
        <v>32</v>
      </c>
      <c r="F71" s="46"/>
      <c r="G71" s="55"/>
      <c r="H71" s="5"/>
      <c r="Q71">
        <f t="shared" si="6"/>
        <v>4</v>
      </c>
    </row>
    <row r="72" spans="2:17" ht="24">
      <c r="B72" s="4">
        <v>6</v>
      </c>
      <c r="C72" s="45" t="s">
        <v>37</v>
      </c>
      <c r="D72" s="46"/>
      <c r="E72" s="46" t="s">
        <v>32</v>
      </c>
      <c r="F72" s="46"/>
      <c r="G72" s="55"/>
      <c r="H72" s="5"/>
      <c r="Q72">
        <f t="shared" si="6"/>
        <v>4</v>
      </c>
    </row>
    <row r="73" spans="2:17" ht="12.75">
      <c r="B73" s="4">
        <v>7</v>
      </c>
      <c r="C73" s="45" t="s">
        <v>38</v>
      </c>
      <c r="D73" s="48" t="s">
        <v>32</v>
      </c>
      <c r="E73" s="48"/>
      <c r="F73" s="49"/>
      <c r="G73" s="49"/>
      <c r="H73" s="5"/>
      <c r="Q73">
        <f t="shared" si="6"/>
        <v>5</v>
      </c>
    </row>
    <row r="74" spans="2:17" ht="12.75">
      <c r="B74" s="1"/>
      <c r="Q74">
        <f>AVERAGE(Q67:Q73)</f>
        <v>4.1428571428571432</v>
      </c>
    </row>
    <row r="75" spans="2:17" ht="12.75">
      <c r="B75" s="70" t="s">
        <v>12</v>
      </c>
      <c r="C75" s="71"/>
      <c r="D75" s="62" t="s">
        <v>45</v>
      </c>
      <c r="E75" s="72"/>
      <c r="F75" s="72"/>
    </row>
    <row r="76" spans="2:17" ht="36">
      <c r="B76" s="3" t="s">
        <v>11</v>
      </c>
      <c r="C76" s="3" t="s">
        <v>27</v>
      </c>
      <c r="D76" s="54" t="s">
        <v>28</v>
      </c>
      <c r="E76" s="54" t="s">
        <v>29</v>
      </c>
      <c r="F76" s="54" t="s">
        <v>30</v>
      </c>
      <c r="G76" s="3" t="s">
        <v>16</v>
      </c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2:17" ht="36">
      <c r="B77" s="4">
        <v>1</v>
      </c>
      <c r="C77" s="45" t="s">
        <v>31</v>
      </c>
      <c r="D77" s="46"/>
      <c r="E77" s="46" t="s">
        <v>32</v>
      </c>
      <c r="F77" s="46"/>
      <c r="G77" s="55"/>
      <c r="Q77">
        <f>COUNTA(D77)*5 +COUNTA(E77)*4+COUNTA(F77)*1</f>
        <v>4</v>
      </c>
    </row>
    <row r="78" spans="2:17" ht="24">
      <c r="B78" s="4">
        <v>2</v>
      </c>
      <c r="C78" s="45" t="s">
        <v>33</v>
      </c>
      <c r="D78" s="46"/>
      <c r="E78" s="47" t="s">
        <v>32</v>
      </c>
      <c r="F78" s="46"/>
      <c r="G78" s="55"/>
      <c r="Q78">
        <f t="shared" ref="Q78:Q83" si="7">COUNTA(D78)*5 +COUNTA(E78)*4+COUNTA(F78)*1</f>
        <v>4</v>
      </c>
    </row>
    <row r="79" spans="2:17" ht="12.75">
      <c r="B79" s="4">
        <v>3</v>
      </c>
      <c r="C79" s="45" t="s">
        <v>34</v>
      </c>
      <c r="D79" s="46"/>
      <c r="E79" s="46" t="s">
        <v>32</v>
      </c>
      <c r="F79" s="46"/>
      <c r="G79" s="55"/>
      <c r="Q79">
        <f t="shared" si="7"/>
        <v>4</v>
      </c>
    </row>
    <row r="80" spans="2:17" ht="24">
      <c r="B80" s="4">
        <v>4</v>
      </c>
      <c r="C80" s="45" t="s">
        <v>35</v>
      </c>
      <c r="D80" s="46"/>
      <c r="E80" s="46" t="s">
        <v>32</v>
      </c>
      <c r="F80" s="46"/>
      <c r="G80" s="55"/>
      <c r="H80" s="5"/>
      <c r="Q80">
        <f t="shared" si="7"/>
        <v>4</v>
      </c>
    </row>
    <row r="81" spans="2:17" ht="24">
      <c r="B81" s="4">
        <v>5</v>
      </c>
      <c r="C81" s="45" t="s">
        <v>36</v>
      </c>
      <c r="D81" s="46"/>
      <c r="E81" s="46" t="s">
        <v>32</v>
      </c>
      <c r="F81" s="46"/>
      <c r="G81" s="55"/>
      <c r="H81" s="5"/>
      <c r="Q81">
        <f t="shared" si="7"/>
        <v>4</v>
      </c>
    </row>
    <row r="82" spans="2:17" ht="24">
      <c r="B82" s="4">
        <v>6</v>
      </c>
      <c r="C82" s="45" t="s">
        <v>37</v>
      </c>
      <c r="D82" s="46"/>
      <c r="E82" s="46" t="s">
        <v>32</v>
      </c>
      <c r="F82" s="46"/>
      <c r="G82" s="55"/>
      <c r="H82" s="5"/>
      <c r="Q82">
        <f t="shared" si="7"/>
        <v>4</v>
      </c>
    </row>
    <row r="83" spans="2:17" ht="12.75">
      <c r="B83" s="4">
        <v>7</v>
      </c>
      <c r="C83" s="45" t="s">
        <v>38</v>
      </c>
      <c r="D83" s="48" t="s">
        <v>32</v>
      </c>
      <c r="E83" s="48"/>
      <c r="F83" s="49"/>
      <c r="G83" s="49"/>
      <c r="H83" s="5"/>
      <c r="Q83">
        <f t="shared" si="7"/>
        <v>5</v>
      </c>
    </row>
    <row r="84" spans="2:17" ht="12.75">
      <c r="B84" s="1"/>
      <c r="Q84">
        <f>AVERAGE(Q77:Q83)</f>
        <v>4.1428571428571432</v>
      </c>
    </row>
    <row r="85" spans="2:17" ht="12.75">
      <c r="B85" s="70" t="s">
        <v>12</v>
      </c>
      <c r="C85" s="71"/>
      <c r="D85" s="62" t="s">
        <v>46</v>
      </c>
      <c r="E85" s="72"/>
      <c r="F85" s="72"/>
    </row>
    <row r="86" spans="2:17" ht="36">
      <c r="B86" s="3" t="s">
        <v>11</v>
      </c>
      <c r="C86" s="3" t="s">
        <v>27</v>
      </c>
      <c r="D86" s="54" t="s">
        <v>28</v>
      </c>
      <c r="E86" s="54" t="s">
        <v>29</v>
      </c>
      <c r="F86" s="54" t="s">
        <v>30</v>
      </c>
      <c r="G86" s="3" t="s">
        <v>16</v>
      </c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2:17" ht="36">
      <c r="B87" s="4">
        <v>1</v>
      </c>
      <c r="C87" s="45" t="s">
        <v>31</v>
      </c>
      <c r="D87" s="46"/>
      <c r="E87" s="46" t="s">
        <v>32</v>
      </c>
      <c r="F87" s="46"/>
      <c r="G87" s="55"/>
      <c r="Q87">
        <f>COUNTA(D87)*5 +COUNTA(E87)*4+COUNTA(F87)*1</f>
        <v>4</v>
      </c>
    </row>
    <row r="88" spans="2:17" ht="24">
      <c r="B88" s="4">
        <v>2</v>
      </c>
      <c r="C88" s="45" t="s">
        <v>33</v>
      </c>
      <c r="D88" s="46"/>
      <c r="E88" s="47" t="s">
        <v>32</v>
      </c>
      <c r="F88" s="46"/>
      <c r="G88" s="55"/>
      <c r="Q88">
        <f t="shared" ref="Q88:Q93" si="8">COUNTA(D88)*5 +COUNTA(E88)*4+COUNTA(F88)*1</f>
        <v>4</v>
      </c>
    </row>
    <row r="89" spans="2:17" ht="12.75">
      <c r="B89" s="4">
        <v>3</v>
      </c>
      <c r="C89" s="45" t="s">
        <v>34</v>
      </c>
      <c r="D89" s="46"/>
      <c r="E89" s="46" t="s">
        <v>32</v>
      </c>
      <c r="F89" s="46"/>
      <c r="G89" s="55"/>
      <c r="Q89">
        <f t="shared" si="8"/>
        <v>4</v>
      </c>
    </row>
    <row r="90" spans="2:17" ht="24">
      <c r="B90" s="4">
        <v>4</v>
      </c>
      <c r="C90" s="45" t="s">
        <v>35</v>
      </c>
      <c r="D90" s="46"/>
      <c r="E90" s="46" t="s">
        <v>32</v>
      </c>
      <c r="F90" s="46"/>
      <c r="G90" s="55"/>
      <c r="H90" s="5"/>
      <c r="Q90">
        <f t="shared" si="8"/>
        <v>4</v>
      </c>
    </row>
    <row r="91" spans="2:17" ht="24">
      <c r="B91" s="4">
        <v>5</v>
      </c>
      <c r="C91" s="45" t="s">
        <v>36</v>
      </c>
      <c r="D91" s="46"/>
      <c r="E91" s="46" t="s">
        <v>32</v>
      </c>
      <c r="F91" s="46"/>
      <c r="G91" s="55"/>
      <c r="H91" s="5"/>
      <c r="Q91">
        <f t="shared" si="8"/>
        <v>4</v>
      </c>
    </row>
    <row r="92" spans="2:17" ht="24">
      <c r="B92" s="4">
        <v>6</v>
      </c>
      <c r="C92" s="45" t="s">
        <v>37</v>
      </c>
      <c r="D92" s="46"/>
      <c r="E92" s="46" t="s">
        <v>32</v>
      </c>
      <c r="F92" s="46"/>
      <c r="G92" s="55"/>
      <c r="H92" s="5"/>
      <c r="Q92">
        <f t="shared" si="8"/>
        <v>4</v>
      </c>
    </row>
    <row r="93" spans="2:17" ht="12.75">
      <c r="B93" s="4">
        <v>7</v>
      </c>
      <c r="C93" s="45" t="s">
        <v>38</v>
      </c>
      <c r="D93" s="48" t="s">
        <v>32</v>
      </c>
      <c r="E93" s="48"/>
      <c r="F93" s="49"/>
      <c r="G93" s="49"/>
      <c r="H93" s="5"/>
      <c r="Q93">
        <f t="shared" si="8"/>
        <v>5</v>
      </c>
    </row>
    <row r="94" spans="2:17" ht="12.75">
      <c r="B94" s="1"/>
      <c r="Q94">
        <f>AVERAGE(Q87:Q93)</f>
        <v>4.1428571428571432</v>
      </c>
    </row>
    <row r="95" spans="2:17" ht="12.75">
      <c r="B95" s="70" t="s">
        <v>12</v>
      </c>
      <c r="C95" s="71"/>
      <c r="D95" s="62" t="s">
        <v>47</v>
      </c>
      <c r="E95" s="72"/>
      <c r="F95" s="72"/>
    </row>
    <row r="96" spans="2:17" ht="36">
      <c r="B96" s="3" t="s">
        <v>11</v>
      </c>
      <c r="C96" s="3" t="s">
        <v>27</v>
      </c>
      <c r="D96" s="54" t="s">
        <v>28</v>
      </c>
      <c r="E96" s="54" t="s">
        <v>29</v>
      </c>
      <c r="F96" s="54" t="s">
        <v>30</v>
      </c>
      <c r="G96" s="3" t="s">
        <v>16</v>
      </c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2:17" ht="36">
      <c r="B97" s="4">
        <v>1</v>
      </c>
      <c r="C97" s="45" t="s">
        <v>31</v>
      </c>
      <c r="D97" s="46"/>
      <c r="E97" s="46" t="s">
        <v>32</v>
      </c>
      <c r="F97" s="46"/>
      <c r="G97" s="55"/>
      <c r="Q97">
        <f>COUNTA(D97)*5 +COUNTA(E97)*4+COUNTA(F97)*1</f>
        <v>4</v>
      </c>
    </row>
    <row r="98" spans="2:17" ht="24">
      <c r="B98" s="4">
        <v>2</v>
      </c>
      <c r="C98" s="45" t="s">
        <v>33</v>
      </c>
      <c r="D98" s="46"/>
      <c r="E98" s="47" t="s">
        <v>32</v>
      </c>
      <c r="F98" s="46"/>
      <c r="G98" s="55"/>
      <c r="Q98">
        <f t="shared" ref="Q98:Q103" si="9">COUNTA(D98)*5 +COUNTA(E98)*4+COUNTA(F98)*1</f>
        <v>4</v>
      </c>
    </row>
    <row r="99" spans="2:17" ht="12.75">
      <c r="B99" s="4">
        <v>3</v>
      </c>
      <c r="C99" s="45" t="s">
        <v>34</v>
      </c>
      <c r="D99" s="46"/>
      <c r="E99" s="46" t="s">
        <v>32</v>
      </c>
      <c r="F99" s="46"/>
      <c r="G99" s="55"/>
      <c r="Q99">
        <f t="shared" si="9"/>
        <v>4</v>
      </c>
    </row>
    <row r="100" spans="2:17" ht="24">
      <c r="B100" s="4">
        <v>4</v>
      </c>
      <c r="C100" s="45" t="s">
        <v>35</v>
      </c>
      <c r="D100" s="46"/>
      <c r="E100" s="46" t="s">
        <v>32</v>
      </c>
      <c r="F100" s="46"/>
      <c r="G100" s="55"/>
      <c r="H100" s="5"/>
      <c r="Q100">
        <f t="shared" si="9"/>
        <v>4</v>
      </c>
    </row>
    <row r="101" spans="2:17" ht="24">
      <c r="B101" s="4">
        <v>5</v>
      </c>
      <c r="C101" s="45" t="s">
        <v>36</v>
      </c>
      <c r="D101" s="46"/>
      <c r="E101" s="46" t="s">
        <v>32</v>
      </c>
      <c r="F101" s="46"/>
      <c r="G101" s="55"/>
      <c r="H101" s="5"/>
      <c r="Q101">
        <f t="shared" si="9"/>
        <v>4</v>
      </c>
    </row>
    <row r="102" spans="2:17" ht="24">
      <c r="B102" s="4">
        <v>6</v>
      </c>
      <c r="C102" s="45" t="s">
        <v>37</v>
      </c>
      <c r="D102" s="46"/>
      <c r="E102" s="46" t="s">
        <v>32</v>
      </c>
      <c r="F102" s="46"/>
      <c r="G102" s="55"/>
      <c r="H102" s="5"/>
      <c r="Q102">
        <f t="shared" si="9"/>
        <v>4</v>
      </c>
    </row>
    <row r="103" spans="2:17" ht="12.75">
      <c r="B103" s="4">
        <v>7</v>
      </c>
      <c r="C103" s="45" t="s">
        <v>38</v>
      </c>
      <c r="D103" s="48" t="s">
        <v>32</v>
      </c>
      <c r="E103" s="48"/>
      <c r="F103" s="49"/>
      <c r="G103" s="49"/>
      <c r="H103" s="5"/>
      <c r="Q103">
        <f t="shared" si="9"/>
        <v>5</v>
      </c>
    </row>
    <row r="104" spans="2:17" ht="12.75">
      <c r="B104" s="1"/>
      <c r="Q104">
        <f>AVERAGE(Q97:Q103)</f>
        <v>4.1428571428571432</v>
      </c>
    </row>
    <row r="105" spans="2:17" ht="12.75">
      <c r="B105" s="70" t="s">
        <v>12</v>
      </c>
      <c r="C105" s="71"/>
      <c r="D105" s="62" t="s">
        <v>48</v>
      </c>
      <c r="E105" s="72"/>
      <c r="F105" s="72"/>
    </row>
    <row r="106" spans="2:17" ht="36">
      <c r="B106" s="3" t="s">
        <v>11</v>
      </c>
      <c r="C106" s="3" t="s">
        <v>27</v>
      </c>
      <c r="D106" s="54" t="s">
        <v>28</v>
      </c>
      <c r="E106" s="54" t="s">
        <v>29</v>
      </c>
      <c r="F106" s="54" t="s">
        <v>30</v>
      </c>
      <c r="G106" s="3" t="s">
        <v>16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2:17" ht="36">
      <c r="B107" s="4">
        <v>1</v>
      </c>
      <c r="C107" s="45" t="s">
        <v>31</v>
      </c>
      <c r="D107" s="46"/>
      <c r="E107" s="46" t="s">
        <v>32</v>
      </c>
      <c r="F107" s="46"/>
      <c r="G107" s="55"/>
      <c r="Q107">
        <f>COUNTA(D107)*5 +COUNTA(E107)*4+COUNTA(F107)*1</f>
        <v>4</v>
      </c>
    </row>
    <row r="108" spans="2:17" ht="24">
      <c r="B108" s="4">
        <v>2</v>
      </c>
      <c r="C108" s="45" t="s">
        <v>33</v>
      </c>
      <c r="D108" s="46"/>
      <c r="E108" s="47" t="s">
        <v>32</v>
      </c>
      <c r="F108" s="46"/>
      <c r="G108" s="55"/>
      <c r="Q108">
        <f t="shared" ref="Q108:Q113" si="10">COUNTA(D108)*5 +COUNTA(E108)*4+COUNTA(F108)*1</f>
        <v>4</v>
      </c>
    </row>
    <row r="109" spans="2:17" ht="12.75">
      <c r="B109" s="4">
        <v>3</v>
      </c>
      <c r="C109" s="45" t="s">
        <v>34</v>
      </c>
      <c r="D109" s="46"/>
      <c r="E109" s="46" t="s">
        <v>32</v>
      </c>
      <c r="F109" s="46"/>
      <c r="G109" s="55"/>
      <c r="Q109">
        <f t="shared" si="10"/>
        <v>4</v>
      </c>
    </row>
    <row r="110" spans="2:17" ht="24">
      <c r="B110" s="4">
        <v>4</v>
      </c>
      <c r="C110" s="45" t="s">
        <v>35</v>
      </c>
      <c r="D110" s="46"/>
      <c r="E110" s="46" t="s">
        <v>32</v>
      </c>
      <c r="F110" s="46"/>
      <c r="G110" s="55"/>
      <c r="H110" s="5"/>
      <c r="Q110">
        <f t="shared" si="10"/>
        <v>4</v>
      </c>
    </row>
    <row r="111" spans="2:17" ht="24">
      <c r="B111" s="4">
        <v>5</v>
      </c>
      <c r="C111" s="45" t="s">
        <v>36</v>
      </c>
      <c r="D111" s="46"/>
      <c r="E111" s="46" t="s">
        <v>32</v>
      </c>
      <c r="F111" s="46"/>
      <c r="G111" s="55"/>
      <c r="H111" s="5"/>
      <c r="Q111">
        <f t="shared" si="10"/>
        <v>4</v>
      </c>
    </row>
    <row r="112" spans="2:17" ht="24">
      <c r="B112" s="4">
        <v>6</v>
      </c>
      <c r="C112" s="45" t="s">
        <v>37</v>
      </c>
      <c r="D112" s="46"/>
      <c r="E112" s="46" t="s">
        <v>32</v>
      </c>
      <c r="F112" s="46"/>
      <c r="G112" s="55"/>
      <c r="H112" s="5"/>
      <c r="Q112">
        <f t="shared" si="10"/>
        <v>4</v>
      </c>
    </row>
    <row r="113" spans="2:17" ht="12.75">
      <c r="B113" s="4">
        <v>7</v>
      </c>
      <c r="C113" s="45" t="s">
        <v>38</v>
      </c>
      <c r="D113" s="48" t="s">
        <v>32</v>
      </c>
      <c r="E113" s="48"/>
      <c r="F113" s="49"/>
      <c r="G113" s="49"/>
      <c r="H113" s="5"/>
      <c r="Q113">
        <f t="shared" si="10"/>
        <v>5</v>
      </c>
    </row>
    <row r="114" spans="2:17" ht="12.75">
      <c r="B114" s="1"/>
      <c r="Q114">
        <f>AVERAGE(Q107:Q113)</f>
        <v>4.1428571428571432</v>
      </c>
    </row>
    <row r="115" spans="2:17" ht="12.75">
      <c r="B115" s="1"/>
    </row>
    <row r="116" spans="2:17" ht="12.75">
      <c r="B116" s="1"/>
    </row>
    <row r="117" spans="2:17" ht="12.75">
      <c r="B117" s="1"/>
    </row>
    <row r="118" spans="2:17" ht="12.75">
      <c r="B118" s="1"/>
    </row>
    <row r="119" spans="2:17" ht="12.75">
      <c r="B119" s="1"/>
    </row>
    <row r="120" spans="2:17" ht="12.75">
      <c r="B120" s="1"/>
    </row>
    <row r="121" spans="2:17" ht="12.75">
      <c r="B121" s="1"/>
    </row>
    <row r="122" spans="2:17" ht="12.75">
      <c r="B122" s="1"/>
    </row>
    <row r="123" spans="2:17" ht="12.75">
      <c r="B123" s="1"/>
    </row>
    <row r="124" spans="2:17" ht="12.75">
      <c r="B124" s="1"/>
    </row>
    <row r="125" spans="2:17" ht="12.75">
      <c r="B125" s="1"/>
    </row>
    <row r="126" spans="2:17" ht="12.75">
      <c r="B126" s="1"/>
    </row>
    <row r="127" spans="2:17" ht="12.75">
      <c r="B127" s="1"/>
    </row>
    <row r="128" spans="2:17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</sheetData>
  <mergeCells count="22">
    <mergeCell ref="B105:C105"/>
    <mergeCell ref="D105:F105"/>
    <mergeCell ref="B5:C5"/>
    <mergeCell ref="D5:F5"/>
    <mergeCell ref="B15:C15"/>
    <mergeCell ref="D15:F15"/>
    <mergeCell ref="B25:C25"/>
    <mergeCell ref="D25:F25"/>
    <mergeCell ref="B35:C35"/>
    <mergeCell ref="D35:F35"/>
    <mergeCell ref="B55:C55"/>
    <mergeCell ref="D55:F55"/>
    <mergeCell ref="B65:C65"/>
    <mergeCell ref="D65:F65"/>
    <mergeCell ref="B45:C45"/>
    <mergeCell ref="D45:F45"/>
    <mergeCell ref="B95:C95"/>
    <mergeCell ref="D95:F95"/>
    <mergeCell ref="B85:C85"/>
    <mergeCell ref="D85:F85"/>
    <mergeCell ref="B75:C75"/>
    <mergeCell ref="D75:F75"/>
  </mergeCells>
  <pageMargins left="0" right="0" top="0" bottom="0" header="0" footer="0"/>
  <pageSetup orientation="landscape"/>
  <headerFooter>
    <oddFooter>&amp;R_x000D_&amp;1#&amp;"Calibri"&amp;8&amp;K000000 Cisco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9C0E-9816-4D02-916D-E8A6321E7C5E}">
  <sheetPr>
    <outlinePr summaryBelow="0" summaryRight="0"/>
  </sheetPr>
  <dimension ref="A1:V939"/>
  <sheetViews>
    <sheetView showGridLines="0" topLeftCell="C64" zoomScale="90" zoomScaleNormal="90" workbookViewId="0">
      <selection activeCell="C2" sqref="C2:D3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2" customWidth="1"/>
    <col min="6" max="6" width="8" customWidth="1"/>
    <col min="7" max="7" width="33.85546875" customWidth="1"/>
    <col min="8" max="8" width="11.85546875" customWidth="1"/>
    <col min="9" max="9" width="12.85546875" customWidth="1"/>
    <col min="10" max="10" width="2.28515625" customWidth="1"/>
    <col min="11" max="11" width="4" customWidth="1"/>
    <col min="12" max="12" width="20.5703125" customWidth="1"/>
    <col min="13" max="13" width="9.140625"/>
  </cols>
  <sheetData>
    <row r="1" spans="1:22" ht="12.75">
      <c r="B1" s="1"/>
    </row>
    <row r="2" spans="1:22" s="27" customFormat="1" ht="12.75" customHeight="1">
      <c r="B2" s="28"/>
      <c r="C2" s="27" t="s">
        <v>49</v>
      </c>
      <c r="D2" s="27" t="s">
        <v>50</v>
      </c>
    </row>
    <row r="3" spans="1:22" ht="12.75">
      <c r="B3" s="1"/>
      <c r="C3" s="27" t="s">
        <v>51</v>
      </c>
      <c r="D3" t="s">
        <v>52</v>
      </c>
    </row>
    <row r="4" spans="1:22" ht="12.75" customHeight="1">
      <c r="B4" s="1"/>
      <c r="L4" s="53" t="s">
        <v>53</v>
      </c>
    </row>
    <row r="5" spans="1:22" ht="12.75">
      <c r="B5" s="70" t="s">
        <v>12</v>
      </c>
      <c r="C5" s="71"/>
      <c r="D5" s="62">
        <v>45757</v>
      </c>
      <c r="E5" s="72"/>
      <c r="F5" s="72"/>
    </row>
    <row r="6" spans="1:22" ht="35.25">
      <c r="A6" s="2"/>
      <c r="B6" s="3" t="s">
        <v>11</v>
      </c>
      <c r="C6" s="3" t="s">
        <v>27</v>
      </c>
      <c r="D6" s="54" t="s">
        <v>28</v>
      </c>
      <c r="E6" s="54" t="s">
        <v>29</v>
      </c>
      <c r="F6" s="54" t="s">
        <v>30</v>
      </c>
      <c r="G6" s="3" t="s">
        <v>16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35.25">
      <c r="B7" s="4">
        <v>1</v>
      </c>
      <c r="C7" s="45" t="s">
        <v>31</v>
      </c>
      <c r="D7" s="46"/>
      <c r="E7" s="46" t="s">
        <v>32</v>
      </c>
      <c r="F7" s="46"/>
      <c r="G7" s="55" t="s">
        <v>54</v>
      </c>
      <c r="Q7">
        <f>COUNTA(D7)*5 +COUNTA(E7)*4+COUNTA(F7)*1</f>
        <v>4</v>
      </c>
    </row>
    <row r="8" spans="1:22" ht="23.25">
      <c r="B8" s="4">
        <v>2</v>
      </c>
      <c r="C8" s="45" t="s">
        <v>33</v>
      </c>
      <c r="D8" s="46"/>
      <c r="E8" s="47" t="s">
        <v>32</v>
      </c>
      <c r="F8" s="46"/>
      <c r="G8" s="55" t="s">
        <v>55</v>
      </c>
      <c r="Q8">
        <f t="shared" ref="Q8:Q13" si="0">COUNTA(D8)*5 +COUNTA(E8)*4+COUNTA(F8)*1</f>
        <v>4</v>
      </c>
    </row>
    <row r="9" spans="1:22" ht="12.75">
      <c r="B9" s="4">
        <v>3</v>
      </c>
      <c r="C9" s="45" t="s">
        <v>34</v>
      </c>
      <c r="D9" s="46"/>
      <c r="E9" s="46" t="s">
        <v>32</v>
      </c>
      <c r="F9" s="46"/>
      <c r="G9" s="46"/>
      <c r="Q9">
        <f t="shared" si="0"/>
        <v>4</v>
      </c>
    </row>
    <row r="10" spans="1:22" ht="23.25">
      <c r="B10" s="4">
        <v>4</v>
      </c>
      <c r="C10" s="45" t="s">
        <v>35</v>
      </c>
      <c r="D10" s="46"/>
      <c r="E10" s="46" t="s">
        <v>32</v>
      </c>
      <c r="F10" s="46"/>
      <c r="G10" s="55" t="s">
        <v>56</v>
      </c>
      <c r="H10" s="5"/>
      <c r="Q10">
        <f t="shared" si="0"/>
        <v>4</v>
      </c>
    </row>
    <row r="11" spans="1:22" ht="23.25">
      <c r="B11" s="4">
        <v>5</v>
      </c>
      <c r="C11" s="45" t="s">
        <v>36</v>
      </c>
      <c r="D11" s="46"/>
      <c r="E11" s="46" t="s">
        <v>32</v>
      </c>
      <c r="F11" s="46"/>
      <c r="G11" s="46"/>
      <c r="H11" s="5"/>
      <c r="Q11">
        <f t="shared" si="0"/>
        <v>4</v>
      </c>
    </row>
    <row r="12" spans="1:22" ht="23.25">
      <c r="B12" s="4">
        <v>6</v>
      </c>
      <c r="C12" s="45" t="s">
        <v>37</v>
      </c>
      <c r="D12" s="46"/>
      <c r="E12" s="46" t="s">
        <v>32</v>
      </c>
      <c r="F12" s="46"/>
      <c r="G12" s="46"/>
      <c r="H12" s="5"/>
      <c r="Q12">
        <f t="shared" si="0"/>
        <v>4</v>
      </c>
    </row>
    <row r="13" spans="1:22" ht="12.75">
      <c r="B13" s="4">
        <v>7</v>
      </c>
      <c r="C13" s="45" t="s">
        <v>38</v>
      </c>
      <c r="D13" s="48"/>
      <c r="E13" s="48" t="s">
        <v>32</v>
      </c>
      <c r="F13" s="49"/>
      <c r="G13" s="49"/>
      <c r="H13" s="5"/>
      <c r="Q13">
        <f t="shared" si="0"/>
        <v>4</v>
      </c>
    </row>
    <row r="14" spans="1:22" ht="12.75">
      <c r="B14" s="1"/>
      <c r="Q14">
        <f>AVERAGE(Q7:Q13)</f>
        <v>4</v>
      </c>
    </row>
    <row r="15" spans="1:22" ht="12.75">
      <c r="B15" s="70" t="s">
        <v>12</v>
      </c>
      <c r="C15" s="71"/>
      <c r="D15" s="62">
        <v>45790</v>
      </c>
      <c r="E15" s="72"/>
      <c r="F15" s="72"/>
    </row>
    <row r="16" spans="1:22" ht="35.25">
      <c r="A16" s="2"/>
      <c r="B16" s="3" t="s">
        <v>11</v>
      </c>
      <c r="C16" s="3" t="s">
        <v>27</v>
      </c>
      <c r="D16" s="54" t="s">
        <v>28</v>
      </c>
      <c r="E16" s="54" t="s">
        <v>29</v>
      </c>
      <c r="F16" s="54" t="s">
        <v>30</v>
      </c>
      <c r="G16" s="3" t="s">
        <v>16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2:17" ht="35.25">
      <c r="B17" s="4">
        <v>1</v>
      </c>
      <c r="C17" s="45" t="s">
        <v>31</v>
      </c>
      <c r="D17" s="46"/>
      <c r="E17" s="46" t="s">
        <v>32</v>
      </c>
      <c r="F17" s="46"/>
      <c r="G17" s="55"/>
      <c r="Q17">
        <f>COUNTA(D17)*5 +COUNTA(E17)*4+COUNTA(F17)*1</f>
        <v>4</v>
      </c>
    </row>
    <row r="18" spans="2:17" ht="23.25">
      <c r="B18" s="4">
        <v>2</v>
      </c>
      <c r="C18" s="45" t="s">
        <v>33</v>
      </c>
      <c r="D18" s="46"/>
      <c r="E18" s="47" t="s">
        <v>32</v>
      </c>
      <c r="F18" s="46"/>
      <c r="G18" s="55"/>
      <c r="Q18">
        <f t="shared" ref="Q18:Q23" si="1">COUNTA(D18)*5 +COUNTA(E18)*4+COUNTA(F18)*1</f>
        <v>4</v>
      </c>
    </row>
    <row r="19" spans="2:17" ht="12.75">
      <c r="B19" s="4">
        <v>3</v>
      </c>
      <c r="C19" s="45" t="s">
        <v>34</v>
      </c>
      <c r="D19" s="46"/>
      <c r="E19" s="46" t="s">
        <v>32</v>
      </c>
      <c r="F19" s="46"/>
      <c r="G19" s="46"/>
      <c r="Q19">
        <f t="shared" si="1"/>
        <v>4</v>
      </c>
    </row>
    <row r="20" spans="2:17" ht="23.25">
      <c r="B20" s="4">
        <v>4</v>
      </c>
      <c r="C20" s="45" t="s">
        <v>35</v>
      </c>
      <c r="D20" s="46"/>
      <c r="E20" s="46" t="s">
        <v>32</v>
      </c>
      <c r="F20" s="46"/>
      <c r="G20" s="55"/>
      <c r="H20" s="5"/>
      <c r="Q20">
        <f t="shared" si="1"/>
        <v>4</v>
      </c>
    </row>
    <row r="21" spans="2:17" ht="23.25">
      <c r="B21" s="4">
        <v>5</v>
      </c>
      <c r="C21" s="45" t="s">
        <v>36</v>
      </c>
      <c r="D21" s="46"/>
      <c r="E21" s="46" t="s">
        <v>32</v>
      </c>
      <c r="F21" s="46"/>
      <c r="G21" s="46"/>
      <c r="H21" s="5"/>
      <c r="Q21">
        <f t="shared" si="1"/>
        <v>4</v>
      </c>
    </row>
    <row r="22" spans="2:17" ht="23.25">
      <c r="B22" s="4">
        <v>6</v>
      </c>
      <c r="C22" s="45" t="s">
        <v>37</v>
      </c>
      <c r="D22" s="46"/>
      <c r="E22" s="46" t="s">
        <v>32</v>
      </c>
      <c r="F22" s="46"/>
      <c r="G22" s="46"/>
      <c r="H22" s="5"/>
      <c r="Q22">
        <f t="shared" si="1"/>
        <v>4</v>
      </c>
    </row>
    <row r="23" spans="2:17" ht="12.75">
      <c r="B23" s="4">
        <v>7</v>
      </c>
      <c r="C23" s="45" t="s">
        <v>38</v>
      </c>
      <c r="D23" s="48"/>
      <c r="E23" s="48" t="s">
        <v>32</v>
      </c>
      <c r="F23" s="49"/>
      <c r="G23" s="49"/>
      <c r="H23" s="5"/>
      <c r="Q23">
        <f t="shared" si="1"/>
        <v>4</v>
      </c>
    </row>
    <row r="24" spans="2:17" ht="12.75">
      <c r="B24" s="1"/>
      <c r="Q24">
        <f>AVERAGE(Q17:Q23)</f>
        <v>4</v>
      </c>
    </row>
    <row r="25" spans="2:17" ht="12.75">
      <c r="B25" s="70" t="s">
        <v>12</v>
      </c>
      <c r="C25" s="71"/>
      <c r="D25" s="62" t="s">
        <v>57</v>
      </c>
      <c r="E25" s="72"/>
      <c r="F25" s="72"/>
    </row>
    <row r="26" spans="2:17" ht="35.25">
      <c r="B26" s="3" t="s">
        <v>11</v>
      </c>
      <c r="C26" s="3" t="s">
        <v>27</v>
      </c>
      <c r="D26" s="54" t="s">
        <v>28</v>
      </c>
      <c r="E26" s="54" t="s">
        <v>29</v>
      </c>
      <c r="F26" s="54" t="s">
        <v>30</v>
      </c>
      <c r="G26" s="3" t="s">
        <v>16</v>
      </c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2:17" ht="35.25">
      <c r="B27" s="4">
        <v>1</v>
      </c>
      <c r="C27" s="45" t="s">
        <v>31</v>
      </c>
      <c r="D27" s="46"/>
      <c r="E27" s="46" t="s">
        <v>32</v>
      </c>
      <c r="F27" s="46"/>
      <c r="G27" s="55"/>
      <c r="Q27">
        <f>COUNTA(D27)*5 +COUNTA(E27)*4+COUNTA(F27)*1</f>
        <v>4</v>
      </c>
    </row>
    <row r="28" spans="2:17" ht="23.25">
      <c r="B28" s="4">
        <v>2</v>
      </c>
      <c r="C28" s="45" t="s">
        <v>33</v>
      </c>
      <c r="D28" s="46"/>
      <c r="E28" s="47" t="s">
        <v>32</v>
      </c>
      <c r="F28" s="46"/>
      <c r="G28" s="55"/>
      <c r="Q28">
        <f t="shared" ref="Q28:Q33" si="2">COUNTA(D28)*5 +COUNTA(E28)*4+COUNTA(F28)*1</f>
        <v>4</v>
      </c>
    </row>
    <row r="29" spans="2:17" ht="12.75">
      <c r="B29" s="4">
        <v>3</v>
      </c>
      <c r="C29" s="45" t="s">
        <v>34</v>
      </c>
      <c r="D29" s="46"/>
      <c r="E29" s="46" t="s">
        <v>32</v>
      </c>
      <c r="F29" s="46"/>
      <c r="G29" s="46"/>
      <c r="Q29">
        <f t="shared" si="2"/>
        <v>4</v>
      </c>
    </row>
    <row r="30" spans="2:17" ht="23.25">
      <c r="B30" s="4">
        <v>4</v>
      </c>
      <c r="C30" s="45" t="s">
        <v>35</v>
      </c>
      <c r="D30" s="46"/>
      <c r="E30" s="46" t="s">
        <v>32</v>
      </c>
      <c r="F30" s="46"/>
      <c r="G30" s="55"/>
      <c r="H30" s="5"/>
      <c r="Q30">
        <f t="shared" si="2"/>
        <v>4</v>
      </c>
    </row>
    <row r="31" spans="2:17" ht="23.25">
      <c r="B31" s="4">
        <v>5</v>
      </c>
      <c r="C31" s="45" t="s">
        <v>36</v>
      </c>
      <c r="D31" s="46"/>
      <c r="E31" s="46" t="s">
        <v>32</v>
      </c>
      <c r="F31" s="46"/>
      <c r="G31" s="46"/>
      <c r="H31" s="5"/>
      <c r="Q31">
        <f t="shared" si="2"/>
        <v>4</v>
      </c>
    </row>
    <row r="32" spans="2:17" ht="23.25">
      <c r="B32" s="4">
        <v>6</v>
      </c>
      <c r="C32" s="45" t="s">
        <v>37</v>
      </c>
      <c r="D32" s="46"/>
      <c r="E32" s="46" t="s">
        <v>32</v>
      </c>
      <c r="F32" s="46"/>
      <c r="G32" s="46"/>
      <c r="H32" s="5"/>
      <c r="Q32">
        <f t="shared" si="2"/>
        <v>4</v>
      </c>
    </row>
    <row r="33" spans="2:17" ht="12.75">
      <c r="B33" s="4">
        <v>7</v>
      </c>
      <c r="C33" s="45" t="s">
        <v>38</v>
      </c>
      <c r="D33" s="48"/>
      <c r="E33" s="48" t="s">
        <v>32</v>
      </c>
      <c r="F33" s="49"/>
      <c r="G33" s="49"/>
      <c r="H33" s="5"/>
      <c r="Q33">
        <f t="shared" si="2"/>
        <v>4</v>
      </c>
    </row>
    <row r="34" spans="2:17" ht="12.75">
      <c r="B34" s="1"/>
      <c r="Q34">
        <f>AVERAGE(Q27:Q33)</f>
        <v>4</v>
      </c>
    </row>
    <row r="35" spans="2:17" ht="12.75">
      <c r="B35" s="70" t="s">
        <v>12</v>
      </c>
      <c r="C35" s="71"/>
      <c r="D35" s="62" t="s">
        <v>58</v>
      </c>
      <c r="E35" s="72"/>
      <c r="F35" s="72"/>
    </row>
    <row r="36" spans="2:17" ht="35.25">
      <c r="B36" s="3" t="s">
        <v>11</v>
      </c>
      <c r="C36" s="3" t="s">
        <v>27</v>
      </c>
      <c r="D36" s="54" t="s">
        <v>28</v>
      </c>
      <c r="E36" s="54" t="s">
        <v>29</v>
      </c>
      <c r="F36" s="54" t="s">
        <v>30</v>
      </c>
      <c r="G36" s="3" t="s">
        <v>16</v>
      </c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35.25">
      <c r="B37" s="4">
        <v>1</v>
      </c>
      <c r="C37" s="45" t="s">
        <v>31</v>
      </c>
      <c r="D37" s="46"/>
      <c r="E37" s="46" t="s">
        <v>32</v>
      </c>
      <c r="F37" s="46"/>
      <c r="G37" s="55"/>
      <c r="Q37">
        <f>COUNTA(D37)*5 +COUNTA(E37)*4+COUNTA(F37)*1</f>
        <v>4</v>
      </c>
    </row>
    <row r="38" spans="2:17" ht="23.25">
      <c r="B38" s="4">
        <v>2</v>
      </c>
      <c r="C38" s="45" t="s">
        <v>33</v>
      </c>
      <c r="D38" s="46"/>
      <c r="E38" s="47" t="s">
        <v>32</v>
      </c>
      <c r="F38" s="46"/>
      <c r="G38" s="55"/>
      <c r="Q38">
        <f t="shared" ref="Q38:Q43" si="3">COUNTA(D38)*5 +COUNTA(E38)*4+COUNTA(F38)*1</f>
        <v>4</v>
      </c>
    </row>
    <row r="39" spans="2:17" ht="12.75">
      <c r="B39" s="4">
        <v>3</v>
      </c>
      <c r="C39" s="45" t="s">
        <v>34</v>
      </c>
      <c r="D39" s="46"/>
      <c r="E39" s="46" t="s">
        <v>32</v>
      </c>
      <c r="F39" s="46"/>
      <c r="G39" s="46"/>
      <c r="Q39">
        <f t="shared" si="3"/>
        <v>4</v>
      </c>
    </row>
    <row r="40" spans="2:17" ht="23.25">
      <c r="B40" s="4">
        <v>4</v>
      </c>
      <c r="C40" s="45" t="s">
        <v>35</v>
      </c>
      <c r="D40" s="46"/>
      <c r="E40" s="46" t="s">
        <v>32</v>
      </c>
      <c r="F40" s="46"/>
      <c r="G40" s="55"/>
      <c r="H40" s="5"/>
      <c r="Q40">
        <f t="shared" si="3"/>
        <v>4</v>
      </c>
    </row>
    <row r="41" spans="2:17" ht="23.25">
      <c r="B41" s="4">
        <v>5</v>
      </c>
      <c r="C41" s="45" t="s">
        <v>36</v>
      </c>
      <c r="D41" s="46"/>
      <c r="E41" s="46" t="s">
        <v>32</v>
      </c>
      <c r="F41" s="46"/>
      <c r="G41" s="46"/>
      <c r="H41" s="5"/>
      <c r="Q41">
        <f t="shared" si="3"/>
        <v>4</v>
      </c>
    </row>
    <row r="42" spans="2:17" ht="23.25">
      <c r="B42" s="4">
        <v>6</v>
      </c>
      <c r="C42" s="45" t="s">
        <v>37</v>
      </c>
      <c r="D42" s="46"/>
      <c r="E42" s="46" t="s">
        <v>32</v>
      </c>
      <c r="F42" s="46"/>
      <c r="G42" s="46"/>
      <c r="H42" s="5"/>
      <c r="Q42">
        <f t="shared" si="3"/>
        <v>4</v>
      </c>
    </row>
    <row r="43" spans="2:17" ht="12.75">
      <c r="B43" s="4">
        <v>7</v>
      </c>
      <c r="C43" s="45" t="s">
        <v>38</v>
      </c>
      <c r="D43" s="48"/>
      <c r="E43" s="48" t="s">
        <v>32</v>
      </c>
      <c r="F43" s="49"/>
      <c r="G43" s="49"/>
      <c r="H43" s="5"/>
      <c r="Q43">
        <f t="shared" si="3"/>
        <v>4</v>
      </c>
    </row>
    <row r="44" spans="2:17" ht="12.75">
      <c r="B44" s="1"/>
      <c r="Q44">
        <f>AVERAGE(Q37:Q43)</f>
        <v>4</v>
      </c>
    </row>
    <row r="45" spans="2:17" ht="12.75">
      <c r="B45" s="70" t="s">
        <v>12</v>
      </c>
      <c r="C45" s="71"/>
      <c r="D45" s="62" t="s">
        <v>59</v>
      </c>
      <c r="E45" s="72"/>
      <c r="F45" s="72"/>
    </row>
    <row r="46" spans="2:17" ht="35.25">
      <c r="B46" s="3" t="s">
        <v>11</v>
      </c>
      <c r="C46" s="3" t="s">
        <v>27</v>
      </c>
      <c r="D46" s="54" t="s">
        <v>28</v>
      </c>
      <c r="E46" s="54" t="s">
        <v>29</v>
      </c>
      <c r="F46" s="54" t="s">
        <v>30</v>
      </c>
      <c r="G46" s="3" t="s">
        <v>16</v>
      </c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2:17" ht="36">
      <c r="B47" s="4">
        <v>1</v>
      </c>
      <c r="C47" s="45" t="s">
        <v>31</v>
      </c>
      <c r="D47" s="46"/>
      <c r="E47" s="46" t="s">
        <v>32</v>
      </c>
      <c r="F47" s="46"/>
      <c r="G47" s="55"/>
      <c r="Q47">
        <f>COUNTA(D47)*5 +COUNTA(E47)*4+COUNTA(F47)*1</f>
        <v>4</v>
      </c>
    </row>
    <row r="48" spans="2:17" ht="24">
      <c r="B48" s="4">
        <v>2</v>
      </c>
      <c r="C48" s="45" t="s">
        <v>33</v>
      </c>
      <c r="D48" s="46"/>
      <c r="E48" s="47" t="s">
        <v>32</v>
      </c>
      <c r="F48" s="46"/>
      <c r="G48" s="55"/>
      <c r="Q48">
        <f t="shared" ref="Q48:Q53" si="4">COUNTA(D48)*5 +COUNTA(E48)*4+COUNTA(F48)*1</f>
        <v>4</v>
      </c>
    </row>
    <row r="49" spans="2:17" ht="12.75">
      <c r="B49" s="4">
        <v>3</v>
      </c>
      <c r="C49" s="45" t="s">
        <v>34</v>
      </c>
      <c r="D49" s="46"/>
      <c r="E49" s="46" t="s">
        <v>32</v>
      </c>
      <c r="F49" s="46"/>
      <c r="G49" s="46"/>
      <c r="Q49">
        <f t="shared" si="4"/>
        <v>4</v>
      </c>
    </row>
    <row r="50" spans="2:17" ht="24">
      <c r="B50" s="4">
        <v>4</v>
      </c>
      <c r="C50" s="45" t="s">
        <v>35</v>
      </c>
      <c r="D50" s="46"/>
      <c r="E50" s="46" t="s">
        <v>32</v>
      </c>
      <c r="F50" s="46"/>
      <c r="G50" s="55"/>
      <c r="H50" s="5"/>
      <c r="Q50">
        <f t="shared" si="4"/>
        <v>4</v>
      </c>
    </row>
    <row r="51" spans="2:17" ht="23.25">
      <c r="B51" s="4">
        <v>5</v>
      </c>
      <c r="C51" s="45" t="s">
        <v>36</v>
      </c>
      <c r="D51" s="46"/>
      <c r="E51" s="46" t="s">
        <v>32</v>
      </c>
      <c r="F51" s="46"/>
      <c r="G51" s="46"/>
      <c r="H51" s="5"/>
      <c r="Q51">
        <f t="shared" si="4"/>
        <v>4</v>
      </c>
    </row>
    <row r="52" spans="2:17" ht="23.25">
      <c r="B52" s="4">
        <v>6</v>
      </c>
      <c r="C52" s="45" t="s">
        <v>37</v>
      </c>
      <c r="D52" s="46"/>
      <c r="E52" s="46" t="s">
        <v>32</v>
      </c>
      <c r="F52" s="46"/>
      <c r="G52" s="46"/>
      <c r="H52" s="5"/>
      <c r="Q52">
        <f t="shared" si="4"/>
        <v>4</v>
      </c>
    </row>
    <row r="53" spans="2:17" ht="12.75">
      <c r="B53" s="4">
        <v>7</v>
      </c>
      <c r="C53" s="45" t="s">
        <v>38</v>
      </c>
      <c r="D53" s="48"/>
      <c r="E53" s="48" t="s">
        <v>32</v>
      </c>
      <c r="F53" s="49"/>
      <c r="G53" s="49"/>
      <c r="H53" s="5"/>
      <c r="Q53">
        <f t="shared" si="4"/>
        <v>4</v>
      </c>
    </row>
    <row r="54" spans="2:17" ht="12.75">
      <c r="B54" s="1"/>
      <c r="Q54">
        <f>AVERAGE(Q47:Q53)</f>
        <v>4</v>
      </c>
    </row>
    <row r="55" spans="2:17" ht="12.75">
      <c r="B55" s="70" t="s">
        <v>12</v>
      </c>
      <c r="C55" s="71"/>
      <c r="D55" s="62" t="s">
        <v>60</v>
      </c>
      <c r="E55" s="72"/>
      <c r="F55" s="72"/>
    </row>
    <row r="56" spans="2:17" ht="36">
      <c r="B56" s="3" t="s">
        <v>11</v>
      </c>
      <c r="C56" s="3" t="s">
        <v>27</v>
      </c>
      <c r="D56" s="54" t="s">
        <v>28</v>
      </c>
      <c r="E56" s="54" t="s">
        <v>29</v>
      </c>
      <c r="F56" s="54" t="s">
        <v>30</v>
      </c>
      <c r="G56" s="3" t="s">
        <v>16</v>
      </c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2:17" ht="36">
      <c r="B57" s="4">
        <v>1</v>
      </c>
      <c r="C57" s="45" t="s">
        <v>31</v>
      </c>
      <c r="D57" s="46"/>
      <c r="E57" s="46" t="s">
        <v>32</v>
      </c>
      <c r="F57" s="46"/>
      <c r="G57" s="55"/>
      <c r="Q57">
        <f>COUNTA(D57)*5 +COUNTA(E57)*4+COUNTA(F57)*1</f>
        <v>4</v>
      </c>
    </row>
    <row r="58" spans="2:17" ht="24">
      <c r="B58" s="4">
        <v>2</v>
      </c>
      <c r="C58" s="45" t="s">
        <v>33</v>
      </c>
      <c r="D58" s="46"/>
      <c r="E58" s="47" t="s">
        <v>32</v>
      </c>
      <c r="F58" s="46"/>
      <c r="G58" s="55"/>
      <c r="Q58">
        <f t="shared" ref="Q58:Q63" si="5">COUNTA(D58)*5 +COUNTA(E58)*4+COUNTA(F58)*1</f>
        <v>4</v>
      </c>
    </row>
    <row r="59" spans="2:17" ht="12.75">
      <c r="B59" s="4">
        <v>3</v>
      </c>
      <c r="C59" s="45" t="s">
        <v>34</v>
      </c>
      <c r="D59" s="46"/>
      <c r="E59" s="46" t="s">
        <v>32</v>
      </c>
      <c r="F59" s="46"/>
      <c r="G59" s="46"/>
      <c r="Q59">
        <f t="shared" si="5"/>
        <v>4</v>
      </c>
    </row>
    <row r="60" spans="2:17" ht="24">
      <c r="B60" s="4">
        <v>4</v>
      </c>
      <c r="C60" s="45" t="s">
        <v>35</v>
      </c>
      <c r="D60" s="46"/>
      <c r="E60" s="46" t="s">
        <v>32</v>
      </c>
      <c r="F60" s="46"/>
      <c r="G60" s="55"/>
      <c r="H60" s="5"/>
      <c r="Q60">
        <f t="shared" si="5"/>
        <v>4</v>
      </c>
    </row>
    <row r="61" spans="2:17" ht="24">
      <c r="B61" s="4">
        <v>5</v>
      </c>
      <c r="C61" s="45" t="s">
        <v>36</v>
      </c>
      <c r="D61" s="46"/>
      <c r="E61" s="46" t="s">
        <v>32</v>
      </c>
      <c r="F61" s="46"/>
      <c r="G61" s="46"/>
      <c r="H61" s="5"/>
      <c r="Q61">
        <f t="shared" si="5"/>
        <v>4</v>
      </c>
    </row>
    <row r="62" spans="2:17" ht="24">
      <c r="B62" s="4">
        <v>6</v>
      </c>
      <c r="C62" s="45" t="s">
        <v>37</v>
      </c>
      <c r="D62" s="46"/>
      <c r="E62" s="46" t="s">
        <v>32</v>
      </c>
      <c r="F62" s="46"/>
      <c r="G62" s="46"/>
      <c r="H62" s="5"/>
      <c r="Q62">
        <f t="shared" si="5"/>
        <v>4</v>
      </c>
    </row>
    <row r="63" spans="2:17" ht="12.75">
      <c r="B63" s="4">
        <v>7</v>
      </c>
      <c r="C63" s="45" t="s">
        <v>38</v>
      </c>
      <c r="D63" s="48"/>
      <c r="E63" s="48" t="s">
        <v>32</v>
      </c>
      <c r="F63" s="49"/>
      <c r="G63" s="49"/>
      <c r="H63" s="5"/>
      <c r="Q63">
        <f t="shared" si="5"/>
        <v>4</v>
      </c>
    </row>
    <row r="64" spans="2:17" ht="12.75">
      <c r="B64" s="1"/>
      <c r="Q64">
        <f>AVERAGE(Q57:Q63)</f>
        <v>4</v>
      </c>
    </row>
    <row r="65" spans="2:17" ht="12.75">
      <c r="B65" s="70" t="s">
        <v>12</v>
      </c>
      <c r="C65" s="71"/>
      <c r="D65" s="62" t="s">
        <v>61</v>
      </c>
      <c r="E65" s="72"/>
      <c r="F65" s="72"/>
    </row>
    <row r="66" spans="2:17" ht="36">
      <c r="B66" s="3" t="s">
        <v>11</v>
      </c>
      <c r="C66" s="3" t="s">
        <v>27</v>
      </c>
      <c r="D66" s="54" t="s">
        <v>28</v>
      </c>
      <c r="E66" s="54" t="s">
        <v>29</v>
      </c>
      <c r="F66" s="54" t="s">
        <v>30</v>
      </c>
      <c r="G66" s="3" t="s">
        <v>16</v>
      </c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2:17" ht="36">
      <c r="B67" s="4">
        <v>1</v>
      </c>
      <c r="C67" s="45" t="s">
        <v>31</v>
      </c>
      <c r="D67" s="46"/>
      <c r="E67" s="46" t="s">
        <v>32</v>
      </c>
      <c r="F67" s="46"/>
      <c r="G67" s="55"/>
      <c r="Q67">
        <f>COUNTA(D67)*5 +COUNTA(E67)*4+COUNTA(F67)*1</f>
        <v>4</v>
      </c>
    </row>
    <row r="68" spans="2:17" ht="24">
      <c r="B68" s="4">
        <v>2</v>
      </c>
      <c r="C68" s="45" t="s">
        <v>33</v>
      </c>
      <c r="D68" s="46"/>
      <c r="E68" s="47" t="s">
        <v>32</v>
      </c>
      <c r="F68" s="46"/>
      <c r="G68" s="55"/>
      <c r="Q68">
        <f t="shared" ref="Q68:Q73" si="6">COUNTA(D68)*5 +COUNTA(E68)*4+COUNTA(F68)*1</f>
        <v>4</v>
      </c>
    </row>
    <row r="69" spans="2:17" ht="12.75">
      <c r="B69" s="4">
        <v>3</v>
      </c>
      <c r="C69" s="45" t="s">
        <v>34</v>
      </c>
      <c r="D69" s="46"/>
      <c r="E69" s="46" t="s">
        <v>32</v>
      </c>
      <c r="F69" s="46"/>
      <c r="G69" s="46"/>
      <c r="Q69">
        <f t="shared" si="6"/>
        <v>4</v>
      </c>
    </row>
    <row r="70" spans="2:17" ht="24">
      <c r="B70" s="4">
        <v>4</v>
      </c>
      <c r="C70" s="45" t="s">
        <v>35</v>
      </c>
      <c r="D70" s="46"/>
      <c r="E70" s="46" t="s">
        <v>32</v>
      </c>
      <c r="F70" s="46"/>
      <c r="G70" s="55"/>
      <c r="H70" s="5"/>
      <c r="Q70">
        <f t="shared" si="6"/>
        <v>4</v>
      </c>
    </row>
    <row r="71" spans="2:17" ht="24">
      <c r="B71" s="4">
        <v>5</v>
      </c>
      <c r="C71" s="45" t="s">
        <v>36</v>
      </c>
      <c r="D71" s="46"/>
      <c r="E71" s="46" t="s">
        <v>32</v>
      </c>
      <c r="F71" s="46"/>
      <c r="G71" s="46"/>
      <c r="H71" s="5"/>
      <c r="Q71">
        <f t="shared" si="6"/>
        <v>4</v>
      </c>
    </row>
    <row r="72" spans="2:17" ht="24">
      <c r="B72" s="4">
        <v>6</v>
      </c>
      <c r="C72" s="45" t="s">
        <v>37</v>
      </c>
      <c r="D72" s="46"/>
      <c r="E72" s="46" t="s">
        <v>32</v>
      </c>
      <c r="F72" s="46"/>
      <c r="G72" s="46"/>
      <c r="H72" s="5"/>
      <c r="Q72">
        <f t="shared" si="6"/>
        <v>4</v>
      </c>
    </row>
    <row r="73" spans="2:17" ht="12.75">
      <c r="B73" s="4">
        <v>7</v>
      </c>
      <c r="C73" s="45" t="s">
        <v>38</v>
      </c>
      <c r="D73" s="48"/>
      <c r="E73" s="48" t="s">
        <v>32</v>
      </c>
      <c r="F73" s="49"/>
      <c r="G73" s="49"/>
      <c r="H73" s="5"/>
      <c r="Q73">
        <f t="shared" si="6"/>
        <v>4</v>
      </c>
    </row>
    <row r="74" spans="2:17" ht="12.75">
      <c r="B74" s="1"/>
      <c r="Q74">
        <f>AVERAGE(Q67:Q73)</f>
        <v>4</v>
      </c>
    </row>
    <row r="75" spans="2:17" ht="12.75">
      <c r="B75" s="70" t="s">
        <v>12</v>
      </c>
      <c r="C75" s="71"/>
      <c r="D75" s="62" t="s">
        <v>62</v>
      </c>
      <c r="E75" s="72"/>
      <c r="F75" s="72"/>
    </row>
    <row r="76" spans="2:17" ht="36">
      <c r="B76" s="3" t="s">
        <v>11</v>
      </c>
      <c r="C76" s="3" t="s">
        <v>27</v>
      </c>
      <c r="D76" s="54" t="s">
        <v>28</v>
      </c>
      <c r="E76" s="54" t="s">
        <v>29</v>
      </c>
      <c r="F76" s="54" t="s">
        <v>30</v>
      </c>
      <c r="G76" s="3" t="s">
        <v>16</v>
      </c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2:17" ht="36">
      <c r="B77" s="4">
        <v>1</v>
      </c>
      <c r="C77" s="45" t="s">
        <v>31</v>
      </c>
      <c r="D77" s="46"/>
      <c r="E77" s="46" t="s">
        <v>32</v>
      </c>
      <c r="F77" s="46"/>
      <c r="G77" s="55"/>
      <c r="Q77">
        <f>COUNTA(D77)*5 +COUNTA(E77)*4+COUNTA(F77)*1</f>
        <v>4</v>
      </c>
    </row>
    <row r="78" spans="2:17" ht="24">
      <c r="B78" s="4">
        <v>2</v>
      </c>
      <c r="C78" s="45" t="s">
        <v>33</v>
      </c>
      <c r="D78" s="46"/>
      <c r="E78" s="47" t="s">
        <v>32</v>
      </c>
      <c r="F78" s="46"/>
      <c r="G78" s="55"/>
      <c r="Q78">
        <f t="shared" ref="Q78:Q83" si="7">COUNTA(D78)*5 +COUNTA(E78)*4+COUNTA(F78)*1</f>
        <v>4</v>
      </c>
    </row>
    <row r="79" spans="2:17" ht="12.75">
      <c r="B79" s="4">
        <v>3</v>
      </c>
      <c r="C79" s="45" t="s">
        <v>34</v>
      </c>
      <c r="D79" s="46"/>
      <c r="E79" s="46" t="s">
        <v>32</v>
      </c>
      <c r="F79" s="46"/>
      <c r="G79" s="46"/>
      <c r="Q79">
        <f t="shared" si="7"/>
        <v>4</v>
      </c>
    </row>
    <row r="80" spans="2:17" ht="24">
      <c r="B80" s="4">
        <v>4</v>
      </c>
      <c r="C80" s="45" t="s">
        <v>35</v>
      </c>
      <c r="D80" s="46"/>
      <c r="E80" s="46" t="s">
        <v>32</v>
      </c>
      <c r="F80" s="46"/>
      <c r="G80" s="55"/>
      <c r="H80" s="5"/>
      <c r="Q80">
        <f t="shared" si="7"/>
        <v>4</v>
      </c>
    </row>
    <row r="81" spans="2:17" ht="24">
      <c r="B81" s="4">
        <v>5</v>
      </c>
      <c r="C81" s="45" t="s">
        <v>36</v>
      </c>
      <c r="D81" s="46"/>
      <c r="E81" s="46" t="s">
        <v>32</v>
      </c>
      <c r="F81" s="46"/>
      <c r="G81" s="46"/>
      <c r="H81" s="5"/>
      <c r="Q81">
        <f t="shared" si="7"/>
        <v>4</v>
      </c>
    </row>
    <row r="82" spans="2:17" ht="24">
      <c r="B82" s="4">
        <v>6</v>
      </c>
      <c r="C82" s="45" t="s">
        <v>37</v>
      </c>
      <c r="D82" s="46"/>
      <c r="E82" s="46" t="s">
        <v>32</v>
      </c>
      <c r="F82" s="46"/>
      <c r="G82" s="46"/>
      <c r="H82" s="5"/>
      <c r="Q82">
        <f t="shared" si="7"/>
        <v>4</v>
      </c>
    </row>
    <row r="83" spans="2:17" ht="12.75">
      <c r="B83" s="4">
        <v>7</v>
      </c>
      <c r="C83" s="45" t="s">
        <v>38</v>
      </c>
      <c r="D83" s="48"/>
      <c r="E83" s="48" t="s">
        <v>32</v>
      </c>
      <c r="F83" s="49"/>
      <c r="G83" s="49"/>
      <c r="H83" s="5"/>
      <c r="Q83">
        <f t="shared" si="7"/>
        <v>4</v>
      </c>
    </row>
    <row r="84" spans="2:17" ht="12.75">
      <c r="B84" s="1"/>
      <c r="Q84">
        <f>AVERAGE(Q77:Q83)</f>
        <v>4</v>
      </c>
    </row>
    <row r="85" spans="2:17" ht="12.75">
      <c r="B85" s="1"/>
    </row>
    <row r="86" spans="2:17" ht="12.75">
      <c r="B86" s="1"/>
    </row>
    <row r="87" spans="2:17" ht="12.75">
      <c r="B87" s="1"/>
    </row>
    <row r="88" spans="2:17" ht="12.75">
      <c r="B88" s="1"/>
    </row>
    <row r="89" spans="2:17" ht="12.75">
      <c r="B89" s="1"/>
    </row>
    <row r="90" spans="2:17" ht="12.75">
      <c r="B90" s="1"/>
    </row>
    <row r="91" spans="2:17" ht="12.75">
      <c r="B91" s="1"/>
    </row>
    <row r="92" spans="2:17" ht="12.75">
      <c r="B92" s="1"/>
    </row>
    <row r="93" spans="2:17" ht="12.75">
      <c r="B93" s="1"/>
    </row>
    <row r="94" spans="2:17" ht="12.75">
      <c r="B94" s="1"/>
    </row>
    <row r="95" spans="2:17" ht="12.75">
      <c r="B95" s="1"/>
    </row>
    <row r="96" spans="2:17" ht="12.75">
      <c r="B96" s="1"/>
    </row>
    <row r="97" spans="2:2" ht="12.75">
      <c r="B97" s="1"/>
    </row>
    <row r="98" spans="2:2" ht="12.75">
      <c r="B98" s="1"/>
    </row>
    <row r="99" spans="2:2" ht="12.75">
      <c r="B99" s="1"/>
    </row>
    <row r="100" spans="2:2" ht="12.75">
      <c r="B100" s="1"/>
    </row>
    <row r="101" spans="2:2" ht="12.75">
      <c r="B101" s="1"/>
    </row>
    <row r="102" spans="2:2" ht="12.75">
      <c r="B102" s="1"/>
    </row>
    <row r="103" spans="2:2" ht="12.75">
      <c r="B103" s="1"/>
    </row>
    <row r="104" spans="2:2" ht="12.75">
      <c r="B104" s="1"/>
    </row>
    <row r="105" spans="2:2" ht="12.75">
      <c r="B105" s="1"/>
    </row>
    <row r="106" spans="2:2" ht="12.75">
      <c r="B106" s="1"/>
    </row>
    <row r="107" spans="2:2" ht="12.75">
      <c r="B107" s="1"/>
    </row>
    <row r="108" spans="2:2" ht="12.75">
      <c r="B108" s="1"/>
    </row>
    <row r="109" spans="2:2" ht="12.75">
      <c r="B109" s="1"/>
    </row>
    <row r="110" spans="2:2" ht="12.75">
      <c r="B110" s="1"/>
    </row>
    <row r="111" spans="2:2" ht="12.75">
      <c r="B111" s="1"/>
    </row>
    <row r="112" spans="2:2" ht="12.75">
      <c r="B112" s="1"/>
    </row>
    <row r="113" spans="2:2" ht="12.75">
      <c r="B113" s="1"/>
    </row>
    <row r="114" spans="2:2" ht="12.75">
      <c r="B114" s="1"/>
    </row>
    <row r="115" spans="2:2" ht="12.75">
      <c r="B115" s="1"/>
    </row>
    <row r="116" spans="2:2" ht="12.75">
      <c r="B116" s="1"/>
    </row>
    <row r="117" spans="2:2" ht="12.75">
      <c r="B117" s="1"/>
    </row>
    <row r="118" spans="2:2" ht="12.75">
      <c r="B118" s="1"/>
    </row>
    <row r="119" spans="2:2" ht="12.75">
      <c r="B119" s="1"/>
    </row>
    <row r="120" spans="2:2" ht="12.75">
      <c r="B120" s="1"/>
    </row>
    <row r="121" spans="2:2" ht="12.75">
      <c r="B121" s="1"/>
    </row>
    <row r="122" spans="2:2" ht="12.75">
      <c r="B122" s="1"/>
    </row>
    <row r="123" spans="2:2" ht="12.75">
      <c r="B123" s="1"/>
    </row>
    <row r="124" spans="2:2" ht="12.75">
      <c r="B124" s="1"/>
    </row>
    <row r="125" spans="2:2" ht="12.75">
      <c r="B125" s="1"/>
    </row>
    <row r="126" spans="2:2" ht="12.75">
      <c r="B126" s="1"/>
    </row>
    <row r="127" spans="2:2" ht="12.75">
      <c r="B127" s="1"/>
    </row>
    <row r="128" spans="2:2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  <row r="939" spans="2:2" ht="12.75">
      <c r="B939" s="1"/>
    </row>
  </sheetData>
  <mergeCells count="16">
    <mergeCell ref="B75:C75"/>
    <mergeCell ref="D75:F75"/>
    <mergeCell ref="B35:C35"/>
    <mergeCell ref="D35:F35"/>
    <mergeCell ref="B5:C5"/>
    <mergeCell ref="D5:F5"/>
    <mergeCell ref="B15:C15"/>
    <mergeCell ref="D15:F15"/>
    <mergeCell ref="B25:C25"/>
    <mergeCell ref="D25:F25"/>
    <mergeCell ref="B65:C65"/>
    <mergeCell ref="D65:F65"/>
    <mergeCell ref="B55:C55"/>
    <mergeCell ref="D55:F55"/>
    <mergeCell ref="B45:C45"/>
    <mergeCell ref="D45:F45"/>
  </mergeCells>
  <pageMargins left="0" right="0" top="0" bottom="0" header="0" footer="0"/>
  <pageSetup paperSize="8" fitToWidth="0" fitToHeight="0" orientation="landscape"/>
  <headerFooter>
    <oddFooter>&amp;R_x000D_&amp;1#&amp;"Calibri"&amp;8&amp;K000000 Cisco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D8BE-18CC-4A15-BA0B-75F90CB8EFFB}">
  <sheetPr>
    <outlinePr summaryBelow="0" summaryRight="0"/>
  </sheetPr>
  <dimension ref="A1:V931"/>
  <sheetViews>
    <sheetView showGridLines="0" zoomScale="90" zoomScaleNormal="90" workbookViewId="0">
      <selection activeCell="D6" sqref="D6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7.42578125" customWidth="1"/>
    <col min="6" max="6" width="8" customWidth="1"/>
    <col min="7" max="7" width="9.7109375" customWidth="1"/>
    <col min="8" max="8" width="11.85546875" customWidth="1"/>
    <col min="9" max="9" width="12.85546875" customWidth="1"/>
    <col min="10" max="10" width="2.28515625" customWidth="1"/>
    <col min="11" max="11" width="4" customWidth="1"/>
    <col min="12" max="12" width="20.5703125" customWidth="1"/>
    <col min="13" max="13" width="9.140625"/>
  </cols>
  <sheetData>
    <row r="1" spans="1:22" ht="12.75">
      <c r="B1" s="1"/>
    </row>
    <row r="2" spans="1:22" s="27" customFormat="1" ht="12.75" customHeight="1">
      <c r="B2" s="28"/>
      <c r="C2" s="27" t="s">
        <v>49</v>
      </c>
      <c r="D2" s="27" t="s">
        <v>63</v>
      </c>
    </row>
    <row r="3" spans="1:22" ht="12.75">
      <c r="B3" s="1"/>
      <c r="C3" s="27" t="s">
        <v>51</v>
      </c>
      <c r="D3" t="s">
        <v>64</v>
      </c>
    </row>
    <row r="4" spans="1:22" ht="12.75" customHeight="1">
      <c r="B4" s="1"/>
      <c r="L4" s="53" t="s">
        <v>53</v>
      </c>
    </row>
    <row r="5" spans="1:22" ht="12.75">
      <c r="B5" s="70" t="s">
        <v>12</v>
      </c>
      <c r="C5" s="71"/>
      <c r="D5" s="62">
        <v>45775</v>
      </c>
      <c r="E5" s="72"/>
      <c r="F5" s="72"/>
    </row>
    <row r="6" spans="1:22" ht="35.25">
      <c r="A6" s="2"/>
      <c r="B6" s="3" t="s">
        <v>11</v>
      </c>
      <c r="C6" s="3" t="s">
        <v>27</v>
      </c>
      <c r="D6" s="54" t="s">
        <v>28</v>
      </c>
      <c r="E6" s="54" t="s">
        <v>29</v>
      </c>
      <c r="F6" s="54" t="s">
        <v>30</v>
      </c>
      <c r="G6" s="3" t="s">
        <v>16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35.25">
      <c r="B7" s="4">
        <v>1</v>
      </c>
      <c r="C7" s="45" t="s">
        <v>31</v>
      </c>
      <c r="D7" s="46"/>
      <c r="E7" s="46"/>
      <c r="F7" s="46"/>
      <c r="G7" s="46"/>
      <c r="Q7">
        <f>COUNTA(D7)*5 +COUNTA(E7)*4+COUNTA(F7)*1</f>
        <v>0</v>
      </c>
    </row>
    <row r="8" spans="1:22" ht="23.25">
      <c r="B8" s="4">
        <v>2</v>
      </c>
      <c r="C8" s="45" t="s">
        <v>33</v>
      </c>
      <c r="D8" s="46"/>
      <c r="E8" s="47"/>
      <c r="F8" s="46"/>
      <c r="G8" s="46"/>
      <c r="Q8">
        <f t="shared" ref="Q8:Q13" si="0">COUNTA(D8)*5 +COUNTA(E8)*4+COUNTA(F8)*1</f>
        <v>0</v>
      </c>
    </row>
    <row r="9" spans="1:22" ht="12.75">
      <c r="B9" s="4">
        <v>3</v>
      </c>
      <c r="C9" s="45" t="s">
        <v>34</v>
      </c>
      <c r="D9" s="46"/>
      <c r="E9" s="46"/>
      <c r="F9" s="46"/>
      <c r="G9" s="46"/>
      <c r="Q9">
        <f t="shared" si="0"/>
        <v>0</v>
      </c>
    </row>
    <row r="10" spans="1:22" ht="23.25">
      <c r="B10" s="4">
        <v>4</v>
      </c>
      <c r="C10" s="45" t="s">
        <v>35</v>
      </c>
      <c r="D10" s="46"/>
      <c r="E10" s="46"/>
      <c r="F10" s="46"/>
      <c r="G10" s="46"/>
      <c r="H10" s="5"/>
      <c r="Q10">
        <f t="shared" si="0"/>
        <v>0</v>
      </c>
    </row>
    <row r="11" spans="1:22" ht="23.25">
      <c r="B11" s="4">
        <v>5</v>
      </c>
      <c r="C11" s="45" t="s">
        <v>36</v>
      </c>
      <c r="D11" s="46"/>
      <c r="E11" s="46"/>
      <c r="F11" s="46"/>
      <c r="G11" s="46"/>
      <c r="H11" s="5"/>
      <c r="Q11">
        <f t="shared" si="0"/>
        <v>0</v>
      </c>
    </row>
    <row r="12" spans="1:22" ht="23.25">
      <c r="B12" s="4">
        <v>6</v>
      </c>
      <c r="C12" s="45" t="s">
        <v>37</v>
      </c>
      <c r="D12" s="46"/>
      <c r="E12" s="46"/>
      <c r="F12" s="46"/>
      <c r="G12" s="46"/>
      <c r="H12" s="5"/>
      <c r="Q12">
        <f t="shared" si="0"/>
        <v>0</v>
      </c>
    </row>
    <row r="13" spans="1:22" ht="12.75">
      <c r="B13" s="4">
        <v>7</v>
      </c>
      <c r="C13" s="45" t="s">
        <v>38</v>
      </c>
      <c r="D13" s="48"/>
      <c r="E13" s="48"/>
      <c r="F13" s="49"/>
      <c r="G13" s="49"/>
      <c r="H13" s="5"/>
      <c r="Q13">
        <f t="shared" si="0"/>
        <v>0</v>
      </c>
    </row>
    <row r="14" spans="1:22" ht="12.75">
      <c r="B14" s="1"/>
      <c r="Q14">
        <f>AVERAGE(Q7:Q13)</f>
        <v>0</v>
      </c>
    </row>
    <row r="15" spans="1:22" ht="12.75">
      <c r="B15" s="1"/>
    </row>
    <row r="16" spans="1:22" ht="12.75">
      <c r="B16" s="1"/>
    </row>
    <row r="17" spans="2:2" ht="12.75">
      <c r="B17" s="1"/>
    </row>
    <row r="18" spans="2:2" ht="12.75">
      <c r="B18" s="1"/>
    </row>
    <row r="19" spans="2:2" ht="12.75">
      <c r="B19" s="1"/>
    </row>
    <row r="20" spans="2:2" ht="12.75">
      <c r="B20" s="1"/>
    </row>
    <row r="21" spans="2:2" ht="12.75">
      <c r="B21" s="1"/>
    </row>
    <row r="22" spans="2:2" ht="12.75">
      <c r="B22" s="1"/>
    </row>
    <row r="23" spans="2:2" ht="12.75">
      <c r="B23" s="1"/>
    </row>
    <row r="24" spans="2:2" ht="12.75">
      <c r="B24" s="1"/>
    </row>
    <row r="25" spans="2:2" ht="12.75">
      <c r="B25" s="1"/>
    </row>
    <row r="26" spans="2:2" ht="12.75">
      <c r="B26" s="1"/>
    </row>
    <row r="27" spans="2:2" ht="12.75">
      <c r="B27" s="1"/>
    </row>
    <row r="28" spans="2:2" ht="12.75">
      <c r="B28" s="1"/>
    </row>
    <row r="29" spans="2:2" ht="12.75">
      <c r="B29" s="1"/>
    </row>
    <row r="30" spans="2:2" ht="12.75">
      <c r="B30" s="1"/>
    </row>
    <row r="31" spans="2:2" ht="12.75">
      <c r="B31" s="1"/>
    </row>
    <row r="32" spans="2:2" ht="12.75">
      <c r="B32" s="1"/>
    </row>
    <row r="33" spans="2:2" ht="12.75">
      <c r="B33" s="1"/>
    </row>
    <row r="34" spans="2:2" ht="12.75">
      <c r="B34" s="1"/>
    </row>
    <row r="35" spans="2:2" ht="12.75">
      <c r="B35" s="1"/>
    </row>
    <row r="36" spans="2:2" ht="12.75">
      <c r="B36" s="1"/>
    </row>
    <row r="37" spans="2:2" ht="12.75">
      <c r="B37" s="1"/>
    </row>
    <row r="38" spans="2:2" ht="12.75">
      <c r="B38" s="1"/>
    </row>
    <row r="39" spans="2:2" ht="12.75">
      <c r="B39" s="1"/>
    </row>
    <row r="40" spans="2:2" ht="12.75">
      <c r="B40" s="1"/>
    </row>
    <row r="41" spans="2:2" ht="12.75">
      <c r="B41" s="1"/>
    </row>
    <row r="42" spans="2:2" ht="12.75">
      <c r="B42" s="1"/>
    </row>
    <row r="43" spans="2:2" ht="12.75">
      <c r="B43" s="1"/>
    </row>
    <row r="44" spans="2:2" ht="12.75">
      <c r="B44" s="1"/>
    </row>
    <row r="45" spans="2:2" ht="12.75">
      <c r="B45" s="1"/>
    </row>
    <row r="46" spans="2:2" ht="12.75">
      <c r="B46" s="1"/>
    </row>
    <row r="47" spans="2:2" ht="12.75">
      <c r="B47" s="1"/>
    </row>
    <row r="48" spans="2:2" ht="12.75">
      <c r="B48" s="1"/>
    </row>
    <row r="49" spans="2:2" ht="12.75">
      <c r="B49" s="1"/>
    </row>
    <row r="50" spans="2:2" ht="12.75">
      <c r="B50" s="1"/>
    </row>
    <row r="51" spans="2:2" ht="12.75">
      <c r="B51" s="1"/>
    </row>
    <row r="52" spans="2:2" ht="12.75">
      <c r="B52" s="1"/>
    </row>
    <row r="53" spans="2:2" ht="12.75">
      <c r="B53" s="1"/>
    </row>
    <row r="54" spans="2:2" ht="12.75">
      <c r="B54" s="1"/>
    </row>
    <row r="55" spans="2:2" ht="12.75">
      <c r="B55" s="1"/>
    </row>
    <row r="56" spans="2:2" ht="12.75">
      <c r="B56" s="1"/>
    </row>
    <row r="57" spans="2:2" ht="12.75">
      <c r="B57" s="1"/>
    </row>
    <row r="58" spans="2:2" ht="12.75">
      <c r="B58" s="1"/>
    </row>
    <row r="59" spans="2:2" ht="12.75">
      <c r="B59" s="1"/>
    </row>
    <row r="60" spans="2:2" ht="12.75">
      <c r="B60" s="1"/>
    </row>
    <row r="61" spans="2:2" ht="12.75">
      <c r="B61" s="1"/>
    </row>
    <row r="62" spans="2:2" ht="12.75">
      <c r="B62" s="1"/>
    </row>
    <row r="63" spans="2:2" ht="12.75">
      <c r="B63" s="1"/>
    </row>
    <row r="64" spans="2:2" ht="12.75">
      <c r="B64" s="1"/>
    </row>
    <row r="65" spans="2:2" ht="12.75">
      <c r="B65" s="1"/>
    </row>
    <row r="66" spans="2:2" ht="12.75">
      <c r="B66" s="1"/>
    </row>
    <row r="67" spans="2:2" ht="12.75">
      <c r="B67" s="1"/>
    </row>
    <row r="68" spans="2:2" ht="12.75">
      <c r="B68" s="1"/>
    </row>
    <row r="69" spans="2:2" ht="12.75">
      <c r="B69" s="1"/>
    </row>
    <row r="70" spans="2:2" ht="12.75">
      <c r="B70" s="1"/>
    </row>
    <row r="71" spans="2:2" ht="12.75">
      <c r="B71" s="1"/>
    </row>
    <row r="72" spans="2:2" ht="12.75">
      <c r="B72" s="1"/>
    </row>
    <row r="73" spans="2:2" ht="12.75">
      <c r="B73" s="1"/>
    </row>
    <row r="74" spans="2:2" ht="12.75">
      <c r="B74" s="1"/>
    </row>
    <row r="75" spans="2:2" ht="12.75">
      <c r="B75" s="1"/>
    </row>
    <row r="76" spans="2:2" ht="12.75">
      <c r="B76" s="1"/>
    </row>
    <row r="77" spans="2:2" ht="12.75">
      <c r="B77" s="1"/>
    </row>
    <row r="78" spans="2:2" ht="12.75">
      <c r="B78" s="1"/>
    </row>
    <row r="79" spans="2:2" ht="12.75">
      <c r="B79" s="1"/>
    </row>
    <row r="80" spans="2:2" ht="12.75">
      <c r="B80" s="1"/>
    </row>
    <row r="81" spans="2:2" ht="12.75">
      <c r="B81" s="1"/>
    </row>
    <row r="82" spans="2:2" ht="12.75">
      <c r="B82" s="1"/>
    </row>
    <row r="83" spans="2:2" ht="12.75">
      <c r="B83" s="1"/>
    </row>
    <row r="84" spans="2:2" ht="12.75">
      <c r="B84" s="1"/>
    </row>
    <row r="85" spans="2:2" ht="12.75">
      <c r="B85" s="1"/>
    </row>
    <row r="86" spans="2:2" ht="12.75">
      <c r="B86" s="1"/>
    </row>
    <row r="87" spans="2:2" ht="12.75">
      <c r="B87" s="1"/>
    </row>
    <row r="88" spans="2:2" ht="12.75">
      <c r="B88" s="1"/>
    </row>
    <row r="89" spans="2:2" ht="12.75">
      <c r="B89" s="1"/>
    </row>
    <row r="90" spans="2:2" ht="12.75">
      <c r="B90" s="1"/>
    </row>
    <row r="91" spans="2:2" ht="12.75">
      <c r="B91" s="1"/>
    </row>
    <row r="92" spans="2:2" ht="12.75">
      <c r="B92" s="1"/>
    </row>
    <row r="93" spans="2:2" ht="12.75">
      <c r="B93" s="1"/>
    </row>
    <row r="94" spans="2:2" ht="12.75">
      <c r="B94" s="1"/>
    </row>
    <row r="95" spans="2:2" ht="12.75">
      <c r="B95" s="1"/>
    </row>
    <row r="96" spans="2:2" ht="12.75">
      <c r="B96" s="1"/>
    </row>
    <row r="97" spans="2:2" ht="12.75">
      <c r="B97" s="1"/>
    </row>
    <row r="98" spans="2:2" ht="12.75">
      <c r="B98" s="1"/>
    </row>
    <row r="99" spans="2:2" ht="12.75">
      <c r="B99" s="1"/>
    </row>
    <row r="100" spans="2:2" ht="12.75">
      <c r="B100" s="1"/>
    </row>
    <row r="101" spans="2:2" ht="12.75">
      <c r="B101" s="1"/>
    </row>
    <row r="102" spans="2:2" ht="12.75">
      <c r="B102" s="1"/>
    </row>
    <row r="103" spans="2:2" ht="12.75">
      <c r="B103" s="1"/>
    </row>
    <row r="104" spans="2:2" ht="12.75">
      <c r="B104" s="1"/>
    </row>
    <row r="105" spans="2:2" ht="12.75">
      <c r="B105" s="1"/>
    </row>
    <row r="106" spans="2:2" ht="12.75">
      <c r="B106" s="1"/>
    </row>
    <row r="107" spans="2:2" ht="12.75">
      <c r="B107" s="1"/>
    </row>
    <row r="108" spans="2:2" ht="12.75">
      <c r="B108" s="1"/>
    </row>
    <row r="109" spans="2:2" ht="12.75">
      <c r="B109" s="1"/>
    </row>
    <row r="110" spans="2:2" ht="12.75">
      <c r="B110" s="1"/>
    </row>
    <row r="111" spans="2:2" ht="12.75">
      <c r="B111" s="1"/>
    </row>
    <row r="112" spans="2:2" ht="12.75">
      <c r="B112" s="1"/>
    </row>
    <row r="113" spans="2:2" ht="12.75">
      <c r="B113" s="1"/>
    </row>
    <row r="114" spans="2:2" ht="12.75">
      <c r="B114" s="1"/>
    </row>
    <row r="115" spans="2:2" ht="12.75">
      <c r="B115" s="1"/>
    </row>
    <row r="116" spans="2:2" ht="12.75">
      <c r="B116" s="1"/>
    </row>
    <row r="117" spans="2:2" ht="12.75">
      <c r="B117" s="1"/>
    </row>
    <row r="118" spans="2:2" ht="12.75">
      <c r="B118" s="1"/>
    </row>
    <row r="119" spans="2:2" ht="12.75">
      <c r="B119" s="1"/>
    </row>
    <row r="120" spans="2:2" ht="12.75">
      <c r="B120" s="1"/>
    </row>
    <row r="121" spans="2:2" ht="12.75">
      <c r="B121" s="1"/>
    </row>
    <row r="122" spans="2:2" ht="12.75">
      <c r="B122" s="1"/>
    </row>
    <row r="123" spans="2:2" ht="12.75">
      <c r="B123" s="1"/>
    </row>
    <row r="124" spans="2:2" ht="12.75">
      <c r="B124" s="1"/>
    </row>
    <row r="125" spans="2:2" ht="12.75">
      <c r="B125" s="1"/>
    </row>
    <row r="126" spans="2:2" ht="12.75">
      <c r="B126" s="1"/>
    </row>
    <row r="127" spans="2:2" ht="12.75">
      <c r="B127" s="1"/>
    </row>
    <row r="128" spans="2:2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</sheetData>
  <mergeCells count="2">
    <mergeCell ref="B5:C5"/>
    <mergeCell ref="D5:F5"/>
  </mergeCells>
  <pageMargins left="0" right="0" top="0" bottom="0" header="0" footer="0"/>
  <pageSetup orientation="portrait"/>
  <headerFooter>
    <oddFooter>&amp;R_x000D_&amp;1#&amp;"Calibri"&amp;8&amp;K000000 Cisco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BBBF-1186-46D5-898E-A6135C4A1EE6}">
  <sheetPr>
    <outlinePr summaryBelow="0" summaryRight="0"/>
  </sheetPr>
  <dimension ref="A1:V939"/>
  <sheetViews>
    <sheetView showGridLines="0" zoomScale="90" zoomScaleNormal="90" workbookViewId="0">
      <selection activeCell="D5" sqref="D5:F5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5.7109375" customWidth="1"/>
    <col min="6" max="6" width="11.85546875" customWidth="1"/>
    <col min="7" max="7" width="12.85546875" customWidth="1"/>
    <col min="8" max="8" width="2.28515625" customWidth="1"/>
    <col min="9" max="9" width="4" customWidth="1"/>
    <col min="10" max="10" width="20.5703125" customWidth="1"/>
    <col min="11" max="11" width="9.140625"/>
  </cols>
  <sheetData>
    <row r="1" spans="1:22" ht="12.75">
      <c r="B1" s="1"/>
      <c r="C1" t="s">
        <v>65</v>
      </c>
      <c r="D1" t="s">
        <v>66</v>
      </c>
    </row>
    <row r="2" spans="1:22" s="27" customFormat="1" ht="12.75" customHeight="1">
      <c r="B2" s="28"/>
      <c r="C2" s="27" t="s">
        <v>67</v>
      </c>
      <c r="D2" s="27" t="s">
        <v>68</v>
      </c>
    </row>
    <row r="3" spans="1:22" ht="12.75">
      <c r="B3" s="1"/>
    </row>
    <row r="4" spans="1:22" ht="12.75" customHeight="1">
      <c r="B4" s="1"/>
      <c r="J4" s="53" t="s">
        <v>53</v>
      </c>
    </row>
    <row r="5" spans="1:22" ht="12.75">
      <c r="B5" s="70" t="s">
        <v>12</v>
      </c>
      <c r="C5" s="71"/>
      <c r="D5" s="62">
        <v>45874</v>
      </c>
      <c r="E5" s="72"/>
      <c r="F5" s="72"/>
    </row>
    <row r="6" spans="1:22" ht="35.25">
      <c r="A6" s="2"/>
      <c r="B6" s="3" t="s">
        <v>11</v>
      </c>
      <c r="C6" s="3" t="s">
        <v>27</v>
      </c>
      <c r="D6" s="54" t="s">
        <v>28</v>
      </c>
      <c r="E6" s="54" t="s">
        <v>29</v>
      </c>
      <c r="F6" s="54" t="s">
        <v>30</v>
      </c>
      <c r="G6" s="3" t="s">
        <v>16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35.25">
      <c r="B7" s="4">
        <v>1</v>
      </c>
      <c r="C7" s="45" t="s">
        <v>31</v>
      </c>
      <c r="D7" s="46"/>
      <c r="E7" s="46" t="s">
        <v>32</v>
      </c>
      <c r="F7" s="46"/>
      <c r="G7" s="46"/>
      <c r="Q7">
        <f>COUNTA(D7)*5 +COUNTA(E7)*4+COUNTA(F7)*1</f>
        <v>4</v>
      </c>
    </row>
    <row r="8" spans="1:22" ht="23.25">
      <c r="B8" s="4">
        <v>2</v>
      </c>
      <c r="C8" s="45" t="s">
        <v>33</v>
      </c>
      <c r="D8" s="46"/>
      <c r="E8" s="47" t="s">
        <v>32</v>
      </c>
      <c r="F8" s="46"/>
      <c r="G8" s="46"/>
      <c r="Q8">
        <f t="shared" ref="Q8:Q13" si="0">COUNTA(D8)*5 +COUNTA(E8)*4+COUNTA(F8)*1</f>
        <v>4</v>
      </c>
    </row>
    <row r="9" spans="1:22" ht="12.75">
      <c r="B9" s="4">
        <v>3</v>
      </c>
      <c r="C9" s="45" t="s">
        <v>34</v>
      </c>
      <c r="D9" s="46" t="s">
        <v>32</v>
      </c>
      <c r="E9" s="46"/>
      <c r="F9" s="46"/>
      <c r="G9" s="46"/>
      <c r="Q9">
        <f t="shared" si="0"/>
        <v>5</v>
      </c>
    </row>
    <row r="10" spans="1:22" ht="23.25">
      <c r="B10" s="4">
        <v>4</v>
      </c>
      <c r="C10" s="45" t="s">
        <v>35</v>
      </c>
      <c r="D10" s="46"/>
      <c r="E10" s="46" t="s">
        <v>32</v>
      </c>
      <c r="F10" s="46"/>
      <c r="G10" s="46"/>
      <c r="H10" s="5"/>
      <c r="Q10">
        <f t="shared" si="0"/>
        <v>4</v>
      </c>
    </row>
    <row r="11" spans="1:22" ht="23.25">
      <c r="B11" s="4">
        <v>5</v>
      </c>
      <c r="C11" s="45" t="s">
        <v>36</v>
      </c>
      <c r="D11" s="46" t="s">
        <v>32</v>
      </c>
      <c r="E11" s="46"/>
      <c r="F11" s="46"/>
      <c r="G11" s="46"/>
      <c r="H11" s="5"/>
      <c r="Q11">
        <f t="shared" si="0"/>
        <v>5</v>
      </c>
    </row>
    <row r="12" spans="1:22" ht="23.25">
      <c r="B12" s="4">
        <v>6</v>
      </c>
      <c r="C12" s="45" t="s">
        <v>37</v>
      </c>
      <c r="D12" s="46"/>
      <c r="E12" s="46"/>
      <c r="F12" s="46"/>
      <c r="G12" s="46" t="s">
        <v>69</v>
      </c>
      <c r="H12" s="5"/>
      <c r="Q12">
        <f t="shared" si="0"/>
        <v>0</v>
      </c>
    </row>
    <row r="13" spans="1:22" ht="12.75">
      <c r="B13" s="4">
        <v>7</v>
      </c>
      <c r="C13" s="45" t="s">
        <v>38</v>
      </c>
      <c r="D13" s="48" t="s">
        <v>32</v>
      </c>
      <c r="E13" s="48"/>
      <c r="F13" s="49"/>
      <c r="G13" s="49"/>
      <c r="H13" s="5"/>
      <c r="Q13">
        <f t="shared" si="0"/>
        <v>5</v>
      </c>
    </row>
    <row r="14" spans="1:22" ht="12.75">
      <c r="B14" s="1"/>
      <c r="Q14">
        <f>AVERAGE(Q7:Q13)</f>
        <v>3.8571428571428572</v>
      </c>
    </row>
    <row r="15" spans="1:22" ht="12.75">
      <c r="B15" s="1"/>
    </row>
    <row r="16" spans="1:22" ht="12.75">
      <c r="B16" s="1"/>
    </row>
    <row r="17" spans="2:2" ht="12.75">
      <c r="B17" s="1"/>
    </row>
    <row r="18" spans="2:2" ht="12.75">
      <c r="B18" s="1"/>
    </row>
    <row r="19" spans="2:2" ht="12.75">
      <c r="B19" s="1"/>
    </row>
    <row r="20" spans="2:2" ht="12.75">
      <c r="B20" s="1"/>
    </row>
    <row r="21" spans="2:2" ht="12.75">
      <c r="B21" s="1"/>
    </row>
    <row r="22" spans="2:2" ht="12.75">
      <c r="B22" s="1"/>
    </row>
    <row r="23" spans="2:2" ht="12.75">
      <c r="B23" s="1"/>
    </row>
    <row r="24" spans="2:2" ht="12.75">
      <c r="B24" s="1"/>
    </row>
    <row r="25" spans="2:2" ht="12.75">
      <c r="B25" s="1"/>
    </row>
    <row r="26" spans="2:2" ht="12.75">
      <c r="B26" s="1"/>
    </row>
    <row r="27" spans="2:2" ht="12.75">
      <c r="B27" s="1"/>
    </row>
    <row r="28" spans="2:2" ht="12.75">
      <c r="B28" s="1"/>
    </row>
    <row r="29" spans="2:2" ht="12.75">
      <c r="B29" s="1"/>
    </row>
    <row r="30" spans="2:2" ht="12.75">
      <c r="B30" s="1"/>
    </row>
    <row r="31" spans="2:2" ht="12.75">
      <c r="B31" s="1"/>
    </row>
    <row r="32" spans="2:2" ht="12.75">
      <c r="B32" s="1"/>
    </row>
    <row r="33" spans="2:2" ht="12.75">
      <c r="B33" s="1"/>
    </row>
    <row r="34" spans="2:2" ht="12.75">
      <c r="B34" s="1"/>
    </row>
    <row r="35" spans="2:2" ht="12.75">
      <c r="B35" s="1"/>
    </row>
    <row r="36" spans="2:2" ht="12.75">
      <c r="B36" s="1"/>
    </row>
    <row r="37" spans="2:2" ht="12.75">
      <c r="B37" s="1"/>
    </row>
    <row r="38" spans="2:2" ht="12.75">
      <c r="B38" s="1"/>
    </row>
    <row r="39" spans="2:2" ht="12.75">
      <c r="B39" s="1"/>
    </row>
    <row r="40" spans="2:2" ht="12.75">
      <c r="B40" s="1"/>
    </row>
    <row r="41" spans="2:2" ht="12.75">
      <c r="B41" s="1"/>
    </row>
    <row r="42" spans="2:2" ht="12.75">
      <c r="B42" s="1"/>
    </row>
    <row r="43" spans="2:2" ht="12.75">
      <c r="B43" s="1"/>
    </row>
    <row r="44" spans="2:2" ht="12.75">
      <c r="B44" s="1"/>
    </row>
    <row r="45" spans="2:2" ht="12.75">
      <c r="B45" s="1"/>
    </row>
    <row r="46" spans="2:2" ht="12.75">
      <c r="B46" s="1"/>
    </row>
    <row r="47" spans="2:2" ht="12.75">
      <c r="B47" s="1"/>
    </row>
    <row r="48" spans="2:2" ht="12.75">
      <c r="B48" s="1"/>
    </row>
    <row r="49" spans="2:2" ht="12.75">
      <c r="B49" s="1"/>
    </row>
    <row r="50" spans="2:2" ht="12.75">
      <c r="B50" s="1"/>
    </row>
    <row r="51" spans="2:2" ht="12.75">
      <c r="B51" s="1"/>
    </row>
    <row r="52" spans="2:2" ht="12.75">
      <c r="B52" s="1"/>
    </row>
    <row r="53" spans="2:2" ht="12.75">
      <c r="B53" s="1"/>
    </row>
    <row r="54" spans="2:2" ht="12.75">
      <c r="B54" s="1"/>
    </row>
    <row r="55" spans="2:2" ht="12.75">
      <c r="B55" s="1"/>
    </row>
    <row r="56" spans="2:2" ht="12.75">
      <c r="B56" s="1"/>
    </row>
    <row r="57" spans="2:2" ht="12.75">
      <c r="B57" s="1"/>
    </row>
    <row r="58" spans="2:2" ht="12.75">
      <c r="B58" s="1"/>
    </row>
    <row r="59" spans="2:2" ht="12.75">
      <c r="B59" s="1"/>
    </row>
    <row r="60" spans="2:2" ht="12.75">
      <c r="B60" s="1"/>
    </row>
    <row r="61" spans="2:2" ht="12.75">
      <c r="B61" s="1"/>
    </row>
    <row r="62" spans="2:2" ht="12.75">
      <c r="B62" s="1"/>
    </row>
    <row r="63" spans="2:2" ht="12.75">
      <c r="B63" s="1"/>
    </row>
    <row r="64" spans="2:2" ht="12.75">
      <c r="B64" s="1"/>
    </row>
    <row r="65" spans="2:2" ht="12.75">
      <c r="B65" s="1"/>
    </row>
    <row r="66" spans="2:2" ht="12.75">
      <c r="B66" s="1"/>
    </row>
    <row r="67" spans="2:2" ht="12.75">
      <c r="B67" s="1"/>
    </row>
    <row r="68" spans="2:2" ht="12.75">
      <c r="B68" s="1"/>
    </row>
    <row r="69" spans="2:2" ht="12.75">
      <c r="B69" s="1"/>
    </row>
    <row r="70" spans="2:2" ht="12.75">
      <c r="B70" s="1"/>
    </row>
    <row r="71" spans="2:2" ht="12.75">
      <c r="B71" s="1"/>
    </row>
    <row r="72" spans="2:2" ht="12.75">
      <c r="B72" s="1"/>
    </row>
    <row r="73" spans="2:2" ht="12.75">
      <c r="B73" s="1"/>
    </row>
    <row r="74" spans="2:2" ht="12.75">
      <c r="B74" s="1"/>
    </row>
    <row r="75" spans="2:2" ht="12.75">
      <c r="B75" s="1"/>
    </row>
    <row r="76" spans="2:2" ht="12.75">
      <c r="B76" s="1"/>
    </row>
    <row r="77" spans="2:2" ht="12.75">
      <c r="B77" s="1"/>
    </row>
    <row r="78" spans="2:2" ht="12.75">
      <c r="B78" s="1"/>
    </row>
    <row r="79" spans="2:2" ht="12.75">
      <c r="B79" s="1"/>
    </row>
    <row r="80" spans="2:2" ht="12.75">
      <c r="B80" s="1"/>
    </row>
    <row r="81" spans="2:2" ht="12.75">
      <c r="B81" s="1"/>
    </row>
    <row r="82" spans="2:2" ht="12.75">
      <c r="B82" s="1"/>
    </row>
    <row r="83" spans="2:2" ht="12.75">
      <c r="B83" s="1"/>
    </row>
    <row r="84" spans="2:2" ht="12.75">
      <c r="B84" s="1"/>
    </row>
    <row r="85" spans="2:2" ht="12.75">
      <c r="B85" s="1"/>
    </row>
    <row r="86" spans="2:2" ht="12.75">
      <c r="B86" s="1"/>
    </row>
    <row r="87" spans="2:2" ht="12.75">
      <c r="B87" s="1"/>
    </row>
    <row r="88" spans="2:2" ht="12.75">
      <c r="B88" s="1"/>
    </row>
    <row r="89" spans="2:2" ht="12.75">
      <c r="B89" s="1"/>
    </row>
    <row r="90" spans="2:2" ht="12.75">
      <c r="B90" s="1"/>
    </row>
    <row r="91" spans="2:2" ht="12.75">
      <c r="B91" s="1"/>
    </row>
    <row r="92" spans="2:2" ht="12.75">
      <c r="B92" s="1"/>
    </row>
    <row r="93" spans="2:2" ht="12.75">
      <c r="B93" s="1"/>
    </row>
    <row r="94" spans="2:2" ht="12.75">
      <c r="B94" s="1"/>
    </row>
    <row r="95" spans="2:2" ht="12.75">
      <c r="B95" s="1"/>
    </row>
    <row r="96" spans="2:2" ht="12.75">
      <c r="B96" s="1"/>
    </row>
    <row r="97" spans="2:2" ht="12.75">
      <c r="B97" s="1"/>
    </row>
    <row r="98" spans="2:2" ht="12.75">
      <c r="B98" s="1"/>
    </row>
    <row r="99" spans="2:2" ht="12.75">
      <c r="B99" s="1"/>
    </row>
    <row r="100" spans="2:2" ht="12.75">
      <c r="B100" s="1"/>
    </row>
    <row r="101" spans="2:2" ht="12.75">
      <c r="B101" s="1"/>
    </row>
    <row r="102" spans="2:2" ht="12.75">
      <c r="B102" s="1"/>
    </row>
    <row r="103" spans="2:2" ht="12.75">
      <c r="B103" s="1"/>
    </row>
    <row r="104" spans="2:2" ht="12.75">
      <c r="B104" s="1"/>
    </row>
    <row r="105" spans="2:2" ht="12.75">
      <c r="B105" s="1"/>
    </row>
    <row r="106" spans="2:2" ht="12.75">
      <c r="B106" s="1"/>
    </row>
    <row r="107" spans="2:2" ht="12.75">
      <c r="B107" s="1"/>
    </row>
    <row r="108" spans="2:2" ht="12.75">
      <c r="B108" s="1"/>
    </row>
    <row r="109" spans="2:2" ht="12.75">
      <c r="B109" s="1"/>
    </row>
    <row r="110" spans="2:2" ht="12.75">
      <c r="B110" s="1"/>
    </row>
    <row r="111" spans="2:2" ht="12.75">
      <c r="B111" s="1"/>
    </row>
    <row r="112" spans="2:2" ht="12.75">
      <c r="B112" s="1"/>
    </row>
    <row r="113" spans="2:2" ht="12.75">
      <c r="B113" s="1"/>
    </row>
    <row r="114" spans="2:2" ht="12.75">
      <c r="B114" s="1"/>
    </row>
    <row r="115" spans="2:2" ht="12.75">
      <c r="B115" s="1"/>
    </row>
    <row r="116" spans="2:2" ht="12.75">
      <c r="B116" s="1"/>
    </row>
    <row r="117" spans="2:2" ht="12.75">
      <c r="B117" s="1"/>
    </row>
    <row r="118" spans="2:2" ht="12.75">
      <c r="B118" s="1"/>
    </row>
    <row r="119" spans="2:2" ht="12.75">
      <c r="B119" s="1"/>
    </row>
    <row r="120" spans="2:2" ht="12.75">
      <c r="B120" s="1"/>
    </row>
    <row r="121" spans="2:2" ht="12.75">
      <c r="B121" s="1"/>
    </row>
    <row r="122" spans="2:2" ht="12.75">
      <c r="B122" s="1"/>
    </row>
    <row r="123" spans="2:2" ht="12.75">
      <c r="B123" s="1"/>
    </row>
    <row r="124" spans="2:2" ht="12.75">
      <c r="B124" s="1"/>
    </row>
    <row r="125" spans="2:2" ht="12.75">
      <c r="B125" s="1"/>
    </row>
    <row r="126" spans="2:2" ht="12.75">
      <c r="B126" s="1"/>
    </row>
    <row r="127" spans="2:2" ht="12.75">
      <c r="B127" s="1"/>
    </row>
    <row r="128" spans="2:2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  <row r="939" spans="2:2" ht="12.75">
      <c r="B939" s="1"/>
    </row>
  </sheetData>
  <mergeCells count="2">
    <mergeCell ref="B5:C5"/>
    <mergeCell ref="D5:F5"/>
  </mergeCells>
  <pageMargins left="0" right="0" top="0" bottom="0" header="0" footer="0"/>
  <pageSetup orientation="portrait"/>
  <headerFooter>
    <oddFooter>&amp;R_x000D_&amp;1#&amp;"Calibri"&amp;8&amp;K000000 Cisco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90BF-AF5A-49DF-AB34-2A2CF0B38569}">
  <sheetPr>
    <outlinePr summaryBelow="0" summaryRight="0"/>
  </sheetPr>
  <dimension ref="A1:V944"/>
  <sheetViews>
    <sheetView showGridLines="0" topLeftCell="A14" zoomScale="90" zoomScaleNormal="90" workbookViewId="0">
      <selection activeCell="D27" sqref="D27:E33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3.140625" customWidth="1"/>
    <col min="6" max="6" width="12.7109375" customWidth="1"/>
    <col min="7" max="7" width="36.42578125" customWidth="1"/>
    <col min="8" max="8" width="11.85546875" customWidth="1"/>
    <col min="9" max="9" width="12.85546875" customWidth="1"/>
    <col min="10" max="10" width="2.28515625" customWidth="1"/>
    <col min="11" max="11" width="4" customWidth="1"/>
    <col min="12" max="12" width="20.5703125" customWidth="1"/>
    <col min="13" max="13" width="9.140625"/>
  </cols>
  <sheetData>
    <row r="1" spans="1:22" ht="12.75">
      <c r="B1" s="1"/>
    </row>
    <row r="2" spans="1:22" s="27" customFormat="1" ht="12.75" customHeight="1">
      <c r="B2" s="28"/>
      <c r="C2" s="27" t="s">
        <v>49</v>
      </c>
      <c r="D2" s="27" t="s">
        <v>70</v>
      </c>
    </row>
    <row r="3" spans="1:22" ht="12.75">
      <c r="B3" s="1"/>
      <c r="C3" s="27" t="s">
        <v>51</v>
      </c>
      <c r="D3" t="s">
        <v>71</v>
      </c>
    </row>
    <row r="4" spans="1:22" ht="12.75" customHeight="1">
      <c r="B4" s="1"/>
      <c r="L4" s="53" t="s">
        <v>53</v>
      </c>
    </row>
    <row r="5" spans="1:22" ht="12.75">
      <c r="B5" s="70" t="s">
        <v>12</v>
      </c>
      <c r="C5" s="71"/>
      <c r="D5" s="62">
        <v>45757</v>
      </c>
      <c r="E5" s="72"/>
      <c r="F5" s="72"/>
    </row>
    <row r="6" spans="1:22" ht="35.25">
      <c r="A6" s="2"/>
      <c r="B6" s="3" t="s">
        <v>11</v>
      </c>
      <c r="C6" s="3" t="s">
        <v>27</v>
      </c>
      <c r="D6" s="54" t="s">
        <v>28</v>
      </c>
      <c r="E6" s="54" t="s">
        <v>29</v>
      </c>
      <c r="F6" s="54" t="s">
        <v>30</v>
      </c>
      <c r="G6" s="3" t="s">
        <v>16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35.25">
      <c r="B7" s="4">
        <v>1</v>
      </c>
      <c r="C7" s="45" t="s">
        <v>31</v>
      </c>
      <c r="D7" s="46"/>
      <c r="E7" s="46" t="s">
        <v>32</v>
      </c>
      <c r="F7" s="46"/>
      <c r="G7" s="46"/>
      <c r="Q7">
        <f>COUNTA(D7)*5 +COUNTA(E7)*4+COUNTA(F7)*1</f>
        <v>4</v>
      </c>
    </row>
    <row r="8" spans="1:22" ht="23.25">
      <c r="B8" s="4">
        <v>2</v>
      </c>
      <c r="C8" s="45" t="s">
        <v>33</v>
      </c>
      <c r="D8" s="46"/>
      <c r="E8" s="47" t="s">
        <v>32</v>
      </c>
      <c r="F8" s="46"/>
      <c r="G8" s="46"/>
      <c r="Q8">
        <f t="shared" ref="Q8:Q13" si="0">COUNTA(D8)*5 +COUNTA(E8)*4+COUNTA(F8)*1</f>
        <v>4</v>
      </c>
    </row>
    <row r="9" spans="1:22" ht="12.75">
      <c r="B9" s="4">
        <v>3</v>
      </c>
      <c r="C9" s="45" t="s">
        <v>34</v>
      </c>
      <c r="D9" s="46"/>
      <c r="E9" s="46" t="s">
        <v>32</v>
      </c>
      <c r="F9" s="46"/>
      <c r="G9" s="46"/>
      <c r="Q9">
        <f t="shared" si="0"/>
        <v>4</v>
      </c>
    </row>
    <row r="10" spans="1:22" ht="23.25">
      <c r="B10" s="4">
        <v>4</v>
      </c>
      <c r="C10" s="45" t="s">
        <v>35</v>
      </c>
      <c r="D10" s="46" t="s">
        <v>32</v>
      </c>
      <c r="E10" s="46"/>
      <c r="F10" s="46"/>
      <c r="G10" s="46"/>
      <c r="H10" s="5"/>
      <c r="Q10">
        <f t="shared" si="0"/>
        <v>5</v>
      </c>
    </row>
    <row r="11" spans="1:22" ht="23.25">
      <c r="B11" s="4">
        <v>5</v>
      </c>
      <c r="C11" s="45" t="s">
        <v>36</v>
      </c>
      <c r="D11" s="46"/>
      <c r="E11" s="46" t="s">
        <v>32</v>
      </c>
      <c r="F11" s="46"/>
      <c r="G11" s="46"/>
      <c r="H11" s="5"/>
      <c r="Q11">
        <f t="shared" si="0"/>
        <v>4</v>
      </c>
    </row>
    <row r="12" spans="1:22" ht="23.25">
      <c r="B12" s="4">
        <v>6</v>
      </c>
      <c r="C12" s="45" t="s">
        <v>37</v>
      </c>
      <c r="D12" s="46"/>
      <c r="E12" s="46" t="s">
        <v>32</v>
      </c>
      <c r="F12" s="46"/>
      <c r="G12" s="46"/>
      <c r="H12" s="5"/>
      <c r="Q12">
        <f t="shared" si="0"/>
        <v>4</v>
      </c>
    </row>
    <row r="13" spans="1:22" ht="12.75">
      <c r="B13" s="4">
        <v>7</v>
      </c>
      <c r="C13" s="45" t="s">
        <v>38</v>
      </c>
      <c r="D13" s="48"/>
      <c r="E13" s="48" t="s">
        <v>32</v>
      </c>
      <c r="F13" s="49"/>
      <c r="G13" s="56"/>
      <c r="H13" s="5"/>
      <c r="Q13">
        <f t="shared" si="0"/>
        <v>4</v>
      </c>
    </row>
    <row r="14" spans="1:22" ht="12.75">
      <c r="B14" s="1"/>
      <c r="Q14">
        <f>AVERAGE(Q7:Q13)</f>
        <v>4.1428571428571432</v>
      </c>
    </row>
    <row r="15" spans="1:22" ht="12.75">
      <c r="B15" s="70" t="s">
        <v>12</v>
      </c>
      <c r="C15" s="71"/>
      <c r="D15" s="62" t="s">
        <v>72</v>
      </c>
      <c r="E15" s="72"/>
      <c r="F15" s="72"/>
    </row>
    <row r="16" spans="1:22" ht="23.25">
      <c r="A16" s="2"/>
      <c r="B16" s="3" t="s">
        <v>11</v>
      </c>
      <c r="C16" s="3" t="s">
        <v>27</v>
      </c>
      <c r="D16" s="54" t="s">
        <v>28</v>
      </c>
      <c r="E16" s="54" t="s">
        <v>29</v>
      </c>
      <c r="F16" s="54" t="s">
        <v>30</v>
      </c>
      <c r="G16" s="3" t="s">
        <v>16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2:17" ht="35.25">
      <c r="B17" s="4">
        <v>1</v>
      </c>
      <c r="C17" s="45" t="s">
        <v>31</v>
      </c>
      <c r="D17" s="46"/>
      <c r="E17" s="46" t="s">
        <v>32</v>
      </c>
      <c r="F17" s="46"/>
      <c r="G17" s="46"/>
      <c r="Q17">
        <f>COUNTA(D17)*5 +COUNTA(E17)*4+COUNTA(F17)*1</f>
        <v>4</v>
      </c>
    </row>
    <row r="18" spans="2:17" ht="23.25">
      <c r="B18" s="4">
        <v>2</v>
      </c>
      <c r="C18" s="45" t="s">
        <v>33</v>
      </c>
      <c r="D18" s="46"/>
      <c r="E18" s="47" t="s">
        <v>32</v>
      </c>
      <c r="F18" s="46"/>
      <c r="G18" s="46"/>
      <c r="Q18">
        <f t="shared" ref="Q18:Q23" si="1">COUNTA(D18)*5 +COUNTA(E18)*4+COUNTA(F18)*1</f>
        <v>4</v>
      </c>
    </row>
    <row r="19" spans="2:17" ht="12.75">
      <c r="B19" s="4">
        <v>3</v>
      </c>
      <c r="C19" s="45" t="s">
        <v>34</v>
      </c>
      <c r="D19" s="46"/>
      <c r="E19" s="46" t="s">
        <v>32</v>
      </c>
      <c r="F19" s="46"/>
      <c r="G19" s="46"/>
      <c r="Q19">
        <f t="shared" si="1"/>
        <v>4</v>
      </c>
    </row>
    <row r="20" spans="2:17" ht="23.25">
      <c r="B20" s="4">
        <v>4</v>
      </c>
      <c r="C20" s="45" t="s">
        <v>35</v>
      </c>
      <c r="D20" s="46" t="s">
        <v>32</v>
      </c>
      <c r="E20" s="46"/>
      <c r="F20" s="46"/>
      <c r="G20" s="46"/>
      <c r="H20" s="5"/>
      <c r="Q20">
        <f t="shared" si="1"/>
        <v>5</v>
      </c>
    </row>
    <row r="21" spans="2:17" ht="23.25">
      <c r="B21" s="4">
        <v>5</v>
      </c>
      <c r="C21" s="45" t="s">
        <v>36</v>
      </c>
      <c r="D21" s="46"/>
      <c r="E21" s="46" t="s">
        <v>32</v>
      </c>
      <c r="F21" s="46"/>
      <c r="G21" s="46"/>
      <c r="H21" s="5"/>
      <c r="Q21">
        <f t="shared" si="1"/>
        <v>4</v>
      </c>
    </row>
    <row r="22" spans="2:17" ht="23.25">
      <c r="B22" s="4">
        <v>6</v>
      </c>
      <c r="C22" s="45" t="s">
        <v>37</v>
      </c>
      <c r="D22" s="46"/>
      <c r="E22" s="46" t="s">
        <v>32</v>
      </c>
      <c r="F22" s="46"/>
      <c r="G22" s="46"/>
      <c r="H22" s="5"/>
      <c r="Q22">
        <f t="shared" si="1"/>
        <v>4</v>
      </c>
    </row>
    <row r="23" spans="2:17" ht="12.75">
      <c r="B23" s="4">
        <v>7</v>
      </c>
      <c r="C23" s="45" t="s">
        <v>38</v>
      </c>
      <c r="D23" s="48"/>
      <c r="E23" s="48" t="s">
        <v>32</v>
      </c>
      <c r="F23" s="49"/>
      <c r="G23" s="56"/>
      <c r="H23" s="5"/>
      <c r="Q23">
        <f t="shared" si="1"/>
        <v>4</v>
      </c>
    </row>
    <row r="24" spans="2:17" ht="12.75">
      <c r="B24" s="1"/>
      <c r="Q24">
        <f>AVERAGE(Q17:Q23)</f>
        <v>4.1428571428571432</v>
      </c>
    </row>
    <row r="25" spans="2:17" ht="12.75">
      <c r="B25" s="70" t="s">
        <v>12</v>
      </c>
      <c r="C25" s="71"/>
      <c r="D25" s="62" t="s">
        <v>73</v>
      </c>
      <c r="E25" s="72"/>
      <c r="F25" s="72"/>
    </row>
    <row r="26" spans="2:17" ht="24">
      <c r="B26" s="3" t="s">
        <v>11</v>
      </c>
      <c r="C26" s="3" t="s">
        <v>27</v>
      </c>
      <c r="D26" s="54" t="s">
        <v>28</v>
      </c>
      <c r="E26" s="54" t="s">
        <v>29</v>
      </c>
      <c r="F26" s="54" t="s">
        <v>30</v>
      </c>
      <c r="G26" s="3" t="s">
        <v>16</v>
      </c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2:17" ht="36">
      <c r="B27" s="4">
        <v>1</v>
      </c>
      <c r="C27" s="45" t="s">
        <v>31</v>
      </c>
      <c r="D27" s="46"/>
      <c r="E27" s="46"/>
      <c r="F27" s="46"/>
      <c r="G27" s="46"/>
      <c r="Q27">
        <f>COUNTA(D27)*5 +COUNTA(E27)*4+COUNTA(F27)*1</f>
        <v>0</v>
      </c>
    </row>
    <row r="28" spans="2:17" ht="24">
      <c r="B28" s="4">
        <v>2</v>
      </c>
      <c r="C28" s="45" t="s">
        <v>33</v>
      </c>
      <c r="D28" s="46"/>
      <c r="E28" s="47"/>
      <c r="F28" s="46"/>
      <c r="G28" s="46"/>
      <c r="Q28">
        <f t="shared" ref="Q28:Q33" si="2">COUNTA(D28)*5 +COUNTA(E28)*4+COUNTA(F28)*1</f>
        <v>0</v>
      </c>
    </row>
    <row r="29" spans="2:17" ht="12.75">
      <c r="B29" s="4">
        <v>3</v>
      </c>
      <c r="C29" s="45" t="s">
        <v>34</v>
      </c>
      <c r="D29" s="46"/>
      <c r="E29" s="46"/>
      <c r="F29" s="46"/>
      <c r="G29" s="46"/>
      <c r="Q29">
        <f t="shared" si="2"/>
        <v>0</v>
      </c>
    </row>
    <row r="30" spans="2:17" ht="24">
      <c r="B30" s="4">
        <v>4</v>
      </c>
      <c r="C30" s="45" t="s">
        <v>35</v>
      </c>
      <c r="D30" s="46"/>
      <c r="E30" s="46"/>
      <c r="F30" s="46"/>
      <c r="G30" s="46"/>
      <c r="H30" s="5"/>
      <c r="Q30">
        <f t="shared" si="2"/>
        <v>0</v>
      </c>
    </row>
    <row r="31" spans="2:17" ht="24">
      <c r="B31" s="4">
        <v>5</v>
      </c>
      <c r="C31" s="45" t="s">
        <v>36</v>
      </c>
      <c r="D31" s="46"/>
      <c r="E31" s="46"/>
      <c r="F31" s="46"/>
      <c r="G31" s="46"/>
      <c r="H31" s="5"/>
      <c r="Q31">
        <f t="shared" si="2"/>
        <v>0</v>
      </c>
    </row>
    <row r="32" spans="2:17" ht="24">
      <c r="B32" s="4">
        <v>6</v>
      </c>
      <c r="C32" s="45" t="s">
        <v>37</v>
      </c>
      <c r="D32" s="46"/>
      <c r="E32" s="46"/>
      <c r="F32" s="46"/>
      <c r="G32" s="46"/>
      <c r="H32" s="5"/>
      <c r="Q32">
        <f t="shared" si="2"/>
        <v>0</v>
      </c>
    </row>
    <row r="33" spans="2:17" ht="36">
      <c r="B33" s="4">
        <v>7</v>
      </c>
      <c r="C33" s="45" t="s">
        <v>38</v>
      </c>
      <c r="D33" s="48"/>
      <c r="E33" s="48"/>
      <c r="F33" s="49"/>
      <c r="G33" s="56" t="s">
        <v>74</v>
      </c>
      <c r="H33" s="5"/>
      <c r="Q33">
        <f t="shared" si="2"/>
        <v>0</v>
      </c>
    </row>
    <row r="34" spans="2:17" ht="12.75">
      <c r="B34" s="1"/>
      <c r="Q34">
        <f>AVERAGE(Q27:Q33)</f>
        <v>0</v>
      </c>
    </row>
    <row r="35" spans="2:17" ht="12.75">
      <c r="B35" s="1"/>
    </row>
    <row r="36" spans="2:17" ht="12.75">
      <c r="B36" s="1"/>
    </row>
    <row r="37" spans="2:17" ht="12.75">
      <c r="B37" s="1"/>
    </row>
    <row r="38" spans="2:17" ht="12.75">
      <c r="B38" s="1"/>
    </row>
    <row r="39" spans="2:17" ht="12.75">
      <c r="B39" s="1"/>
    </row>
    <row r="40" spans="2:17" ht="12.75">
      <c r="B40" s="1"/>
    </row>
    <row r="41" spans="2:17" ht="12.75">
      <c r="B41" s="1"/>
    </row>
    <row r="42" spans="2:17" ht="12.75">
      <c r="B42" s="1"/>
    </row>
    <row r="43" spans="2:17" ht="12.75">
      <c r="B43" s="1"/>
    </row>
    <row r="44" spans="2:17" ht="12.75">
      <c r="B44" s="1"/>
    </row>
    <row r="45" spans="2:17" ht="12.75">
      <c r="B45" s="1"/>
    </row>
    <row r="46" spans="2:17" ht="12.75">
      <c r="B46" s="1"/>
    </row>
    <row r="47" spans="2:17" ht="12.75">
      <c r="B47" s="1"/>
    </row>
    <row r="48" spans="2:17" ht="12.75">
      <c r="B48" s="1"/>
    </row>
    <row r="49" spans="2:2" ht="12.75">
      <c r="B49" s="1"/>
    </row>
    <row r="50" spans="2:2" ht="12.75">
      <c r="B50" s="1"/>
    </row>
    <row r="51" spans="2:2" ht="12.75">
      <c r="B51" s="1"/>
    </row>
    <row r="52" spans="2:2" ht="12.75">
      <c r="B52" s="1"/>
    </row>
    <row r="53" spans="2:2" ht="12.75">
      <c r="B53" s="1"/>
    </row>
    <row r="54" spans="2:2" ht="12.75">
      <c r="B54" s="1"/>
    </row>
    <row r="55" spans="2:2" ht="12.75">
      <c r="B55" s="1"/>
    </row>
    <row r="56" spans="2:2" ht="12.75">
      <c r="B56" s="1"/>
    </row>
    <row r="57" spans="2:2" ht="12.75">
      <c r="B57" s="1"/>
    </row>
    <row r="58" spans="2:2" ht="12.75">
      <c r="B58" s="1"/>
    </row>
    <row r="59" spans="2:2" ht="12.75">
      <c r="B59" s="1"/>
    </row>
    <row r="60" spans="2:2" ht="12.75">
      <c r="B60" s="1"/>
    </row>
    <row r="61" spans="2:2" ht="12.75">
      <c r="B61" s="1"/>
    </row>
    <row r="62" spans="2:2" ht="12.75">
      <c r="B62" s="1"/>
    </row>
    <row r="63" spans="2:2" ht="12.75">
      <c r="B63" s="1"/>
    </row>
    <row r="64" spans="2:2" ht="12.75">
      <c r="B64" s="1"/>
    </row>
    <row r="65" spans="2:2" ht="12.75">
      <c r="B65" s="1"/>
    </row>
    <row r="66" spans="2:2" ht="12.75">
      <c r="B66" s="1"/>
    </row>
    <row r="67" spans="2:2" ht="12.75">
      <c r="B67" s="1"/>
    </row>
    <row r="68" spans="2:2" ht="12.75">
      <c r="B68" s="1"/>
    </row>
    <row r="69" spans="2:2" ht="12.75">
      <c r="B69" s="1"/>
    </row>
    <row r="70" spans="2:2" ht="12.75">
      <c r="B70" s="1"/>
    </row>
    <row r="71" spans="2:2" ht="12.75">
      <c r="B71" s="1"/>
    </row>
    <row r="72" spans="2:2" ht="12.75">
      <c r="B72" s="1"/>
    </row>
    <row r="73" spans="2:2" ht="12.75">
      <c r="B73" s="1"/>
    </row>
    <row r="74" spans="2:2" ht="12.75">
      <c r="B74" s="1"/>
    </row>
    <row r="75" spans="2:2" ht="12.75">
      <c r="B75" s="1"/>
    </row>
    <row r="76" spans="2:2" ht="12.75">
      <c r="B76" s="1"/>
    </row>
    <row r="77" spans="2:2" ht="12.75">
      <c r="B77" s="1"/>
    </row>
    <row r="78" spans="2:2" ht="12.75">
      <c r="B78" s="1"/>
    </row>
    <row r="79" spans="2:2" ht="12.75">
      <c r="B79" s="1"/>
    </row>
    <row r="80" spans="2:2" ht="12.75">
      <c r="B80" s="1"/>
    </row>
    <row r="81" spans="2:2" ht="12.75">
      <c r="B81" s="1"/>
    </row>
    <row r="82" spans="2:2" ht="12.75">
      <c r="B82" s="1"/>
    </row>
    <row r="83" spans="2:2" ht="12.75">
      <c r="B83" s="1"/>
    </row>
    <row r="84" spans="2:2" ht="12.75">
      <c r="B84" s="1"/>
    </row>
    <row r="85" spans="2:2" ht="12.75">
      <c r="B85" s="1"/>
    </row>
    <row r="86" spans="2:2" ht="12.75">
      <c r="B86" s="1"/>
    </row>
    <row r="87" spans="2:2" ht="12.75">
      <c r="B87" s="1"/>
    </row>
    <row r="88" spans="2:2" ht="12.75">
      <c r="B88" s="1"/>
    </row>
    <row r="89" spans="2:2" ht="12.75">
      <c r="B89" s="1"/>
    </row>
    <row r="90" spans="2:2" ht="12.75">
      <c r="B90" s="1"/>
    </row>
    <row r="91" spans="2:2" ht="12.75">
      <c r="B91" s="1"/>
    </row>
    <row r="92" spans="2:2" ht="12.75">
      <c r="B92" s="1"/>
    </row>
    <row r="93" spans="2:2" ht="12.75">
      <c r="B93" s="1"/>
    </row>
    <row r="94" spans="2:2" ht="12.75">
      <c r="B94" s="1"/>
    </row>
    <row r="95" spans="2:2" ht="12.75">
      <c r="B95" s="1"/>
    </row>
    <row r="96" spans="2:2" ht="12.75">
      <c r="B96" s="1"/>
    </row>
    <row r="97" spans="2:2" ht="12.75">
      <c r="B97" s="1"/>
    </row>
    <row r="98" spans="2:2" ht="12.75">
      <c r="B98" s="1"/>
    </row>
    <row r="99" spans="2:2" ht="12.75">
      <c r="B99" s="1"/>
    </row>
    <row r="100" spans="2:2" ht="12.75">
      <c r="B100" s="1"/>
    </row>
    <row r="101" spans="2:2" ht="12.75">
      <c r="B101" s="1"/>
    </row>
    <row r="102" spans="2:2" ht="12.75">
      <c r="B102" s="1"/>
    </row>
    <row r="103" spans="2:2" ht="12.75">
      <c r="B103" s="1"/>
    </row>
    <row r="104" spans="2:2" ht="12.75">
      <c r="B104" s="1"/>
    </row>
    <row r="105" spans="2:2" ht="12.75">
      <c r="B105" s="1"/>
    </row>
    <row r="106" spans="2:2" ht="12.75">
      <c r="B106" s="1"/>
    </row>
    <row r="107" spans="2:2" ht="12.75">
      <c r="B107" s="1"/>
    </row>
    <row r="108" spans="2:2" ht="12.75">
      <c r="B108" s="1"/>
    </row>
    <row r="109" spans="2:2" ht="12.75">
      <c r="B109" s="1"/>
    </row>
    <row r="110" spans="2:2" ht="12.75">
      <c r="B110" s="1"/>
    </row>
    <row r="111" spans="2:2" ht="12.75">
      <c r="B111" s="1"/>
    </row>
    <row r="112" spans="2:2" ht="12.75">
      <c r="B112" s="1"/>
    </row>
    <row r="113" spans="2:2" ht="12.75">
      <c r="B113" s="1"/>
    </row>
    <row r="114" spans="2:2" ht="12.75">
      <c r="B114" s="1"/>
    </row>
    <row r="115" spans="2:2" ht="12.75">
      <c r="B115" s="1"/>
    </row>
    <row r="116" spans="2:2" ht="12.75">
      <c r="B116" s="1"/>
    </row>
    <row r="117" spans="2:2" ht="12.75">
      <c r="B117" s="1"/>
    </row>
    <row r="118" spans="2:2" ht="12.75">
      <c r="B118" s="1"/>
    </row>
    <row r="119" spans="2:2" ht="12.75">
      <c r="B119" s="1"/>
    </row>
    <row r="120" spans="2:2" ht="12.75">
      <c r="B120" s="1"/>
    </row>
    <row r="121" spans="2:2" ht="12.75">
      <c r="B121" s="1"/>
    </row>
    <row r="122" spans="2:2" ht="12.75">
      <c r="B122" s="1"/>
    </row>
    <row r="123" spans="2:2" ht="12.75">
      <c r="B123" s="1"/>
    </row>
    <row r="124" spans="2:2" ht="12.75">
      <c r="B124" s="1"/>
    </row>
    <row r="125" spans="2:2" ht="12.75">
      <c r="B125" s="1"/>
    </row>
    <row r="126" spans="2:2" ht="12.75">
      <c r="B126" s="1"/>
    </row>
    <row r="127" spans="2:2" ht="12.75">
      <c r="B127" s="1"/>
    </row>
    <row r="128" spans="2:2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  <row r="939" spans="2:2" ht="12.75">
      <c r="B939" s="1"/>
    </row>
    <row r="940" spans="2:2" ht="12.75">
      <c r="B940" s="1"/>
    </row>
    <row r="941" spans="2:2" ht="12.75">
      <c r="B941" s="1"/>
    </row>
    <row r="942" spans="2:2" ht="12.75">
      <c r="B942" s="1"/>
    </row>
    <row r="943" spans="2:2" ht="12.75">
      <c r="B943" s="1"/>
    </row>
    <row r="944" spans="2:2" ht="12.75">
      <c r="B944" s="1"/>
    </row>
  </sheetData>
  <mergeCells count="6">
    <mergeCell ref="B5:C5"/>
    <mergeCell ref="D5:F5"/>
    <mergeCell ref="B15:C15"/>
    <mergeCell ref="D15:F15"/>
    <mergeCell ref="B25:C25"/>
    <mergeCell ref="D25:F25"/>
  </mergeCells>
  <pageMargins left="0" right="0" top="0" bottom="0" header="0" footer="0"/>
  <pageSetup paperSize="8" fitToWidth="0" fitToHeight="0" orientation="landscape"/>
  <headerFooter>
    <oddFooter>&amp;R_x000D_&amp;1#&amp;"Calibri"&amp;8&amp;K000000 Cisco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32D0-8794-4186-A1C7-A889F1DF2FB3}">
  <sheetPr>
    <outlinePr summaryBelow="0" summaryRight="0"/>
  </sheetPr>
  <dimension ref="A1:V942"/>
  <sheetViews>
    <sheetView showGridLines="0" topLeftCell="A33" zoomScale="90" zoomScaleNormal="90" workbookViewId="0">
      <selection activeCell="I52" sqref="I52:I54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3" customWidth="1"/>
    <col min="6" max="6" width="13.5703125" customWidth="1"/>
    <col min="7" max="7" width="23.5703125" customWidth="1"/>
    <col min="8" max="8" width="11.85546875" customWidth="1"/>
    <col min="9" max="9" width="12.85546875" customWidth="1"/>
    <col min="10" max="10" width="2.28515625" customWidth="1"/>
    <col min="11" max="11" width="4" customWidth="1"/>
    <col min="12" max="12" width="20.5703125" customWidth="1"/>
    <col min="13" max="13" width="9.140625"/>
  </cols>
  <sheetData>
    <row r="1" spans="1:22" ht="12.75">
      <c r="B1" s="1"/>
    </row>
    <row r="2" spans="1:22" s="27" customFormat="1" ht="12.75" customHeight="1">
      <c r="B2" s="28"/>
      <c r="C2" s="27" t="s">
        <v>49</v>
      </c>
      <c r="D2" s="27" t="s">
        <v>75</v>
      </c>
    </row>
    <row r="3" spans="1:22" ht="12.75">
      <c r="B3" s="1"/>
      <c r="C3" s="27" t="s">
        <v>76</v>
      </c>
      <c r="D3" t="s">
        <v>77</v>
      </c>
    </row>
    <row r="4" spans="1:22" ht="12.75" customHeight="1">
      <c r="B4" s="1"/>
      <c r="L4" s="53" t="s">
        <v>53</v>
      </c>
    </row>
    <row r="5" spans="1:22" ht="12.75">
      <c r="B5" s="70" t="s">
        <v>12</v>
      </c>
      <c r="C5" s="71"/>
      <c r="D5" s="62" t="s">
        <v>78</v>
      </c>
      <c r="E5" s="72"/>
      <c r="F5" s="72"/>
    </row>
    <row r="6" spans="1:22" ht="35.25">
      <c r="A6" s="2"/>
      <c r="B6" s="3" t="s">
        <v>11</v>
      </c>
      <c r="C6" s="3" t="s">
        <v>27</v>
      </c>
      <c r="D6" s="54" t="s">
        <v>28</v>
      </c>
      <c r="E6" s="54" t="s">
        <v>29</v>
      </c>
      <c r="F6" s="54" t="s">
        <v>30</v>
      </c>
      <c r="G6" s="3" t="s">
        <v>16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58.5">
      <c r="B7" s="4">
        <v>1</v>
      </c>
      <c r="C7" s="45" t="s">
        <v>31</v>
      </c>
      <c r="D7" s="46"/>
      <c r="E7" s="46" t="s">
        <v>32</v>
      </c>
      <c r="F7" s="46"/>
      <c r="G7" s="55" t="s">
        <v>79</v>
      </c>
      <c r="Q7">
        <f>COUNTA(D7)*5 +COUNTA(E7)*4+COUNTA(F7)*1</f>
        <v>4</v>
      </c>
    </row>
    <row r="8" spans="1:22" ht="46.5">
      <c r="B8" s="4">
        <v>2</v>
      </c>
      <c r="C8" s="45" t="s">
        <v>33</v>
      </c>
      <c r="D8" s="46" t="s">
        <v>32</v>
      </c>
      <c r="E8" s="47"/>
      <c r="F8" s="46"/>
      <c r="G8" s="55" t="s">
        <v>80</v>
      </c>
      <c r="Q8">
        <f t="shared" ref="Q8:Q13" si="0">COUNTA(D8)*5 +COUNTA(E8)*4+COUNTA(F8)*1</f>
        <v>5</v>
      </c>
    </row>
    <row r="9" spans="1:22" ht="12.75">
      <c r="B9" s="4">
        <v>3</v>
      </c>
      <c r="C9" s="45" t="s">
        <v>34</v>
      </c>
      <c r="D9" s="46" t="s">
        <v>32</v>
      </c>
      <c r="E9" s="46"/>
      <c r="F9" s="46"/>
      <c r="G9" s="46"/>
      <c r="Q9">
        <f t="shared" si="0"/>
        <v>5</v>
      </c>
    </row>
    <row r="10" spans="1:22" ht="23.25">
      <c r="B10" s="4">
        <v>4</v>
      </c>
      <c r="C10" s="45" t="s">
        <v>35</v>
      </c>
      <c r="D10" s="46" t="s">
        <v>32</v>
      </c>
      <c r="E10" s="46"/>
      <c r="F10" s="46"/>
      <c r="G10" s="46"/>
      <c r="H10" s="5"/>
      <c r="Q10">
        <f t="shared" si="0"/>
        <v>5</v>
      </c>
    </row>
    <row r="11" spans="1:22" ht="23.25">
      <c r="B11" s="4">
        <v>5</v>
      </c>
      <c r="C11" s="45" t="s">
        <v>36</v>
      </c>
      <c r="D11" s="46" t="s">
        <v>32</v>
      </c>
      <c r="E11" s="46"/>
      <c r="F11" s="46"/>
      <c r="G11" s="46"/>
      <c r="H11" s="5"/>
      <c r="Q11">
        <f t="shared" si="0"/>
        <v>5</v>
      </c>
    </row>
    <row r="12" spans="1:22" ht="23.25">
      <c r="B12" s="4">
        <v>6</v>
      </c>
      <c r="C12" s="45" t="s">
        <v>37</v>
      </c>
      <c r="D12" s="46" t="s">
        <v>32</v>
      </c>
      <c r="E12" s="46"/>
      <c r="F12" s="46"/>
      <c r="G12" s="46"/>
      <c r="H12" s="5"/>
      <c r="Q12">
        <f t="shared" si="0"/>
        <v>5</v>
      </c>
    </row>
    <row r="13" spans="1:22" ht="12.75">
      <c r="B13" s="4">
        <v>7</v>
      </c>
      <c r="C13" s="45" t="s">
        <v>38</v>
      </c>
      <c r="D13" s="48" t="s">
        <v>32</v>
      </c>
      <c r="E13" s="48"/>
      <c r="F13" s="49"/>
      <c r="G13" s="49"/>
      <c r="H13" s="5"/>
      <c r="Q13">
        <f t="shared" si="0"/>
        <v>5</v>
      </c>
    </row>
    <row r="14" spans="1:22" ht="12.75">
      <c r="B14" s="1"/>
      <c r="Q14">
        <f>AVERAGE(Q7:Q13)</f>
        <v>4.8571428571428568</v>
      </c>
    </row>
    <row r="15" spans="1:22" ht="12.75">
      <c r="B15" s="70" t="s">
        <v>12</v>
      </c>
      <c r="C15" s="71"/>
      <c r="D15" s="62" t="s">
        <v>81</v>
      </c>
      <c r="E15" s="72"/>
      <c r="F15" s="72"/>
    </row>
    <row r="16" spans="1:22" ht="23.25">
      <c r="A16" s="2"/>
      <c r="B16" s="3" t="s">
        <v>11</v>
      </c>
      <c r="C16" s="3" t="s">
        <v>27</v>
      </c>
      <c r="D16" s="54" t="s">
        <v>28</v>
      </c>
      <c r="E16" s="54" t="s">
        <v>29</v>
      </c>
      <c r="F16" s="54" t="s">
        <v>30</v>
      </c>
      <c r="G16" s="3" t="s">
        <v>16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2:17" ht="35.25">
      <c r="B17" s="4">
        <v>1</v>
      </c>
      <c r="C17" s="45" t="s">
        <v>31</v>
      </c>
      <c r="D17" s="46"/>
      <c r="E17" s="46" t="s">
        <v>32</v>
      </c>
      <c r="F17" s="46"/>
      <c r="G17" s="55" t="s">
        <v>82</v>
      </c>
      <c r="Q17">
        <f>COUNTA(D17)*5 +COUNTA(E17)*4+COUNTA(F17)*1</f>
        <v>4</v>
      </c>
    </row>
    <row r="18" spans="2:17" ht="46.5">
      <c r="B18" s="4">
        <v>2</v>
      </c>
      <c r="C18" s="45" t="s">
        <v>33</v>
      </c>
      <c r="D18" s="46" t="s">
        <v>32</v>
      </c>
      <c r="E18" s="47"/>
      <c r="F18" s="46"/>
      <c r="G18" s="55" t="s">
        <v>80</v>
      </c>
      <c r="Q18">
        <f t="shared" ref="Q18:Q23" si="1">COUNTA(D18)*5 +COUNTA(E18)*4+COUNTA(F18)*1</f>
        <v>5</v>
      </c>
    </row>
    <row r="19" spans="2:17" ht="12.75">
      <c r="B19" s="4">
        <v>3</v>
      </c>
      <c r="C19" s="45" t="s">
        <v>34</v>
      </c>
      <c r="D19" s="46" t="s">
        <v>32</v>
      </c>
      <c r="E19" s="46"/>
      <c r="F19" s="46"/>
      <c r="G19" s="46"/>
      <c r="Q19">
        <f t="shared" si="1"/>
        <v>5</v>
      </c>
    </row>
    <row r="20" spans="2:17" ht="23.25">
      <c r="B20" s="4">
        <v>4</v>
      </c>
      <c r="C20" s="45" t="s">
        <v>35</v>
      </c>
      <c r="D20" s="46" t="s">
        <v>32</v>
      </c>
      <c r="E20" s="46"/>
      <c r="F20" s="46"/>
      <c r="G20" s="46"/>
      <c r="H20" s="5"/>
      <c r="Q20">
        <f t="shared" si="1"/>
        <v>5</v>
      </c>
    </row>
    <row r="21" spans="2:17" ht="23.25">
      <c r="B21" s="4">
        <v>5</v>
      </c>
      <c r="C21" s="45" t="s">
        <v>36</v>
      </c>
      <c r="D21" s="46" t="s">
        <v>32</v>
      </c>
      <c r="E21" s="46"/>
      <c r="F21" s="46"/>
      <c r="G21" s="46"/>
      <c r="H21" s="5"/>
      <c r="Q21">
        <f t="shared" si="1"/>
        <v>5</v>
      </c>
    </row>
    <row r="22" spans="2:17" ht="23.25">
      <c r="B22" s="4">
        <v>6</v>
      </c>
      <c r="C22" s="45" t="s">
        <v>37</v>
      </c>
      <c r="D22" s="46" t="s">
        <v>32</v>
      </c>
      <c r="E22" s="46"/>
      <c r="F22" s="46"/>
      <c r="G22" s="46"/>
      <c r="H22" s="5"/>
      <c r="Q22">
        <f t="shared" si="1"/>
        <v>5</v>
      </c>
    </row>
    <row r="23" spans="2:17" ht="12.75">
      <c r="B23" s="4">
        <v>7</v>
      </c>
      <c r="C23" s="45" t="s">
        <v>38</v>
      </c>
      <c r="D23" s="48" t="s">
        <v>32</v>
      </c>
      <c r="E23" s="48"/>
      <c r="F23" s="49"/>
      <c r="G23" s="49"/>
      <c r="H23" s="5"/>
      <c r="Q23">
        <f t="shared" si="1"/>
        <v>5</v>
      </c>
    </row>
    <row r="24" spans="2:17" ht="12.75">
      <c r="B24" s="1"/>
      <c r="Q24">
        <f>AVERAGE(Q17:Q23)</f>
        <v>4.8571428571428568</v>
      </c>
    </row>
    <row r="25" spans="2:17" ht="12.75">
      <c r="B25" s="70" t="s">
        <v>12</v>
      </c>
      <c r="C25" s="71"/>
      <c r="D25" s="62" t="s">
        <v>83</v>
      </c>
      <c r="E25" s="72"/>
      <c r="F25" s="72"/>
    </row>
    <row r="26" spans="2:17" ht="23.25">
      <c r="B26" s="3" t="s">
        <v>11</v>
      </c>
      <c r="C26" s="3" t="s">
        <v>27</v>
      </c>
      <c r="D26" s="54" t="s">
        <v>28</v>
      </c>
      <c r="E26" s="54" t="s">
        <v>29</v>
      </c>
      <c r="F26" s="54" t="s">
        <v>30</v>
      </c>
      <c r="G26" s="3" t="s">
        <v>16</v>
      </c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2:17" ht="35.25">
      <c r="B27" s="4">
        <v>1</v>
      </c>
      <c r="C27" s="45" t="s">
        <v>31</v>
      </c>
      <c r="D27" s="46"/>
      <c r="E27" s="46" t="s">
        <v>32</v>
      </c>
      <c r="F27" s="46"/>
      <c r="G27" s="55"/>
      <c r="Q27">
        <f>COUNTA(D27)*5 +COUNTA(E27)*4+COUNTA(F27)*1</f>
        <v>4</v>
      </c>
    </row>
    <row r="28" spans="2:17" ht="23.25">
      <c r="B28" s="4">
        <v>2</v>
      </c>
      <c r="C28" s="45" t="s">
        <v>33</v>
      </c>
      <c r="D28" s="46"/>
      <c r="E28" s="47" t="s">
        <v>32</v>
      </c>
      <c r="F28" s="46"/>
      <c r="G28" s="55"/>
      <c r="Q28">
        <f>COUNTA(D28)*5 +COUNTA(E28)*4+COUNTA(F28)*1</f>
        <v>4</v>
      </c>
    </row>
    <row r="29" spans="2:17" ht="12.75">
      <c r="B29" s="4">
        <v>3</v>
      </c>
      <c r="C29" s="45" t="s">
        <v>34</v>
      </c>
      <c r="D29" s="46"/>
      <c r="E29" s="46" t="s">
        <v>32</v>
      </c>
      <c r="F29" s="46"/>
      <c r="G29" s="55"/>
      <c r="Q29">
        <f>COUNTA(D29)*5 +COUNTA(E29)*4+COUNTA(F29)*1</f>
        <v>4</v>
      </c>
    </row>
    <row r="30" spans="2:17" ht="23.25">
      <c r="B30" s="4">
        <v>4</v>
      </c>
      <c r="C30" s="45" t="s">
        <v>35</v>
      </c>
      <c r="D30" s="46"/>
      <c r="E30" s="46" t="s">
        <v>32</v>
      </c>
      <c r="F30" s="46"/>
      <c r="G30" s="55"/>
      <c r="H30" s="5"/>
      <c r="Q30">
        <f>COUNTA(D30)*5 +COUNTA(E30)*4+COUNTA(F30)*1</f>
        <v>4</v>
      </c>
    </row>
    <row r="31" spans="2:17" ht="23.25">
      <c r="B31" s="4">
        <v>5</v>
      </c>
      <c r="C31" s="45" t="s">
        <v>36</v>
      </c>
      <c r="D31" s="46"/>
      <c r="E31" s="46" t="s">
        <v>32</v>
      </c>
      <c r="F31" s="46"/>
      <c r="G31" s="55"/>
      <c r="H31" s="5"/>
      <c r="Q31">
        <f>COUNTA(D31)*5 +COUNTA(E31)*4+COUNTA(F31)*1</f>
        <v>4</v>
      </c>
    </row>
    <row r="32" spans="2:17" ht="23.25">
      <c r="B32" s="4">
        <v>6</v>
      </c>
      <c r="C32" s="45" t="s">
        <v>37</v>
      </c>
      <c r="D32" s="46"/>
      <c r="E32" s="46" t="s">
        <v>32</v>
      </c>
      <c r="F32" s="46"/>
      <c r="G32" s="55"/>
      <c r="H32" s="5"/>
      <c r="Q32">
        <f>COUNTA(D32)*5 +COUNTA(E32)*4+COUNTA(F32)*1</f>
        <v>4</v>
      </c>
    </row>
    <row r="33" spans="2:17" ht="12.75">
      <c r="B33" s="4">
        <v>7</v>
      </c>
      <c r="C33" s="45" t="s">
        <v>38</v>
      </c>
      <c r="D33" s="48" t="s">
        <v>32</v>
      </c>
      <c r="E33" s="48"/>
      <c r="F33" s="49"/>
      <c r="G33" s="49"/>
      <c r="H33" s="5"/>
      <c r="Q33">
        <f>COUNTA(D33)*5 +COUNTA(E33)*4+COUNTA(F33)*1</f>
        <v>5</v>
      </c>
    </row>
    <row r="34" spans="2:17" ht="12.75">
      <c r="B34" s="1"/>
      <c r="Q34">
        <f>AVERAGE(Q27:Q33)</f>
        <v>4.1428571428571432</v>
      </c>
    </row>
    <row r="35" spans="2:17" ht="12.75">
      <c r="B35" s="70" t="s">
        <v>12</v>
      </c>
      <c r="C35" s="71"/>
      <c r="D35" s="62" t="s">
        <v>84</v>
      </c>
      <c r="E35" s="72"/>
      <c r="F35" s="72"/>
    </row>
    <row r="36" spans="2:17" ht="23.25">
      <c r="B36" s="3" t="s">
        <v>11</v>
      </c>
      <c r="C36" s="3" t="s">
        <v>27</v>
      </c>
      <c r="D36" s="54" t="s">
        <v>28</v>
      </c>
      <c r="E36" s="54" t="s">
        <v>29</v>
      </c>
      <c r="F36" s="54" t="s">
        <v>30</v>
      </c>
      <c r="G36" s="3" t="s">
        <v>16</v>
      </c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36">
      <c r="B37" s="4">
        <v>1</v>
      </c>
      <c r="C37" s="45" t="s">
        <v>31</v>
      </c>
      <c r="D37" s="46"/>
      <c r="E37" s="46" t="s">
        <v>32</v>
      </c>
      <c r="F37" s="46"/>
      <c r="G37" s="55"/>
      <c r="Q37">
        <f>COUNTA(D37)*5 +COUNTA(E37)*4+COUNTA(F37)*1</f>
        <v>4</v>
      </c>
    </row>
    <row r="38" spans="2:17" ht="24">
      <c r="B38" s="4">
        <v>2</v>
      </c>
      <c r="C38" s="45" t="s">
        <v>33</v>
      </c>
      <c r="D38" s="46"/>
      <c r="E38" s="47" t="s">
        <v>32</v>
      </c>
      <c r="F38" s="46"/>
      <c r="G38" s="55"/>
      <c r="Q38">
        <f>COUNTA(D38)*5 +COUNTA(E38)*4+COUNTA(F38)*1</f>
        <v>4</v>
      </c>
    </row>
    <row r="39" spans="2:17" ht="12.75">
      <c r="B39" s="4">
        <v>3</v>
      </c>
      <c r="C39" s="45" t="s">
        <v>34</v>
      </c>
      <c r="D39" s="46"/>
      <c r="E39" s="46" t="s">
        <v>32</v>
      </c>
      <c r="F39" s="46"/>
      <c r="G39" s="55"/>
      <c r="Q39">
        <f>COUNTA(D39)*5 +COUNTA(E39)*4+COUNTA(F39)*1</f>
        <v>4</v>
      </c>
    </row>
    <row r="40" spans="2:17" ht="24">
      <c r="B40" s="4">
        <v>4</v>
      </c>
      <c r="C40" s="45" t="s">
        <v>35</v>
      </c>
      <c r="D40" s="46"/>
      <c r="E40" s="46" t="s">
        <v>32</v>
      </c>
      <c r="F40" s="46"/>
      <c r="G40" s="55"/>
      <c r="H40" s="5"/>
      <c r="Q40">
        <f>COUNTA(D40)*5 +COUNTA(E40)*4+COUNTA(F40)*1</f>
        <v>4</v>
      </c>
    </row>
    <row r="41" spans="2:17" ht="24">
      <c r="B41" s="4">
        <v>5</v>
      </c>
      <c r="C41" s="45" t="s">
        <v>36</v>
      </c>
      <c r="D41" s="46"/>
      <c r="E41" s="46" t="s">
        <v>32</v>
      </c>
      <c r="F41" s="46"/>
      <c r="G41" s="55"/>
      <c r="H41" s="5"/>
      <c r="Q41">
        <f>COUNTA(D41)*5 +COUNTA(E41)*4+COUNTA(F41)*1</f>
        <v>4</v>
      </c>
    </row>
    <row r="42" spans="2:17" ht="24">
      <c r="B42" s="4">
        <v>6</v>
      </c>
      <c r="C42" s="45" t="s">
        <v>37</v>
      </c>
      <c r="D42" s="46"/>
      <c r="E42" s="46" t="s">
        <v>32</v>
      </c>
      <c r="F42" s="46"/>
      <c r="G42" s="55"/>
      <c r="H42" s="5"/>
      <c r="Q42">
        <f>COUNTA(D42)*5 +COUNTA(E42)*4+COUNTA(F42)*1</f>
        <v>4</v>
      </c>
    </row>
    <row r="43" spans="2:17" ht="12.75">
      <c r="B43" s="4">
        <v>7</v>
      </c>
      <c r="C43" s="45" t="s">
        <v>38</v>
      </c>
      <c r="D43" s="48" t="s">
        <v>32</v>
      </c>
      <c r="E43" s="48"/>
      <c r="F43" s="49"/>
      <c r="G43" s="49"/>
      <c r="H43" s="5"/>
      <c r="Q43">
        <f>COUNTA(D43)*5 +COUNTA(E43)*4+COUNTA(F43)*1</f>
        <v>5</v>
      </c>
    </row>
    <row r="44" spans="2:17" ht="12.75">
      <c r="B44" s="1"/>
      <c r="Q44">
        <f>AVERAGE(Q37:Q43)</f>
        <v>4.1428571428571432</v>
      </c>
    </row>
    <row r="45" spans="2:17" ht="12.75">
      <c r="B45" s="70" t="s">
        <v>12</v>
      </c>
      <c r="C45" s="71"/>
      <c r="D45" s="62" t="s">
        <v>45</v>
      </c>
      <c r="E45" s="72"/>
      <c r="F45" s="72"/>
    </row>
    <row r="46" spans="2:17" ht="24">
      <c r="B46" s="3" t="s">
        <v>11</v>
      </c>
      <c r="C46" s="3" t="s">
        <v>27</v>
      </c>
      <c r="D46" s="54" t="s">
        <v>28</v>
      </c>
      <c r="E46" s="54" t="s">
        <v>29</v>
      </c>
      <c r="F46" s="54" t="s">
        <v>30</v>
      </c>
      <c r="G46" s="3" t="s">
        <v>16</v>
      </c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2:17" ht="36">
      <c r="B47" s="4">
        <v>1</v>
      </c>
      <c r="C47" s="45" t="s">
        <v>31</v>
      </c>
      <c r="D47" s="46"/>
      <c r="E47" s="46" t="s">
        <v>32</v>
      </c>
      <c r="F47" s="46"/>
      <c r="G47" s="55"/>
      <c r="I47">
        <f>176*120</f>
        <v>21120</v>
      </c>
      <c r="Q47">
        <f>COUNTA(D47)*5 +COUNTA(E47)*4+COUNTA(F47)*1</f>
        <v>4</v>
      </c>
    </row>
    <row r="48" spans="2:17" ht="24">
      <c r="B48" s="4">
        <v>2</v>
      </c>
      <c r="C48" s="45" t="s">
        <v>33</v>
      </c>
      <c r="D48" s="46"/>
      <c r="E48" s="47" t="s">
        <v>32</v>
      </c>
      <c r="F48" s="46"/>
      <c r="G48" s="55"/>
      <c r="I48">
        <f>1.8%*I47</f>
        <v>380.16</v>
      </c>
      <c r="Q48">
        <f>COUNTA(D48)*5 +COUNTA(E48)*4+COUNTA(F48)*1</f>
        <v>4</v>
      </c>
    </row>
    <row r="49" spans="2:17" ht="12.75">
      <c r="B49" s="4">
        <v>3</v>
      </c>
      <c r="C49" s="45" t="s">
        <v>34</v>
      </c>
      <c r="D49" s="46"/>
      <c r="E49" s="46" t="s">
        <v>32</v>
      </c>
      <c r="F49" s="46"/>
      <c r="G49" s="55"/>
      <c r="I49">
        <f>I47-I48</f>
        <v>20739.84</v>
      </c>
      <c r="Q49">
        <f>COUNTA(D49)*5 +COUNTA(E49)*4+COUNTA(F49)*1</f>
        <v>4</v>
      </c>
    </row>
    <row r="50" spans="2:17" ht="24">
      <c r="B50" s="4">
        <v>4</v>
      </c>
      <c r="C50" s="45" t="s">
        <v>35</v>
      </c>
      <c r="D50" s="46"/>
      <c r="E50" s="46" t="s">
        <v>32</v>
      </c>
      <c r="F50" s="46"/>
      <c r="G50" s="55"/>
      <c r="H50" s="5"/>
      <c r="Q50">
        <f>COUNTA(D50)*5 +COUNTA(E50)*4+COUNTA(F50)*1</f>
        <v>4</v>
      </c>
    </row>
    <row r="51" spans="2:17" ht="24">
      <c r="B51" s="4">
        <v>5</v>
      </c>
      <c r="C51" s="45" t="s">
        <v>36</v>
      </c>
      <c r="D51" s="46"/>
      <c r="E51" s="46" t="s">
        <v>32</v>
      </c>
      <c r="F51" s="46"/>
      <c r="G51" s="55"/>
      <c r="H51" s="5"/>
      <c r="Q51">
        <f>COUNTA(D51)*5 +COUNTA(E51)*4+COUNTA(F51)*1</f>
        <v>4</v>
      </c>
    </row>
    <row r="52" spans="2:17" ht="24">
      <c r="B52" s="4">
        <v>6</v>
      </c>
      <c r="C52" s="45" t="s">
        <v>37</v>
      </c>
      <c r="D52" s="46"/>
      <c r="E52" s="46" t="s">
        <v>32</v>
      </c>
      <c r="F52" s="46"/>
      <c r="G52" s="55"/>
      <c r="H52" s="5"/>
      <c r="Q52">
        <f>COUNTA(D52)*5 +COUNTA(E52)*4+COUNTA(F52)*1</f>
        <v>4</v>
      </c>
    </row>
    <row r="53" spans="2:17" ht="12.75">
      <c r="B53" s="4">
        <v>7</v>
      </c>
      <c r="C53" s="45" t="s">
        <v>38</v>
      </c>
      <c r="D53" s="48" t="s">
        <v>32</v>
      </c>
      <c r="E53" s="48"/>
      <c r="F53" s="49"/>
      <c r="G53" s="49"/>
      <c r="H53" s="5"/>
      <c r="Q53">
        <f>COUNTA(D53)*5 +COUNTA(E53)*4+COUNTA(F53)*1</f>
        <v>5</v>
      </c>
    </row>
    <row r="54" spans="2:17" ht="12.75">
      <c r="B54" s="1"/>
      <c r="Q54">
        <f>AVERAGE(Q47:Q53)</f>
        <v>4.1428571428571432</v>
      </c>
    </row>
    <row r="55" spans="2:17" ht="12.75">
      <c r="B55" s="70" t="s">
        <v>12</v>
      </c>
      <c r="C55" s="71"/>
      <c r="D55" s="62" t="s">
        <v>85</v>
      </c>
      <c r="E55" s="72"/>
      <c r="F55" s="72"/>
    </row>
    <row r="56" spans="2:17" ht="24">
      <c r="B56" s="3" t="s">
        <v>11</v>
      </c>
      <c r="C56" s="3" t="s">
        <v>27</v>
      </c>
      <c r="D56" s="54" t="s">
        <v>28</v>
      </c>
      <c r="E56" s="54" t="s">
        <v>29</v>
      </c>
      <c r="F56" s="54" t="s">
        <v>30</v>
      </c>
      <c r="G56" s="3" t="s">
        <v>16</v>
      </c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2:17" ht="36">
      <c r="B57" s="4">
        <v>1</v>
      </c>
      <c r="C57" s="45" t="s">
        <v>31</v>
      </c>
      <c r="D57" s="46"/>
      <c r="E57" s="46" t="s">
        <v>32</v>
      </c>
      <c r="F57" s="46"/>
      <c r="G57" s="55"/>
      <c r="Q57">
        <f>COUNTA(D57)*5 +COUNTA(E57)*4+COUNTA(F57)*1</f>
        <v>4</v>
      </c>
    </row>
    <row r="58" spans="2:17" ht="24">
      <c r="B58" s="4">
        <v>2</v>
      </c>
      <c r="C58" s="45" t="s">
        <v>33</v>
      </c>
      <c r="D58" s="46"/>
      <c r="E58" s="47" t="s">
        <v>32</v>
      </c>
      <c r="F58" s="46"/>
      <c r="G58" s="55"/>
      <c r="Q58">
        <f>COUNTA(D58)*5 +COUNTA(E58)*4+COUNTA(F58)*1</f>
        <v>4</v>
      </c>
    </row>
    <row r="59" spans="2:17" ht="12.75">
      <c r="B59" s="4">
        <v>3</v>
      </c>
      <c r="C59" s="45" t="s">
        <v>34</v>
      </c>
      <c r="D59" s="46"/>
      <c r="E59" s="46" t="s">
        <v>32</v>
      </c>
      <c r="F59" s="46"/>
      <c r="G59" s="55"/>
      <c r="Q59">
        <f>COUNTA(D59)*5 +COUNTA(E59)*4+COUNTA(F59)*1</f>
        <v>4</v>
      </c>
    </row>
    <row r="60" spans="2:17" ht="24">
      <c r="B60" s="4">
        <v>4</v>
      </c>
      <c r="C60" s="45" t="s">
        <v>35</v>
      </c>
      <c r="D60" s="46"/>
      <c r="E60" s="46" t="s">
        <v>32</v>
      </c>
      <c r="F60" s="46"/>
      <c r="G60" s="55"/>
      <c r="H60" s="5"/>
      <c r="Q60">
        <f>COUNTA(D60)*5 +COUNTA(E60)*4+COUNTA(F60)*1</f>
        <v>4</v>
      </c>
    </row>
    <row r="61" spans="2:17" ht="24">
      <c r="B61" s="4">
        <v>5</v>
      </c>
      <c r="C61" s="45" t="s">
        <v>36</v>
      </c>
      <c r="D61" s="46"/>
      <c r="E61" s="46" t="s">
        <v>32</v>
      </c>
      <c r="F61" s="46"/>
      <c r="G61" s="55"/>
      <c r="H61" s="5"/>
      <c r="Q61">
        <f>COUNTA(D61)*5 +COUNTA(E61)*4+COUNTA(F61)*1</f>
        <v>4</v>
      </c>
    </row>
    <row r="62" spans="2:17" ht="24">
      <c r="B62" s="4">
        <v>6</v>
      </c>
      <c r="C62" s="45" t="s">
        <v>37</v>
      </c>
      <c r="D62" s="46"/>
      <c r="E62" s="46" t="s">
        <v>32</v>
      </c>
      <c r="F62" s="46"/>
      <c r="G62" s="55"/>
      <c r="H62" s="5"/>
      <c r="Q62">
        <f>COUNTA(D62)*5 +COUNTA(E62)*4+COUNTA(F62)*1</f>
        <v>4</v>
      </c>
    </row>
    <row r="63" spans="2:17" ht="12.75">
      <c r="B63" s="4">
        <v>7</v>
      </c>
      <c r="C63" s="45" t="s">
        <v>38</v>
      </c>
      <c r="D63" s="48" t="s">
        <v>32</v>
      </c>
      <c r="E63" s="48"/>
      <c r="F63" s="49"/>
      <c r="G63" s="49"/>
      <c r="H63" s="5"/>
      <c r="Q63">
        <f>COUNTA(D63)*5 +COUNTA(E63)*4+COUNTA(F63)*1</f>
        <v>5</v>
      </c>
    </row>
    <row r="64" spans="2:17" ht="12.75">
      <c r="B64" s="1"/>
      <c r="Q64">
        <f>AVERAGE(Q57:Q63)</f>
        <v>4.1428571428571432</v>
      </c>
    </row>
    <row r="65" spans="2:17" ht="12.75">
      <c r="B65" s="70" t="s">
        <v>12</v>
      </c>
      <c r="C65" s="71"/>
      <c r="D65" s="62" t="s">
        <v>86</v>
      </c>
      <c r="E65" s="72"/>
      <c r="F65" s="72"/>
    </row>
    <row r="66" spans="2:17" ht="24">
      <c r="B66" s="3" t="s">
        <v>11</v>
      </c>
      <c r="C66" s="3" t="s">
        <v>27</v>
      </c>
      <c r="D66" s="54" t="s">
        <v>28</v>
      </c>
      <c r="E66" s="54" t="s">
        <v>29</v>
      </c>
      <c r="F66" s="54" t="s">
        <v>30</v>
      </c>
      <c r="G66" s="3" t="s">
        <v>16</v>
      </c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2:17" ht="36">
      <c r="B67" s="4">
        <v>1</v>
      </c>
      <c r="C67" s="45" t="s">
        <v>31</v>
      </c>
      <c r="D67" s="46"/>
      <c r="E67" s="46" t="s">
        <v>32</v>
      </c>
      <c r="F67" s="46"/>
      <c r="G67" s="55"/>
      <c r="Q67">
        <f>COUNTA(D67)*5 +COUNTA(E67)*4+COUNTA(F67)*1</f>
        <v>4</v>
      </c>
    </row>
    <row r="68" spans="2:17" ht="24">
      <c r="B68" s="4">
        <v>2</v>
      </c>
      <c r="C68" s="45" t="s">
        <v>33</v>
      </c>
      <c r="D68" s="46"/>
      <c r="E68" s="47" t="s">
        <v>32</v>
      </c>
      <c r="F68" s="46"/>
      <c r="G68" s="55"/>
      <c r="Q68">
        <f>COUNTA(D68)*5 +COUNTA(E68)*4+COUNTA(F68)*1</f>
        <v>4</v>
      </c>
    </row>
    <row r="69" spans="2:17" ht="12.75">
      <c r="B69" s="4">
        <v>3</v>
      </c>
      <c r="C69" s="45" t="s">
        <v>34</v>
      </c>
      <c r="D69" s="46"/>
      <c r="E69" s="46" t="s">
        <v>32</v>
      </c>
      <c r="F69" s="46"/>
      <c r="G69" s="55"/>
      <c r="Q69">
        <f>COUNTA(D69)*5 +COUNTA(E69)*4+COUNTA(F69)*1</f>
        <v>4</v>
      </c>
    </row>
    <row r="70" spans="2:17" ht="24">
      <c r="B70" s="4">
        <v>4</v>
      </c>
      <c r="C70" s="45" t="s">
        <v>35</v>
      </c>
      <c r="D70" s="46"/>
      <c r="E70" s="46" t="s">
        <v>32</v>
      </c>
      <c r="F70" s="46"/>
      <c r="G70" s="55"/>
      <c r="H70" s="5"/>
      <c r="Q70">
        <f>COUNTA(D70)*5 +COUNTA(E70)*4+COUNTA(F70)*1</f>
        <v>4</v>
      </c>
    </row>
    <row r="71" spans="2:17" ht="24">
      <c r="B71" s="4">
        <v>5</v>
      </c>
      <c r="C71" s="45" t="s">
        <v>36</v>
      </c>
      <c r="D71" s="46"/>
      <c r="E71" s="46" t="s">
        <v>32</v>
      </c>
      <c r="F71" s="46"/>
      <c r="G71" s="55"/>
      <c r="H71" s="5"/>
      <c r="Q71">
        <f>COUNTA(D71)*5 +COUNTA(E71)*4+COUNTA(F71)*1</f>
        <v>4</v>
      </c>
    </row>
    <row r="72" spans="2:17" ht="24">
      <c r="B72" s="4">
        <v>6</v>
      </c>
      <c r="C72" s="45" t="s">
        <v>37</v>
      </c>
      <c r="D72" s="46"/>
      <c r="E72" s="46" t="s">
        <v>32</v>
      </c>
      <c r="F72" s="46"/>
      <c r="G72" s="55"/>
      <c r="H72" s="5"/>
      <c r="Q72">
        <f>COUNTA(D72)*5 +COUNTA(E72)*4+COUNTA(F72)*1</f>
        <v>4</v>
      </c>
    </row>
    <row r="73" spans="2:17" ht="12.75">
      <c r="B73" s="4">
        <v>7</v>
      </c>
      <c r="C73" s="45" t="s">
        <v>38</v>
      </c>
      <c r="D73" s="48" t="s">
        <v>32</v>
      </c>
      <c r="E73" s="48"/>
      <c r="F73" s="49"/>
      <c r="G73" s="49"/>
      <c r="H73" s="5"/>
      <c r="Q73">
        <f>COUNTA(D73)*5 +COUNTA(E73)*4+COUNTA(F73)*1</f>
        <v>5</v>
      </c>
    </row>
    <row r="74" spans="2:17" ht="12.75">
      <c r="B74" s="1"/>
      <c r="Q74">
        <f>AVERAGE(Q67:Q73)</f>
        <v>4.1428571428571432</v>
      </c>
    </row>
    <row r="75" spans="2:17" ht="12.75">
      <c r="B75" s="70" t="s">
        <v>12</v>
      </c>
      <c r="C75" s="71"/>
      <c r="D75" s="62" t="s">
        <v>62</v>
      </c>
      <c r="E75" s="72"/>
      <c r="F75" s="72"/>
    </row>
    <row r="76" spans="2:17" ht="24">
      <c r="B76" s="3" t="s">
        <v>11</v>
      </c>
      <c r="C76" s="3" t="s">
        <v>27</v>
      </c>
      <c r="D76" s="54" t="s">
        <v>28</v>
      </c>
      <c r="E76" s="54" t="s">
        <v>29</v>
      </c>
      <c r="F76" s="54" t="s">
        <v>30</v>
      </c>
      <c r="G76" s="3" t="s">
        <v>16</v>
      </c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2:17" ht="36">
      <c r="B77" s="4">
        <v>1</v>
      </c>
      <c r="C77" s="45" t="s">
        <v>31</v>
      </c>
      <c r="D77" s="46"/>
      <c r="E77" s="46" t="s">
        <v>32</v>
      </c>
      <c r="F77" s="46"/>
      <c r="G77" s="55"/>
      <c r="Q77">
        <f>COUNTA(D77)*5 +COUNTA(E77)*4+COUNTA(F77)*1</f>
        <v>4</v>
      </c>
    </row>
    <row r="78" spans="2:17" ht="24">
      <c r="B78" s="4">
        <v>2</v>
      </c>
      <c r="C78" s="45" t="s">
        <v>33</v>
      </c>
      <c r="D78" s="46"/>
      <c r="E78" s="47" t="s">
        <v>32</v>
      </c>
      <c r="F78" s="46"/>
      <c r="G78" s="55"/>
      <c r="Q78">
        <f>COUNTA(D78)*5 +COUNTA(E78)*4+COUNTA(F78)*1</f>
        <v>4</v>
      </c>
    </row>
    <row r="79" spans="2:17" ht="12.75">
      <c r="B79" s="4">
        <v>3</v>
      </c>
      <c r="C79" s="45" t="s">
        <v>34</v>
      </c>
      <c r="D79" s="46"/>
      <c r="E79" s="46" t="s">
        <v>32</v>
      </c>
      <c r="F79" s="46"/>
      <c r="G79" s="55"/>
      <c r="Q79">
        <f>COUNTA(D79)*5 +COUNTA(E79)*4+COUNTA(F79)*1</f>
        <v>4</v>
      </c>
    </row>
    <row r="80" spans="2:17" ht="24">
      <c r="B80" s="4">
        <v>4</v>
      </c>
      <c r="C80" s="45" t="s">
        <v>35</v>
      </c>
      <c r="D80" s="46"/>
      <c r="E80" s="46" t="s">
        <v>32</v>
      </c>
      <c r="F80" s="46"/>
      <c r="G80" s="55"/>
      <c r="H80" s="5"/>
      <c r="Q80">
        <f>COUNTA(D80)*5 +COUNTA(E80)*4+COUNTA(F80)*1</f>
        <v>4</v>
      </c>
    </row>
    <row r="81" spans="2:17" ht="24">
      <c r="B81" s="4">
        <v>5</v>
      </c>
      <c r="C81" s="45" t="s">
        <v>36</v>
      </c>
      <c r="D81" s="46"/>
      <c r="E81" s="46" t="s">
        <v>32</v>
      </c>
      <c r="F81" s="46"/>
      <c r="G81" s="55"/>
      <c r="H81" s="5"/>
      <c r="Q81">
        <f>COUNTA(D81)*5 +COUNTA(E81)*4+COUNTA(F81)*1</f>
        <v>4</v>
      </c>
    </row>
    <row r="82" spans="2:17" ht="24">
      <c r="B82" s="4">
        <v>6</v>
      </c>
      <c r="C82" s="45" t="s">
        <v>37</v>
      </c>
      <c r="D82" s="46"/>
      <c r="E82" s="46" t="s">
        <v>32</v>
      </c>
      <c r="F82" s="46"/>
      <c r="G82" s="55"/>
      <c r="H82" s="5"/>
      <c r="Q82">
        <f>COUNTA(D82)*5 +COUNTA(E82)*4+COUNTA(F82)*1</f>
        <v>4</v>
      </c>
    </row>
    <row r="83" spans="2:17" ht="12.75">
      <c r="B83" s="4">
        <v>7</v>
      </c>
      <c r="C83" s="45" t="s">
        <v>38</v>
      </c>
      <c r="D83" s="48" t="s">
        <v>32</v>
      </c>
      <c r="E83" s="48"/>
      <c r="F83" s="49"/>
      <c r="G83" s="49"/>
      <c r="H83" s="5"/>
      <c r="Q83">
        <f>COUNTA(D83)*5 +COUNTA(E83)*4+COUNTA(F83)*1</f>
        <v>5</v>
      </c>
    </row>
    <row r="84" spans="2:17" ht="12.75">
      <c r="B84" s="1"/>
      <c r="Q84">
        <f>AVERAGE(Q77:Q83)</f>
        <v>4.1428571428571432</v>
      </c>
    </row>
    <row r="85" spans="2:17" ht="12.75">
      <c r="B85" s="1"/>
    </row>
    <row r="86" spans="2:17" ht="12.75">
      <c r="B86" s="1"/>
    </row>
    <row r="87" spans="2:17" ht="12.75">
      <c r="B87" s="1"/>
    </row>
    <row r="88" spans="2:17" ht="12.75">
      <c r="B88" s="1"/>
    </row>
    <row r="89" spans="2:17" ht="12.75">
      <c r="B89" s="1"/>
    </row>
    <row r="90" spans="2:17" ht="12.75">
      <c r="B90" s="1"/>
    </row>
    <row r="91" spans="2:17" ht="12.75">
      <c r="B91" s="1"/>
    </row>
    <row r="92" spans="2:17" ht="12.75">
      <c r="B92" s="1"/>
    </row>
    <row r="93" spans="2:17" ht="12.75">
      <c r="B93" s="1"/>
    </row>
    <row r="94" spans="2:17" ht="12.75">
      <c r="B94" s="1"/>
    </row>
    <row r="95" spans="2:17" ht="12.75">
      <c r="B95" s="1"/>
    </row>
    <row r="96" spans="2:17" ht="12.75">
      <c r="B96" s="1"/>
    </row>
    <row r="97" spans="2:2" ht="12.75">
      <c r="B97" s="1"/>
    </row>
    <row r="98" spans="2:2" ht="12.75">
      <c r="B98" s="1"/>
    </row>
    <row r="99" spans="2:2" ht="12.75">
      <c r="B99" s="1"/>
    </row>
    <row r="100" spans="2:2" ht="12.75">
      <c r="B100" s="1"/>
    </row>
    <row r="101" spans="2:2" ht="12.75">
      <c r="B101" s="1"/>
    </row>
    <row r="102" spans="2:2" ht="12.75">
      <c r="B102" s="1"/>
    </row>
    <row r="103" spans="2:2" ht="12.75">
      <c r="B103" s="1"/>
    </row>
    <row r="104" spans="2:2" ht="12.75">
      <c r="B104" s="1"/>
    </row>
    <row r="105" spans="2:2" ht="12.75">
      <c r="B105" s="1"/>
    </row>
    <row r="106" spans="2:2" ht="12.75">
      <c r="B106" s="1"/>
    </row>
    <row r="107" spans="2:2" ht="12.75">
      <c r="B107" s="1"/>
    </row>
    <row r="108" spans="2:2" ht="12.75">
      <c r="B108" s="1"/>
    </row>
    <row r="109" spans="2:2" ht="12.75">
      <c r="B109" s="1"/>
    </row>
    <row r="110" spans="2:2" ht="12.75">
      <c r="B110" s="1"/>
    </row>
    <row r="111" spans="2:2" ht="12.75">
      <c r="B111" s="1"/>
    </row>
    <row r="112" spans="2:2" ht="12.75">
      <c r="B112" s="1"/>
    </row>
    <row r="113" spans="2:2" ht="12.75">
      <c r="B113" s="1"/>
    </row>
    <row r="114" spans="2:2" ht="12.75">
      <c r="B114" s="1"/>
    </row>
    <row r="115" spans="2:2" ht="12.75">
      <c r="B115" s="1"/>
    </row>
    <row r="116" spans="2:2" ht="12.75">
      <c r="B116" s="1"/>
    </row>
    <row r="117" spans="2:2" ht="12.75">
      <c r="B117" s="1"/>
    </row>
    <row r="118" spans="2:2" ht="12.75">
      <c r="B118" s="1"/>
    </row>
    <row r="119" spans="2:2" ht="12.75">
      <c r="B119" s="1"/>
    </row>
    <row r="120" spans="2:2" ht="12.75">
      <c r="B120" s="1"/>
    </row>
    <row r="121" spans="2:2" ht="12.75">
      <c r="B121" s="1"/>
    </row>
    <row r="122" spans="2:2" ht="12.75">
      <c r="B122" s="1"/>
    </row>
    <row r="123" spans="2:2" ht="12.75">
      <c r="B123" s="1"/>
    </row>
    <row r="124" spans="2:2" ht="12.75">
      <c r="B124" s="1"/>
    </row>
    <row r="125" spans="2:2" ht="12.75">
      <c r="B125" s="1"/>
    </row>
    <row r="126" spans="2:2" ht="12.75">
      <c r="B126" s="1"/>
    </row>
    <row r="127" spans="2:2" ht="12.75">
      <c r="B127" s="1"/>
    </row>
    <row r="128" spans="2:2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  <row r="939" spans="2:2" ht="12.75">
      <c r="B939" s="1"/>
    </row>
    <row r="940" spans="2:2" ht="12.75">
      <c r="B940" s="1"/>
    </row>
    <row r="941" spans="2:2" ht="12.75">
      <c r="B941" s="1"/>
    </row>
    <row r="942" spans="2:2" ht="12.75">
      <c r="B942" s="1"/>
    </row>
  </sheetData>
  <mergeCells count="16">
    <mergeCell ref="B75:C75"/>
    <mergeCell ref="D75:F75"/>
    <mergeCell ref="B65:C65"/>
    <mergeCell ref="D65:F65"/>
    <mergeCell ref="B5:C5"/>
    <mergeCell ref="D5:F5"/>
    <mergeCell ref="B15:C15"/>
    <mergeCell ref="D15:F15"/>
    <mergeCell ref="B25:C25"/>
    <mergeCell ref="D25:F25"/>
    <mergeCell ref="B55:C55"/>
    <mergeCell ref="D55:F55"/>
    <mergeCell ref="B45:C45"/>
    <mergeCell ref="D45:F45"/>
    <mergeCell ref="B35:C35"/>
    <mergeCell ref="D35:F35"/>
  </mergeCells>
  <pageMargins left="0" right="0" top="0" bottom="0" header="0" footer="0"/>
  <pageSetup paperSize="8" fitToWidth="0" fitToHeight="0" orientation="landscape"/>
  <headerFooter>
    <oddFooter>&amp;R_x000D_&amp;1#&amp;"Calibri"&amp;8&amp;K000000 Cisco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37FA-9999-4F01-B353-9871E3FE6D6D}">
  <dimension ref="H9:H16"/>
  <sheetViews>
    <sheetView workbookViewId="0">
      <selection activeCell="F5" sqref="F5"/>
    </sheetView>
  </sheetViews>
  <sheetFormatPr defaultRowHeight="12.75"/>
  <sheetData>
    <row r="9" spans="8:8">
      <c r="H9" s="61"/>
    </row>
    <row r="10" spans="8:8">
      <c r="H10" s="61"/>
    </row>
    <row r="11" spans="8:8">
      <c r="H11" s="61"/>
    </row>
    <row r="12" spans="8:8">
      <c r="H12" s="61"/>
    </row>
    <row r="13" spans="8:8">
      <c r="H13" s="61"/>
    </row>
    <row r="14" spans="8:8">
      <c r="H14" s="61"/>
    </row>
    <row r="15" spans="8:8">
      <c r="H15" s="61"/>
    </row>
    <row r="16" spans="8:8">
      <c r="H16" s="6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B94C-65B3-4442-9559-9F60D0DC222B}">
  <sheetPr>
    <outlinePr summaryBelow="0" summaryRight="0"/>
  </sheetPr>
  <dimension ref="A1:W954"/>
  <sheetViews>
    <sheetView showGridLines="0" zoomScale="90" zoomScaleNormal="90" workbookViewId="0">
      <selection activeCell="G13" sqref="G13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9.140625" customWidth="1"/>
    <col min="5" max="5" width="13.7109375" customWidth="1"/>
    <col min="6" max="6" width="14.42578125" customWidth="1"/>
    <col min="7" max="7" width="20" customWidth="1"/>
    <col min="8" max="8" width="2.28515625" customWidth="1"/>
    <col min="9" max="9" width="4" customWidth="1"/>
    <col min="10" max="10" width="20.5703125" customWidth="1"/>
    <col min="11" max="11" width="9.140625"/>
    <col min="15" max="15" width="2.5703125" customWidth="1"/>
  </cols>
  <sheetData>
    <row r="1" spans="1:23" ht="12.75">
      <c r="B1" s="1"/>
    </row>
    <row r="2" spans="1:23" s="27" customFormat="1" ht="12.75" customHeight="1">
      <c r="B2" s="28"/>
      <c r="C2" s="27" t="s">
        <v>87</v>
      </c>
      <c r="D2" s="27" t="s">
        <v>88</v>
      </c>
    </row>
    <row r="3" spans="1:23" ht="12.75">
      <c r="B3" s="1"/>
    </row>
    <row r="4" spans="1:23" ht="12.75">
      <c r="B4" s="1"/>
      <c r="J4" s="63" t="s">
        <v>53</v>
      </c>
    </row>
    <row r="5" spans="1:23" ht="12.75">
      <c r="B5" s="70" t="s">
        <v>12</v>
      </c>
      <c r="C5" s="73"/>
      <c r="D5" s="62" t="s">
        <v>89</v>
      </c>
      <c r="E5" s="72"/>
      <c r="F5" s="72"/>
      <c r="J5" s="64"/>
    </row>
    <row r="6" spans="1:23" ht="30.75" customHeight="1">
      <c r="A6" s="2"/>
      <c r="B6" s="3" t="s">
        <v>11</v>
      </c>
      <c r="C6" s="3" t="s">
        <v>27</v>
      </c>
      <c r="D6" s="3" t="s">
        <v>90</v>
      </c>
      <c r="E6" s="3" t="s">
        <v>29</v>
      </c>
      <c r="F6" s="3" t="s">
        <v>30</v>
      </c>
      <c r="G6" s="3" t="s">
        <v>16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35.25">
      <c r="B7" s="4">
        <v>1</v>
      </c>
      <c r="C7" s="45" t="s">
        <v>31</v>
      </c>
      <c r="D7" s="46" t="s">
        <v>32</v>
      </c>
      <c r="E7" s="46"/>
      <c r="F7" s="46"/>
      <c r="G7" s="46"/>
      <c r="Q7">
        <f>COUNTA(D7)*5 +COUNTA(E7)*4+COUNTA(F7)*1</f>
        <v>5</v>
      </c>
    </row>
    <row r="8" spans="1:23" ht="23.25">
      <c r="B8" s="4">
        <v>2</v>
      </c>
      <c r="C8" s="45" t="s">
        <v>33</v>
      </c>
      <c r="D8" s="46"/>
      <c r="E8" s="47" t="s">
        <v>32</v>
      </c>
      <c r="F8" s="46"/>
      <c r="G8" s="46"/>
      <c r="Q8">
        <f t="shared" ref="Q8:Q13" si="0">COUNTA(D8)*5 +COUNTA(E8)*4+COUNTA(F8)*1</f>
        <v>4</v>
      </c>
    </row>
    <row r="9" spans="1:23" ht="12.75">
      <c r="B9" s="4">
        <v>3</v>
      </c>
      <c r="C9" s="45" t="s">
        <v>34</v>
      </c>
      <c r="D9" s="46"/>
      <c r="E9" s="46" t="s">
        <v>32</v>
      </c>
      <c r="F9" s="46"/>
      <c r="G9" s="46"/>
      <c r="Q9">
        <f t="shared" si="0"/>
        <v>4</v>
      </c>
    </row>
    <row r="10" spans="1:23" ht="23.25">
      <c r="B10" s="4">
        <v>4</v>
      </c>
      <c r="C10" s="45" t="s">
        <v>35</v>
      </c>
      <c r="D10" s="46"/>
      <c r="E10" s="46" t="s">
        <v>32</v>
      </c>
      <c r="F10" s="46"/>
      <c r="G10" s="46"/>
      <c r="H10" s="5"/>
      <c r="Q10">
        <f t="shared" si="0"/>
        <v>4</v>
      </c>
    </row>
    <row r="11" spans="1:23" ht="23.25">
      <c r="B11" s="4">
        <v>5</v>
      </c>
      <c r="C11" s="45" t="s">
        <v>36</v>
      </c>
      <c r="D11" s="46"/>
      <c r="E11" s="46" t="s">
        <v>32</v>
      </c>
      <c r="F11" s="46"/>
      <c r="G11" s="46"/>
      <c r="H11" s="5"/>
      <c r="Q11">
        <f t="shared" si="0"/>
        <v>4</v>
      </c>
    </row>
    <row r="12" spans="1:23" ht="23.25">
      <c r="B12" s="4">
        <v>6</v>
      </c>
      <c r="C12" s="45" t="s">
        <v>91</v>
      </c>
      <c r="D12" s="46" t="s">
        <v>32</v>
      </c>
      <c r="E12" s="46"/>
      <c r="F12" s="46"/>
      <c r="G12" s="55"/>
      <c r="H12" s="5"/>
      <c r="Q12">
        <f t="shared" si="0"/>
        <v>5</v>
      </c>
    </row>
    <row r="13" spans="1:23" ht="12.75">
      <c r="B13" s="4">
        <v>7</v>
      </c>
      <c r="C13" s="45" t="s">
        <v>38</v>
      </c>
      <c r="D13" s="48"/>
      <c r="E13" s="48"/>
      <c r="F13" s="49" t="s">
        <v>32</v>
      </c>
      <c r="G13" s="56"/>
      <c r="H13" s="5"/>
      <c r="Q13">
        <f t="shared" si="0"/>
        <v>1</v>
      </c>
    </row>
    <row r="14" spans="1:23" ht="13.5" customHeight="1">
      <c r="B14" s="50"/>
      <c r="C14" s="13"/>
      <c r="D14" s="51"/>
      <c r="E14" s="52"/>
      <c r="F14" s="52"/>
      <c r="G14" s="14"/>
      <c r="H14" s="5"/>
      <c r="Q14">
        <f>AVERAGE(Q7:Q13)</f>
        <v>3.8571428571428572</v>
      </c>
    </row>
    <row r="15" spans="1:23" ht="20.25">
      <c r="B15" s="70" t="s">
        <v>12</v>
      </c>
      <c r="C15" s="73"/>
      <c r="D15" s="62" t="s">
        <v>92</v>
      </c>
      <c r="E15" s="72"/>
      <c r="F15" s="72"/>
      <c r="J15" s="57"/>
    </row>
    <row r="16" spans="1:23" ht="23.25">
      <c r="B16" s="3" t="s">
        <v>11</v>
      </c>
      <c r="C16" s="3" t="s">
        <v>27</v>
      </c>
      <c r="D16" s="3" t="s">
        <v>90</v>
      </c>
      <c r="E16" s="3" t="s">
        <v>29</v>
      </c>
      <c r="F16" s="3" t="s">
        <v>30</v>
      </c>
      <c r="G16" s="3" t="s">
        <v>16</v>
      </c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2:17" ht="35.25">
      <c r="B17" s="4">
        <v>1</v>
      </c>
      <c r="C17" s="45" t="s">
        <v>31</v>
      </c>
      <c r="D17" s="46" t="s">
        <v>32</v>
      </c>
      <c r="E17" s="46"/>
      <c r="F17" s="46"/>
      <c r="G17" s="46"/>
      <c r="Q17">
        <f>COUNTA(D17)*5 +COUNTA(E17)*4+COUNTA(F17)*1</f>
        <v>5</v>
      </c>
    </row>
    <row r="18" spans="2:17" ht="23.25">
      <c r="B18" s="4">
        <v>2</v>
      </c>
      <c r="C18" s="45" t="s">
        <v>33</v>
      </c>
      <c r="D18" s="46"/>
      <c r="E18" s="47" t="s">
        <v>32</v>
      </c>
      <c r="F18" s="46"/>
      <c r="G18" s="46"/>
      <c r="Q18">
        <f t="shared" ref="Q18:Q23" si="1">COUNTA(D18)*5 +COUNTA(E18)*4+COUNTA(F18)*1</f>
        <v>4</v>
      </c>
    </row>
    <row r="19" spans="2:17" ht="12.75">
      <c r="B19" s="4">
        <v>3</v>
      </c>
      <c r="C19" s="45" t="s">
        <v>34</v>
      </c>
      <c r="D19" s="46"/>
      <c r="E19" s="46" t="s">
        <v>32</v>
      </c>
      <c r="F19" s="46"/>
      <c r="G19" s="46"/>
      <c r="Q19">
        <f t="shared" si="1"/>
        <v>4</v>
      </c>
    </row>
    <row r="20" spans="2:17" ht="23.25">
      <c r="B20" s="4">
        <v>4</v>
      </c>
      <c r="C20" s="45" t="s">
        <v>35</v>
      </c>
      <c r="D20" s="46"/>
      <c r="E20" s="46" t="s">
        <v>32</v>
      </c>
      <c r="F20" s="46"/>
      <c r="G20" s="46"/>
      <c r="H20" s="5"/>
      <c r="Q20">
        <f t="shared" si="1"/>
        <v>4</v>
      </c>
    </row>
    <row r="21" spans="2:17" ht="23.25">
      <c r="B21" s="4">
        <v>5</v>
      </c>
      <c r="C21" s="45" t="s">
        <v>36</v>
      </c>
      <c r="D21" s="46"/>
      <c r="E21" s="46" t="s">
        <v>32</v>
      </c>
      <c r="F21" s="46"/>
      <c r="G21" s="46"/>
      <c r="H21" s="5"/>
      <c r="Q21">
        <f t="shared" si="1"/>
        <v>4</v>
      </c>
    </row>
    <row r="22" spans="2:17" ht="23.25">
      <c r="B22" s="4">
        <v>6</v>
      </c>
      <c r="C22" s="45" t="s">
        <v>91</v>
      </c>
      <c r="D22" s="46" t="s">
        <v>32</v>
      </c>
      <c r="E22" s="46"/>
      <c r="F22" s="46"/>
      <c r="G22" s="55"/>
      <c r="H22" s="5"/>
      <c r="Q22">
        <f t="shared" si="1"/>
        <v>5</v>
      </c>
    </row>
    <row r="23" spans="2:17" ht="12.75">
      <c r="B23" s="4">
        <v>7</v>
      </c>
      <c r="C23" s="45" t="s">
        <v>38</v>
      </c>
      <c r="D23" s="48"/>
      <c r="E23" s="48"/>
      <c r="F23" s="49" t="s">
        <v>32</v>
      </c>
      <c r="G23" s="56"/>
      <c r="H23" s="5"/>
      <c r="Q23">
        <f t="shared" si="1"/>
        <v>1</v>
      </c>
    </row>
    <row r="24" spans="2:17" ht="12.75">
      <c r="B24" s="50"/>
      <c r="C24" s="13"/>
      <c r="D24" s="51"/>
      <c r="E24" s="52"/>
      <c r="F24" s="52"/>
      <c r="G24" s="14"/>
      <c r="H24" s="5"/>
      <c r="Q24">
        <f>AVERAGE(Q17:Q23)</f>
        <v>3.8571428571428572</v>
      </c>
    </row>
    <row r="25" spans="2:17" ht="12.75">
      <c r="B25" s="1"/>
    </row>
    <row r="26" spans="2:17" ht="12.75">
      <c r="B26" s="1"/>
    </row>
    <row r="27" spans="2:17" ht="12.75">
      <c r="B27" s="1"/>
    </row>
    <row r="28" spans="2:17" ht="12.75">
      <c r="B28" s="1"/>
    </row>
    <row r="29" spans="2:17" ht="12.75">
      <c r="B29" s="1"/>
    </row>
    <row r="30" spans="2:17" ht="12.75">
      <c r="B30" s="1"/>
    </row>
    <row r="31" spans="2:17" ht="12.75">
      <c r="B31" s="1"/>
    </row>
    <row r="32" spans="2:17" ht="12.75">
      <c r="B32" s="1"/>
    </row>
    <row r="33" spans="2:2" ht="12.75">
      <c r="B33" s="1"/>
    </row>
    <row r="34" spans="2:2" ht="12.75">
      <c r="B34" s="1"/>
    </row>
    <row r="35" spans="2:2" ht="12.75">
      <c r="B35" s="1"/>
    </row>
    <row r="36" spans="2:2" ht="12.75">
      <c r="B36" s="1"/>
    </row>
    <row r="37" spans="2:2" ht="12.75">
      <c r="B37" s="1"/>
    </row>
    <row r="38" spans="2:2" ht="12.75">
      <c r="B38" s="1"/>
    </row>
    <row r="39" spans="2:2" ht="12.75">
      <c r="B39" s="1"/>
    </row>
    <row r="40" spans="2:2" ht="12.75">
      <c r="B40" s="1"/>
    </row>
    <row r="41" spans="2:2" ht="12.75">
      <c r="B41" s="1"/>
    </row>
    <row r="42" spans="2:2" ht="12.75">
      <c r="B42" s="1"/>
    </row>
    <row r="43" spans="2:2" ht="12.75">
      <c r="B43" s="1"/>
    </row>
    <row r="44" spans="2:2" ht="12.75">
      <c r="B44" s="1"/>
    </row>
    <row r="45" spans="2:2" ht="12.75">
      <c r="B45" s="1"/>
    </row>
    <row r="46" spans="2:2" ht="12.75">
      <c r="B46" s="1"/>
    </row>
    <row r="47" spans="2:2" ht="12.75">
      <c r="B47" s="1"/>
    </row>
    <row r="48" spans="2:2" ht="12.75">
      <c r="B48" s="1"/>
    </row>
    <row r="49" spans="2:2" ht="12.75">
      <c r="B49" s="1"/>
    </row>
    <row r="50" spans="2:2" ht="12.75">
      <c r="B50" s="1"/>
    </row>
    <row r="51" spans="2:2" ht="12.75">
      <c r="B51" s="1"/>
    </row>
    <row r="52" spans="2:2" ht="12.75">
      <c r="B52" s="1"/>
    </row>
    <row r="53" spans="2:2" ht="12.75">
      <c r="B53" s="1"/>
    </row>
    <row r="54" spans="2:2" ht="12.75">
      <c r="B54" s="1"/>
    </row>
    <row r="55" spans="2:2" ht="12.75">
      <c r="B55" s="1"/>
    </row>
    <row r="56" spans="2:2" ht="12.75">
      <c r="B56" s="1"/>
    </row>
    <row r="57" spans="2:2" ht="12.75">
      <c r="B57" s="1"/>
    </row>
    <row r="58" spans="2:2" ht="12.75">
      <c r="B58" s="1"/>
    </row>
    <row r="59" spans="2:2" ht="12.75">
      <c r="B59" s="1"/>
    </row>
    <row r="60" spans="2:2" ht="12.75">
      <c r="B60" s="1"/>
    </row>
    <row r="61" spans="2:2" ht="12.75">
      <c r="B61" s="1"/>
    </row>
    <row r="62" spans="2:2" ht="12.75">
      <c r="B62" s="1"/>
    </row>
    <row r="63" spans="2:2" ht="12.75">
      <c r="B63" s="1"/>
    </row>
    <row r="64" spans="2:2" ht="12.75">
      <c r="B64" s="1"/>
    </row>
    <row r="65" spans="2:2" ht="12.75">
      <c r="B65" s="1"/>
    </row>
    <row r="66" spans="2:2" ht="12.75">
      <c r="B66" s="1"/>
    </row>
    <row r="67" spans="2:2" ht="12.75">
      <c r="B67" s="1"/>
    </row>
    <row r="68" spans="2:2" ht="12.75">
      <c r="B68" s="1"/>
    </row>
    <row r="69" spans="2:2" ht="12.75">
      <c r="B69" s="1"/>
    </row>
    <row r="70" spans="2:2" ht="12.75">
      <c r="B70" s="1"/>
    </row>
    <row r="71" spans="2:2" ht="12.75">
      <c r="B71" s="1"/>
    </row>
    <row r="72" spans="2:2" ht="12.75">
      <c r="B72" s="1"/>
    </row>
    <row r="73" spans="2:2" ht="12.75">
      <c r="B73" s="1"/>
    </row>
    <row r="74" spans="2:2" ht="12.75">
      <c r="B74" s="1"/>
    </row>
    <row r="75" spans="2:2" ht="12.75">
      <c r="B75" s="1"/>
    </row>
    <row r="76" spans="2:2" ht="12.75">
      <c r="B76" s="1"/>
    </row>
    <row r="77" spans="2:2" ht="12.75">
      <c r="B77" s="1"/>
    </row>
    <row r="78" spans="2:2" ht="12.75">
      <c r="B78" s="1"/>
    </row>
    <row r="79" spans="2:2" ht="12.75">
      <c r="B79" s="1"/>
    </row>
    <row r="80" spans="2:2" ht="12.75">
      <c r="B80" s="1"/>
    </row>
    <row r="81" spans="2:2" ht="12.75">
      <c r="B81" s="1"/>
    </row>
    <row r="82" spans="2:2" ht="12.75">
      <c r="B82" s="1"/>
    </row>
    <row r="83" spans="2:2" ht="12.75">
      <c r="B83" s="1"/>
    </row>
    <row r="84" spans="2:2" ht="12.75">
      <c r="B84" s="1"/>
    </row>
    <row r="85" spans="2:2" ht="12.75">
      <c r="B85" s="1"/>
    </row>
    <row r="86" spans="2:2" ht="12.75">
      <c r="B86" s="1"/>
    </row>
    <row r="87" spans="2:2" ht="12.75">
      <c r="B87" s="1"/>
    </row>
    <row r="88" spans="2:2" ht="12.75">
      <c r="B88" s="1"/>
    </row>
    <row r="89" spans="2:2" ht="12.75">
      <c r="B89" s="1"/>
    </row>
    <row r="90" spans="2:2" ht="12.75">
      <c r="B90" s="1"/>
    </row>
    <row r="91" spans="2:2" ht="12.75">
      <c r="B91" s="1"/>
    </row>
    <row r="92" spans="2:2" ht="12.75">
      <c r="B92" s="1"/>
    </row>
    <row r="93" spans="2:2" ht="12.75">
      <c r="B93" s="1"/>
    </row>
    <row r="94" spans="2:2" ht="12.75">
      <c r="B94" s="1"/>
    </row>
    <row r="95" spans="2:2" ht="12.75">
      <c r="B95" s="1"/>
    </row>
    <row r="96" spans="2:2" ht="12.75">
      <c r="B96" s="1"/>
    </row>
    <row r="97" spans="2:2" ht="12.75">
      <c r="B97" s="1"/>
    </row>
    <row r="98" spans="2:2" ht="12.75">
      <c r="B98" s="1"/>
    </row>
    <row r="99" spans="2:2" ht="12.75">
      <c r="B99" s="1"/>
    </row>
    <row r="100" spans="2:2" ht="12.75">
      <c r="B100" s="1"/>
    </row>
    <row r="101" spans="2:2" ht="12.75">
      <c r="B101" s="1"/>
    </row>
    <row r="102" spans="2:2" ht="12.75">
      <c r="B102" s="1"/>
    </row>
    <row r="103" spans="2:2" ht="12.75">
      <c r="B103" s="1"/>
    </row>
    <row r="104" spans="2:2" ht="12.75">
      <c r="B104" s="1"/>
    </row>
    <row r="105" spans="2:2" ht="12.75">
      <c r="B105" s="1"/>
    </row>
    <row r="106" spans="2:2" ht="12.75">
      <c r="B106" s="1"/>
    </row>
    <row r="107" spans="2:2" ht="12.75">
      <c r="B107" s="1"/>
    </row>
    <row r="108" spans="2:2" ht="12.75">
      <c r="B108" s="1"/>
    </row>
    <row r="109" spans="2:2" ht="12.75">
      <c r="B109" s="1"/>
    </row>
    <row r="110" spans="2:2" ht="12.75">
      <c r="B110" s="1"/>
    </row>
    <row r="111" spans="2:2" ht="12.75">
      <c r="B111" s="1"/>
    </row>
    <row r="112" spans="2:2" ht="12.75">
      <c r="B112" s="1"/>
    </row>
    <row r="113" spans="2:2" ht="12.75">
      <c r="B113" s="1"/>
    </row>
    <row r="114" spans="2:2" ht="12.75">
      <c r="B114" s="1"/>
    </row>
    <row r="115" spans="2:2" ht="12.75">
      <c r="B115" s="1"/>
    </row>
    <row r="116" spans="2:2" ht="12.75">
      <c r="B116" s="1"/>
    </row>
    <row r="117" spans="2:2" ht="12.75">
      <c r="B117" s="1"/>
    </row>
    <row r="118" spans="2:2" ht="12.75">
      <c r="B118" s="1"/>
    </row>
    <row r="119" spans="2:2" ht="12.75">
      <c r="B119" s="1"/>
    </row>
    <row r="120" spans="2:2" ht="12.75">
      <c r="B120" s="1"/>
    </row>
    <row r="121" spans="2:2" ht="12.75">
      <c r="B121" s="1"/>
    </row>
    <row r="122" spans="2:2" ht="12.75">
      <c r="B122" s="1"/>
    </row>
    <row r="123" spans="2:2" ht="12.75">
      <c r="B123" s="1"/>
    </row>
    <row r="124" spans="2:2" ht="12.75">
      <c r="B124" s="1"/>
    </row>
    <row r="125" spans="2:2" ht="12.75">
      <c r="B125" s="1"/>
    </row>
    <row r="126" spans="2:2" ht="12.75">
      <c r="B126" s="1"/>
    </row>
    <row r="127" spans="2:2" ht="12.75">
      <c r="B127" s="1"/>
    </row>
    <row r="128" spans="2:2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  <row r="939" spans="2:2" ht="12.75">
      <c r="B939" s="1"/>
    </row>
    <row r="940" spans="2:2" ht="12.75">
      <c r="B940" s="1"/>
    </row>
    <row r="941" spans="2:2" ht="12.75">
      <c r="B941" s="1"/>
    </row>
    <row r="942" spans="2:2" ht="12.75">
      <c r="B942" s="1"/>
    </row>
    <row r="943" spans="2:2" ht="12.75">
      <c r="B943" s="1"/>
    </row>
    <row r="944" spans="2:2" ht="12.75">
      <c r="B944" s="1"/>
    </row>
    <row r="945" spans="2:2" ht="12.75">
      <c r="B945" s="1"/>
    </row>
    <row r="946" spans="2:2" ht="12.75">
      <c r="B946" s="1"/>
    </row>
    <row r="947" spans="2:2" ht="12.75">
      <c r="B947" s="1"/>
    </row>
    <row r="948" spans="2:2" ht="12.75">
      <c r="B948" s="1"/>
    </row>
    <row r="949" spans="2:2" ht="12.75">
      <c r="B949" s="1"/>
    </row>
    <row r="950" spans="2:2" ht="12.75">
      <c r="B950" s="1"/>
    </row>
    <row r="951" spans="2:2" ht="12.75">
      <c r="B951" s="1"/>
    </row>
    <row r="952" spans="2:2" ht="12.75">
      <c r="B952" s="1"/>
    </row>
    <row r="953" spans="2:2" ht="12.75">
      <c r="B953" s="1"/>
    </row>
    <row r="954" spans="2:2" ht="12.75">
      <c r="B954" s="1"/>
    </row>
  </sheetData>
  <mergeCells count="5">
    <mergeCell ref="J4:J5"/>
    <mergeCell ref="B5:C5"/>
    <mergeCell ref="D5:F5"/>
    <mergeCell ref="B15:C15"/>
    <mergeCell ref="D15:F15"/>
  </mergeCells>
  <pageMargins left="0" right="0" top="0" bottom="0" header="0" footer="0"/>
  <pageSetup fitToWidth="0" fitToHeight="0" orientation="landscape"/>
  <headerFooter>
    <oddFooter>&amp;R_x000D_&amp;1#&amp;"Calibri"&amp;8&amp;K000000 Cisco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A17-5FE2-4F67-8D41-04A7BB7FE2F1}">
  <sheetPr>
    <outlinePr summaryBelow="0" summaryRight="0"/>
  </sheetPr>
  <dimension ref="A1:V939"/>
  <sheetViews>
    <sheetView showGridLines="0" zoomScale="90" zoomScaleNormal="90" workbookViewId="0">
      <selection activeCell="D3" sqref="D3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0.140625" customWidth="1"/>
    <col min="6" max="6" width="8" customWidth="1"/>
    <col min="7" max="7" width="29.85546875" customWidth="1"/>
    <col min="8" max="8" width="11.85546875" customWidth="1"/>
    <col min="9" max="9" width="12.85546875" customWidth="1"/>
    <col min="10" max="10" width="4" customWidth="1"/>
    <col min="11" max="11" width="20.5703125" customWidth="1"/>
    <col min="12" max="12" width="9.140625"/>
  </cols>
  <sheetData>
    <row r="1" spans="1:22" ht="12.75">
      <c r="B1" s="1"/>
      <c r="C1" t="s">
        <v>93</v>
      </c>
      <c r="D1" t="s">
        <v>94</v>
      </c>
    </row>
    <row r="2" spans="1:22" ht="12.75">
      <c r="B2" s="1"/>
      <c r="C2" t="s">
        <v>95</v>
      </c>
      <c r="D2" t="s">
        <v>96</v>
      </c>
    </row>
    <row r="3" spans="1:22" ht="12.75">
      <c r="B3" s="1"/>
    </row>
    <row r="4" spans="1:22" ht="12.75">
      <c r="B4" s="1"/>
    </row>
    <row r="5" spans="1:22" ht="12.75">
      <c r="B5" s="70" t="s">
        <v>12</v>
      </c>
      <c r="C5" s="71"/>
      <c r="D5" s="62">
        <v>45733</v>
      </c>
      <c r="E5" s="72"/>
      <c r="F5" s="72"/>
    </row>
    <row r="6" spans="1:22" ht="35.25">
      <c r="A6" s="2"/>
      <c r="B6" s="3" t="s">
        <v>11</v>
      </c>
      <c r="C6" s="3" t="s">
        <v>27</v>
      </c>
      <c r="D6" s="54" t="s">
        <v>90</v>
      </c>
      <c r="E6" s="54" t="s">
        <v>29</v>
      </c>
      <c r="F6" s="54" t="s">
        <v>30</v>
      </c>
      <c r="G6" s="3" t="s">
        <v>16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35.25">
      <c r="B7" s="4">
        <v>1</v>
      </c>
      <c r="C7" s="45" t="s">
        <v>31</v>
      </c>
      <c r="D7" s="46"/>
      <c r="E7" s="46" t="s">
        <v>32</v>
      </c>
      <c r="F7" s="46"/>
      <c r="G7" s="46"/>
      <c r="Q7">
        <f>COUNTA(D7)*5 +COUNTA(E7)*4+COUNTA(F7)*1</f>
        <v>4</v>
      </c>
    </row>
    <row r="8" spans="1:22" ht="23.25">
      <c r="B8" s="4">
        <v>2</v>
      </c>
      <c r="C8" s="45" t="s">
        <v>33</v>
      </c>
      <c r="D8" s="46"/>
      <c r="E8" s="47" t="s">
        <v>32</v>
      </c>
      <c r="F8" s="46"/>
      <c r="G8" s="46"/>
      <c r="Q8">
        <f t="shared" ref="Q8:Q13" si="0">COUNTA(D8)*5 +COUNTA(E8)*4+COUNTA(F8)*1</f>
        <v>4</v>
      </c>
    </row>
    <row r="9" spans="1:22" ht="12.75">
      <c r="B9" s="4">
        <v>3</v>
      </c>
      <c r="C9" s="45" t="s">
        <v>34</v>
      </c>
      <c r="D9" s="46"/>
      <c r="E9" s="46" t="s">
        <v>32</v>
      </c>
      <c r="F9" s="46"/>
      <c r="G9" s="46"/>
      <c r="Q9">
        <f t="shared" si="0"/>
        <v>4</v>
      </c>
    </row>
    <row r="10" spans="1:22" ht="23.25">
      <c r="B10" s="4">
        <v>4</v>
      </c>
      <c r="C10" s="45" t="s">
        <v>35</v>
      </c>
      <c r="D10" s="46"/>
      <c r="E10" s="46" t="s">
        <v>32</v>
      </c>
      <c r="F10" s="46"/>
      <c r="G10" s="46"/>
      <c r="Q10">
        <f t="shared" si="0"/>
        <v>4</v>
      </c>
    </row>
    <row r="11" spans="1:22" ht="23.25">
      <c r="B11" s="4">
        <v>5</v>
      </c>
      <c r="C11" s="45" t="s">
        <v>36</v>
      </c>
      <c r="D11" s="46"/>
      <c r="E11" s="46" t="s">
        <v>32</v>
      </c>
      <c r="F11" s="46"/>
      <c r="G11" s="46"/>
      <c r="Q11">
        <f t="shared" si="0"/>
        <v>4</v>
      </c>
    </row>
    <row r="12" spans="1:22" ht="23.25">
      <c r="B12" s="4">
        <v>6</v>
      </c>
      <c r="C12" s="45" t="s">
        <v>37</v>
      </c>
      <c r="D12" s="46"/>
      <c r="E12" s="46" t="s">
        <v>32</v>
      </c>
      <c r="F12" s="46"/>
      <c r="G12" s="46"/>
      <c r="Q12">
        <f t="shared" si="0"/>
        <v>4</v>
      </c>
    </row>
    <row r="13" spans="1:22" ht="12.75">
      <c r="B13" s="4">
        <v>7</v>
      </c>
      <c r="C13" s="45" t="s">
        <v>38</v>
      </c>
      <c r="D13" s="48"/>
      <c r="E13" s="48" t="s">
        <v>32</v>
      </c>
      <c r="F13" s="49"/>
      <c r="G13" s="49"/>
      <c r="Q13">
        <f t="shared" si="0"/>
        <v>4</v>
      </c>
    </row>
    <row r="14" spans="1:22" ht="12.75">
      <c r="B14" s="1"/>
      <c r="Q14">
        <f>AVERAGE(Q7:Q13)</f>
        <v>4</v>
      </c>
    </row>
    <row r="15" spans="1:22" ht="12.75">
      <c r="B15" s="70" t="s">
        <v>12</v>
      </c>
      <c r="C15" s="71"/>
      <c r="D15" s="62">
        <v>45769</v>
      </c>
      <c r="E15" s="72"/>
      <c r="F15" s="72"/>
    </row>
    <row r="16" spans="1:22" ht="35.25">
      <c r="A16" s="2"/>
      <c r="B16" s="3" t="s">
        <v>11</v>
      </c>
      <c r="C16" s="3" t="s">
        <v>27</v>
      </c>
      <c r="D16" s="54" t="s">
        <v>90</v>
      </c>
      <c r="E16" s="54" t="s">
        <v>29</v>
      </c>
      <c r="F16" s="54" t="s">
        <v>30</v>
      </c>
      <c r="G16" s="3" t="s">
        <v>16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58.5">
      <c r="B17" s="4">
        <v>1</v>
      </c>
      <c r="C17" s="45" t="s">
        <v>31</v>
      </c>
      <c r="D17" s="46"/>
      <c r="E17" s="46" t="s">
        <v>32</v>
      </c>
      <c r="F17" s="46"/>
      <c r="G17" s="55" t="s">
        <v>97</v>
      </c>
      <c r="Q17">
        <f>COUNTA(D17)*5 +COUNTA(E17)*4+COUNTA(F17)*1</f>
        <v>4</v>
      </c>
    </row>
    <row r="18" spans="1:22" ht="35.25">
      <c r="B18" s="4">
        <v>2</v>
      </c>
      <c r="C18" s="45" t="s">
        <v>33</v>
      </c>
      <c r="D18" s="46"/>
      <c r="E18" s="47" t="s">
        <v>32</v>
      </c>
      <c r="F18" s="46"/>
      <c r="G18" s="55" t="s">
        <v>98</v>
      </c>
      <c r="Q18">
        <f t="shared" ref="Q18:Q23" si="1">COUNTA(D18)*5 +COUNTA(E18)*4+COUNTA(F18)*1</f>
        <v>4</v>
      </c>
    </row>
    <row r="19" spans="1:22" ht="12.75">
      <c r="B19" s="4">
        <v>3</v>
      </c>
      <c r="C19" s="45" t="s">
        <v>34</v>
      </c>
      <c r="D19" s="46"/>
      <c r="E19" s="46" t="s">
        <v>32</v>
      </c>
      <c r="F19" s="46"/>
      <c r="G19" s="46"/>
      <c r="Q19">
        <f t="shared" si="1"/>
        <v>4</v>
      </c>
    </row>
    <row r="20" spans="1:22" ht="23.25">
      <c r="B20" s="4">
        <v>4</v>
      </c>
      <c r="C20" s="45" t="s">
        <v>35</v>
      </c>
      <c r="D20" s="46"/>
      <c r="E20" s="46" t="s">
        <v>32</v>
      </c>
      <c r="F20" s="46"/>
      <c r="G20" s="46"/>
      <c r="Q20">
        <f t="shared" si="1"/>
        <v>4</v>
      </c>
    </row>
    <row r="21" spans="1:22" ht="23.25">
      <c r="B21" s="4">
        <v>5</v>
      </c>
      <c r="C21" s="45" t="s">
        <v>36</v>
      </c>
      <c r="D21" s="46"/>
      <c r="E21" s="46" t="s">
        <v>32</v>
      </c>
      <c r="F21" s="46"/>
      <c r="G21" s="46"/>
      <c r="Q21">
        <f t="shared" si="1"/>
        <v>4</v>
      </c>
    </row>
    <row r="22" spans="1:22" ht="23.25">
      <c r="B22" s="4">
        <v>6</v>
      </c>
      <c r="C22" s="45" t="s">
        <v>37</v>
      </c>
      <c r="D22" s="46"/>
      <c r="E22" s="46" t="s">
        <v>32</v>
      </c>
      <c r="F22" s="46"/>
      <c r="G22" s="46"/>
      <c r="Q22">
        <f t="shared" si="1"/>
        <v>4</v>
      </c>
    </row>
    <row r="23" spans="1:22" ht="18.75" customHeight="1">
      <c r="B23" s="4">
        <v>7</v>
      </c>
      <c r="C23" s="45" t="s">
        <v>38</v>
      </c>
      <c r="D23" s="48"/>
      <c r="E23" s="48" t="s">
        <v>32</v>
      </c>
      <c r="F23" s="49"/>
      <c r="G23" s="49"/>
      <c r="Q23">
        <f t="shared" si="1"/>
        <v>4</v>
      </c>
    </row>
    <row r="24" spans="1:22" ht="12.75">
      <c r="B24" s="1"/>
      <c r="Q24">
        <f>AVERAGE(Q17:Q23)</f>
        <v>4</v>
      </c>
    </row>
    <row r="25" spans="1:22" ht="12.75">
      <c r="B25" s="70" t="s">
        <v>12</v>
      </c>
      <c r="C25" s="71"/>
      <c r="D25" s="62">
        <v>45804</v>
      </c>
      <c r="E25" s="72"/>
      <c r="F25" s="72"/>
    </row>
    <row r="26" spans="1:22" ht="35.25">
      <c r="A26" s="2"/>
      <c r="B26" s="3" t="s">
        <v>11</v>
      </c>
      <c r="C26" s="3" t="s">
        <v>27</v>
      </c>
      <c r="D26" s="54" t="s">
        <v>90</v>
      </c>
      <c r="E26" s="54" t="s">
        <v>29</v>
      </c>
      <c r="F26" s="54" t="s">
        <v>30</v>
      </c>
      <c r="G26" s="3" t="s">
        <v>16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35.25">
      <c r="B27" s="4">
        <v>1</v>
      </c>
      <c r="C27" s="45" t="s">
        <v>31</v>
      </c>
      <c r="D27" s="46"/>
      <c r="E27" s="46" t="s">
        <v>32</v>
      </c>
      <c r="F27" s="46"/>
      <c r="G27" s="55"/>
      <c r="Q27">
        <f>COUNTA(D27)*5 +COUNTA(E27)*4+COUNTA(F27)*1</f>
        <v>4</v>
      </c>
    </row>
    <row r="28" spans="1:22" ht="23.25">
      <c r="B28" s="4">
        <v>2</v>
      </c>
      <c r="C28" s="45" t="s">
        <v>33</v>
      </c>
      <c r="D28" s="46"/>
      <c r="E28" s="47" t="s">
        <v>32</v>
      </c>
      <c r="F28" s="46"/>
      <c r="G28" s="55"/>
      <c r="Q28">
        <f t="shared" ref="Q28:Q33" si="2">COUNTA(D28)*5 +COUNTA(E28)*4+COUNTA(F28)*1</f>
        <v>4</v>
      </c>
    </row>
    <row r="29" spans="1:22" ht="12.75">
      <c r="B29" s="4">
        <v>3</v>
      </c>
      <c r="C29" s="45" t="s">
        <v>34</v>
      </c>
      <c r="D29" s="46"/>
      <c r="E29" s="46" t="s">
        <v>32</v>
      </c>
      <c r="F29" s="46"/>
      <c r="G29" s="46"/>
      <c r="Q29">
        <f t="shared" si="2"/>
        <v>4</v>
      </c>
    </row>
    <row r="30" spans="1:22" ht="23.25">
      <c r="B30" s="4">
        <v>4</v>
      </c>
      <c r="C30" s="45" t="s">
        <v>35</v>
      </c>
      <c r="D30" s="46"/>
      <c r="E30" s="46" t="s">
        <v>32</v>
      </c>
      <c r="F30" s="46"/>
      <c r="G30" s="46"/>
      <c r="Q30">
        <f t="shared" si="2"/>
        <v>4</v>
      </c>
    </row>
    <row r="31" spans="1:22" ht="23.25">
      <c r="B31" s="4">
        <v>5</v>
      </c>
      <c r="C31" s="45" t="s">
        <v>36</v>
      </c>
      <c r="D31" s="46"/>
      <c r="E31" s="46" t="s">
        <v>32</v>
      </c>
      <c r="F31" s="46"/>
      <c r="G31" s="46"/>
      <c r="Q31">
        <f t="shared" si="2"/>
        <v>4</v>
      </c>
    </row>
    <row r="32" spans="1:22" ht="23.25">
      <c r="B32" s="4">
        <v>6</v>
      </c>
      <c r="C32" s="45" t="s">
        <v>37</v>
      </c>
      <c r="D32" s="46"/>
      <c r="E32" s="46" t="s">
        <v>32</v>
      </c>
      <c r="F32" s="46"/>
      <c r="G32" s="46"/>
      <c r="Q32">
        <f t="shared" si="2"/>
        <v>4</v>
      </c>
    </row>
    <row r="33" spans="2:17" ht="12.75">
      <c r="B33" s="4">
        <v>7</v>
      </c>
      <c r="C33" s="45" t="s">
        <v>38</v>
      </c>
      <c r="D33" s="48"/>
      <c r="E33" s="48" t="s">
        <v>32</v>
      </c>
      <c r="F33" s="49"/>
      <c r="G33" s="49"/>
      <c r="Q33">
        <f t="shared" si="2"/>
        <v>4</v>
      </c>
    </row>
    <row r="34" spans="2:17" ht="12.75">
      <c r="B34" s="1"/>
      <c r="Q34">
        <f>AVERAGE(Q27:Q33)</f>
        <v>4</v>
      </c>
    </row>
    <row r="35" spans="2:17" ht="12.75">
      <c r="B35" s="70" t="s">
        <v>12</v>
      </c>
      <c r="C35" s="71"/>
      <c r="D35" s="62" t="s">
        <v>99</v>
      </c>
      <c r="E35" s="72"/>
      <c r="F35" s="72"/>
    </row>
    <row r="36" spans="2:17" ht="35.25">
      <c r="B36" s="3" t="s">
        <v>11</v>
      </c>
      <c r="C36" s="3" t="s">
        <v>27</v>
      </c>
      <c r="D36" s="54" t="s">
        <v>90</v>
      </c>
      <c r="E36" s="54" t="s">
        <v>29</v>
      </c>
      <c r="F36" s="54" t="s">
        <v>30</v>
      </c>
      <c r="G36" s="3" t="s">
        <v>16</v>
      </c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35.25">
      <c r="B37" s="4">
        <v>1</v>
      </c>
      <c r="C37" s="45" t="s">
        <v>31</v>
      </c>
      <c r="D37" s="46"/>
      <c r="E37" s="46" t="s">
        <v>32</v>
      </c>
      <c r="F37" s="46"/>
      <c r="G37" s="55"/>
      <c r="Q37">
        <f>COUNTA(D37)*5 +COUNTA(E37)*4+COUNTA(F37)*1</f>
        <v>4</v>
      </c>
    </row>
    <row r="38" spans="2:17" ht="23.25">
      <c r="B38" s="4">
        <v>2</v>
      </c>
      <c r="C38" s="45" t="s">
        <v>33</v>
      </c>
      <c r="D38" s="46"/>
      <c r="E38" s="47" t="s">
        <v>32</v>
      </c>
      <c r="F38" s="46"/>
      <c r="G38" s="55"/>
      <c r="Q38">
        <f t="shared" ref="Q38:Q43" si="3">COUNTA(D38)*5 +COUNTA(E38)*4+COUNTA(F38)*1</f>
        <v>4</v>
      </c>
    </row>
    <row r="39" spans="2:17" ht="12.75">
      <c r="B39" s="4">
        <v>3</v>
      </c>
      <c r="C39" s="45" t="s">
        <v>34</v>
      </c>
      <c r="D39" s="46"/>
      <c r="E39" s="46" t="s">
        <v>32</v>
      </c>
      <c r="F39" s="46"/>
      <c r="G39" s="46"/>
      <c r="Q39">
        <f t="shared" si="3"/>
        <v>4</v>
      </c>
    </row>
    <row r="40" spans="2:17" ht="23.25">
      <c r="B40" s="4">
        <v>4</v>
      </c>
      <c r="C40" s="45" t="s">
        <v>35</v>
      </c>
      <c r="D40" s="46"/>
      <c r="E40" s="46" t="s">
        <v>32</v>
      </c>
      <c r="F40" s="46"/>
      <c r="G40" s="46"/>
      <c r="Q40">
        <f t="shared" si="3"/>
        <v>4</v>
      </c>
    </row>
    <row r="41" spans="2:17" ht="23.25">
      <c r="B41" s="4">
        <v>5</v>
      </c>
      <c r="C41" s="45" t="s">
        <v>36</v>
      </c>
      <c r="D41" s="46"/>
      <c r="E41" s="46" t="s">
        <v>32</v>
      </c>
      <c r="F41" s="46"/>
      <c r="G41" s="46"/>
      <c r="Q41">
        <f t="shared" si="3"/>
        <v>4</v>
      </c>
    </row>
    <row r="42" spans="2:17" ht="23.25">
      <c r="B42" s="4">
        <v>6</v>
      </c>
      <c r="C42" s="45" t="s">
        <v>37</v>
      </c>
      <c r="D42" s="46"/>
      <c r="E42" s="46" t="s">
        <v>32</v>
      </c>
      <c r="F42" s="46"/>
      <c r="G42" s="46"/>
      <c r="Q42">
        <f t="shared" si="3"/>
        <v>4</v>
      </c>
    </row>
    <row r="43" spans="2:17" ht="12.75">
      <c r="B43" s="4">
        <v>7</v>
      </c>
      <c r="C43" s="45" t="s">
        <v>38</v>
      </c>
      <c r="D43" s="48"/>
      <c r="E43" s="48" t="s">
        <v>32</v>
      </c>
      <c r="F43" s="49"/>
      <c r="G43" s="49"/>
      <c r="Q43">
        <f t="shared" si="3"/>
        <v>4</v>
      </c>
    </row>
    <row r="44" spans="2:17" ht="12.75">
      <c r="B44" s="1"/>
      <c r="Q44">
        <f>AVERAGE(Q37:Q43)</f>
        <v>4</v>
      </c>
    </row>
    <row r="45" spans="2:17" ht="12.75">
      <c r="B45" s="70" t="s">
        <v>12</v>
      </c>
      <c r="C45" s="71"/>
      <c r="D45" s="62" t="s">
        <v>100</v>
      </c>
      <c r="E45" s="72"/>
      <c r="F45" s="72"/>
    </row>
    <row r="46" spans="2:17" ht="35.25">
      <c r="B46" s="3" t="s">
        <v>11</v>
      </c>
      <c r="C46" s="3" t="s">
        <v>27</v>
      </c>
      <c r="D46" s="54" t="s">
        <v>90</v>
      </c>
      <c r="E46" s="54" t="s">
        <v>29</v>
      </c>
      <c r="F46" s="54" t="s">
        <v>30</v>
      </c>
      <c r="G46" s="3" t="s">
        <v>16</v>
      </c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2:17" ht="36">
      <c r="B47" s="4">
        <v>1</v>
      </c>
      <c r="C47" s="45" t="s">
        <v>31</v>
      </c>
      <c r="D47" s="46"/>
      <c r="E47" s="46" t="s">
        <v>32</v>
      </c>
      <c r="F47" s="46"/>
      <c r="G47" s="55"/>
      <c r="Q47">
        <f>COUNTA(D47)*5 +COUNTA(E47)*4+COUNTA(F47)*1</f>
        <v>4</v>
      </c>
    </row>
    <row r="48" spans="2:17" ht="24">
      <c r="B48" s="4">
        <v>2</v>
      </c>
      <c r="C48" s="45" t="s">
        <v>33</v>
      </c>
      <c r="D48" s="46"/>
      <c r="E48" s="47" t="s">
        <v>32</v>
      </c>
      <c r="F48" s="46"/>
      <c r="G48" s="55"/>
      <c r="Q48">
        <f t="shared" ref="Q48:Q53" si="4">COUNTA(D48)*5 +COUNTA(E48)*4+COUNTA(F48)*1</f>
        <v>4</v>
      </c>
    </row>
    <row r="49" spans="2:17" ht="12.75">
      <c r="B49" s="4">
        <v>3</v>
      </c>
      <c r="C49" s="45" t="s">
        <v>34</v>
      </c>
      <c r="D49" s="46"/>
      <c r="E49" s="46" t="s">
        <v>32</v>
      </c>
      <c r="F49" s="46"/>
      <c r="G49" s="46"/>
      <c r="Q49">
        <f t="shared" si="4"/>
        <v>4</v>
      </c>
    </row>
    <row r="50" spans="2:17" ht="23.25">
      <c r="B50" s="4">
        <v>4</v>
      </c>
      <c r="C50" s="45" t="s">
        <v>35</v>
      </c>
      <c r="D50" s="46"/>
      <c r="E50" s="46" t="s">
        <v>32</v>
      </c>
      <c r="F50" s="46"/>
      <c r="G50" s="46"/>
      <c r="Q50">
        <f t="shared" si="4"/>
        <v>4</v>
      </c>
    </row>
    <row r="51" spans="2:17" ht="23.25">
      <c r="B51" s="4">
        <v>5</v>
      </c>
      <c r="C51" s="45" t="s">
        <v>36</v>
      </c>
      <c r="D51" s="46"/>
      <c r="E51" s="46" t="s">
        <v>32</v>
      </c>
      <c r="F51" s="46"/>
      <c r="G51" s="46"/>
      <c r="Q51">
        <f t="shared" si="4"/>
        <v>4</v>
      </c>
    </row>
    <row r="52" spans="2:17" ht="23.25">
      <c r="B52" s="4">
        <v>6</v>
      </c>
      <c r="C52" s="45" t="s">
        <v>37</v>
      </c>
      <c r="D52" s="46"/>
      <c r="E52" s="46" t="s">
        <v>32</v>
      </c>
      <c r="F52" s="46"/>
      <c r="G52" s="46"/>
      <c r="Q52">
        <f t="shared" si="4"/>
        <v>4</v>
      </c>
    </row>
    <row r="53" spans="2:17" ht="12.75">
      <c r="B53" s="4">
        <v>7</v>
      </c>
      <c r="C53" s="45" t="s">
        <v>38</v>
      </c>
      <c r="D53" s="48"/>
      <c r="E53" s="48" t="s">
        <v>32</v>
      </c>
      <c r="F53" s="49"/>
      <c r="G53" s="49"/>
      <c r="Q53">
        <f t="shared" si="4"/>
        <v>4</v>
      </c>
    </row>
    <row r="54" spans="2:17" ht="12.75">
      <c r="B54" s="1"/>
      <c r="Q54">
        <f>AVERAGE(Q47:Q53)</f>
        <v>4</v>
      </c>
    </row>
    <row r="55" spans="2:17" ht="12.75">
      <c r="B55" s="70" t="s">
        <v>12</v>
      </c>
      <c r="C55" s="71"/>
      <c r="D55" s="62" t="s">
        <v>73</v>
      </c>
      <c r="E55" s="72"/>
      <c r="F55" s="72"/>
    </row>
    <row r="56" spans="2:17" ht="36">
      <c r="B56" s="3" t="s">
        <v>11</v>
      </c>
      <c r="C56" s="3" t="s">
        <v>27</v>
      </c>
      <c r="D56" s="54" t="s">
        <v>90</v>
      </c>
      <c r="E56" s="54" t="s">
        <v>29</v>
      </c>
      <c r="F56" s="54" t="s">
        <v>30</v>
      </c>
      <c r="G56" s="3" t="s">
        <v>16</v>
      </c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2:17" ht="36">
      <c r="B57" s="4">
        <v>1</v>
      </c>
      <c r="C57" s="45" t="s">
        <v>31</v>
      </c>
      <c r="D57" s="46"/>
      <c r="E57" s="46" t="s">
        <v>32</v>
      </c>
      <c r="F57" s="46"/>
      <c r="G57" s="55"/>
      <c r="Q57">
        <f>COUNTA(D57)*5 +COUNTA(E57)*4+COUNTA(F57)*1</f>
        <v>4</v>
      </c>
    </row>
    <row r="58" spans="2:17" ht="24">
      <c r="B58" s="4">
        <v>2</v>
      </c>
      <c r="C58" s="45" t="s">
        <v>33</v>
      </c>
      <c r="D58" s="46"/>
      <c r="E58" s="47" t="s">
        <v>32</v>
      </c>
      <c r="F58" s="46"/>
      <c r="G58" s="55"/>
      <c r="Q58">
        <f t="shared" ref="Q58:Q63" si="5">COUNTA(D58)*5 +COUNTA(E58)*4+COUNTA(F58)*1</f>
        <v>4</v>
      </c>
    </row>
    <row r="59" spans="2:17" ht="12.75">
      <c r="B59" s="4">
        <v>3</v>
      </c>
      <c r="C59" s="45" t="s">
        <v>34</v>
      </c>
      <c r="D59" s="46"/>
      <c r="E59" s="46" t="s">
        <v>32</v>
      </c>
      <c r="F59" s="46"/>
      <c r="G59" s="46"/>
      <c r="Q59">
        <f t="shared" si="5"/>
        <v>4</v>
      </c>
    </row>
    <row r="60" spans="2:17" ht="24">
      <c r="B60" s="4">
        <v>4</v>
      </c>
      <c r="C60" s="45" t="s">
        <v>35</v>
      </c>
      <c r="D60" s="46"/>
      <c r="E60" s="46" t="s">
        <v>32</v>
      </c>
      <c r="F60" s="46"/>
      <c r="G60" s="46"/>
      <c r="Q60">
        <f t="shared" si="5"/>
        <v>4</v>
      </c>
    </row>
    <row r="61" spans="2:17" ht="24">
      <c r="B61" s="4">
        <v>5</v>
      </c>
      <c r="C61" s="45" t="s">
        <v>36</v>
      </c>
      <c r="D61" s="46"/>
      <c r="E61" s="46" t="s">
        <v>32</v>
      </c>
      <c r="F61" s="46"/>
      <c r="G61" s="46"/>
      <c r="Q61">
        <f t="shared" si="5"/>
        <v>4</v>
      </c>
    </row>
    <row r="62" spans="2:17" ht="24">
      <c r="B62" s="4">
        <v>6</v>
      </c>
      <c r="C62" s="45" t="s">
        <v>37</v>
      </c>
      <c r="D62" s="46"/>
      <c r="E62" s="46" t="s">
        <v>32</v>
      </c>
      <c r="F62" s="46"/>
      <c r="G62" s="46"/>
      <c r="Q62">
        <f t="shared" si="5"/>
        <v>4</v>
      </c>
    </row>
    <row r="63" spans="2:17" ht="12.75">
      <c r="B63" s="4">
        <v>7</v>
      </c>
      <c r="C63" s="45" t="s">
        <v>38</v>
      </c>
      <c r="D63" s="48"/>
      <c r="E63" s="48" t="s">
        <v>32</v>
      </c>
      <c r="F63" s="49"/>
      <c r="G63" s="49"/>
      <c r="Q63">
        <f t="shared" si="5"/>
        <v>4</v>
      </c>
    </row>
    <row r="64" spans="2:17" ht="12.75">
      <c r="B64" s="1"/>
      <c r="Q64">
        <f>AVERAGE(Q57:Q63)</f>
        <v>4</v>
      </c>
    </row>
    <row r="65" spans="2:17" ht="12.75">
      <c r="B65" s="70" t="s">
        <v>12</v>
      </c>
      <c r="C65" s="71"/>
      <c r="D65" s="62" t="s">
        <v>101</v>
      </c>
      <c r="E65" s="72"/>
      <c r="F65" s="72"/>
    </row>
    <row r="66" spans="2:17" ht="36">
      <c r="B66" s="3" t="s">
        <v>11</v>
      </c>
      <c r="C66" s="3" t="s">
        <v>27</v>
      </c>
      <c r="D66" s="54" t="s">
        <v>90</v>
      </c>
      <c r="E66" s="54" t="s">
        <v>29</v>
      </c>
      <c r="F66" s="54" t="s">
        <v>30</v>
      </c>
      <c r="G66" s="3" t="s">
        <v>16</v>
      </c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2:17" ht="36">
      <c r="B67" s="4">
        <v>1</v>
      </c>
      <c r="C67" s="45" t="s">
        <v>31</v>
      </c>
      <c r="D67" s="46"/>
      <c r="E67" s="46" t="s">
        <v>32</v>
      </c>
      <c r="F67" s="46"/>
      <c r="G67" s="55"/>
      <c r="Q67">
        <f>COUNTA(D67)*5 +COUNTA(E67)*4+COUNTA(F67)*1</f>
        <v>4</v>
      </c>
    </row>
    <row r="68" spans="2:17" ht="24">
      <c r="B68" s="4">
        <v>2</v>
      </c>
      <c r="C68" s="45" t="s">
        <v>33</v>
      </c>
      <c r="D68" s="46"/>
      <c r="E68" s="47" t="s">
        <v>32</v>
      </c>
      <c r="F68" s="46"/>
      <c r="G68" s="55"/>
      <c r="Q68">
        <f t="shared" ref="Q68:Q73" si="6">COUNTA(D68)*5 +COUNTA(E68)*4+COUNTA(F68)*1</f>
        <v>4</v>
      </c>
    </row>
    <row r="69" spans="2:17" ht="12.75">
      <c r="B69" s="4">
        <v>3</v>
      </c>
      <c r="C69" s="45" t="s">
        <v>34</v>
      </c>
      <c r="D69" s="46"/>
      <c r="E69" s="46" t="s">
        <v>32</v>
      </c>
      <c r="F69" s="46"/>
      <c r="G69" s="46"/>
      <c r="Q69">
        <f t="shared" si="6"/>
        <v>4</v>
      </c>
    </row>
    <row r="70" spans="2:17" ht="24">
      <c r="B70" s="4">
        <v>4</v>
      </c>
      <c r="C70" s="45" t="s">
        <v>35</v>
      </c>
      <c r="D70" s="46"/>
      <c r="E70" s="46" t="s">
        <v>32</v>
      </c>
      <c r="F70" s="46"/>
      <c r="G70" s="46"/>
      <c r="Q70">
        <f t="shared" si="6"/>
        <v>4</v>
      </c>
    </row>
    <row r="71" spans="2:17" ht="24">
      <c r="B71" s="4">
        <v>5</v>
      </c>
      <c r="C71" s="45" t="s">
        <v>36</v>
      </c>
      <c r="D71" s="46"/>
      <c r="E71" s="46" t="s">
        <v>32</v>
      </c>
      <c r="F71" s="46"/>
      <c r="G71" s="46"/>
      <c r="Q71">
        <f t="shared" si="6"/>
        <v>4</v>
      </c>
    </row>
    <row r="72" spans="2:17" ht="24">
      <c r="B72" s="4">
        <v>6</v>
      </c>
      <c r="C72" s="45" t="s">
        <v>37</v>
      </c>
      <c r="D72" s="46"/>
      <c r="E72" s="46" t="s">
        <v>32</v>
      </c>
      <c r="F72" s="46"/>
      <c r="G72" s="46"/>
      <c r="Q72">
        <f t="shared" si="6"/>
        <v>4</v>
      </c>
    </row>
    <row r="73" spans="2:17" ht="12.75">
      <c r="B73" s="4">
        <v>7</v>
      </c>
      <c r="C73" s="45" t="s">
        <v>38</v>
      </c>
      <c r="D73" s="48"/>
      <c r="E73" s="48" t="s">
        <v>32</v>
      </c>
      <c r="F73" s="49"/>
      <c r="G73" s="49"/>
      <c r="Q73">
        <f t="shared" si="6"/>
        <v>4</v>
      </c>
    </row>
    <row r="74" spans="2:17" ht="12.75">
      <c r="B74" s="1"/>
      <c r="Q74">
        <f>AVERAGE(Q67:Q73)</f>
        <v>4</v>
      </c>
    </row>
    <row r="75" spans="2:17" ht="12.75">
      <c r="B75" s="1"/>
    </row>
    <row r="76" spans="2:17" ht="12.75">
      <c r="B76" s="1"/>
    </row>
    <row r="77" spans="2:17" ht="12.75">
      <c r="B77" s="1"/>
    </row>
    <row r="78" spans="2:17" ht="12.75">
      <c r="B78" s="1"/>
    </row>
    <row r="79" spans="2:17" ht="12.75">
      <c r="B79" s="1"/>
    </row>
    <row r="80" spans="2:17" ht="12.75">
      <c r="B80" s="1"/>
    </row>
    <row r="81" spans="2:2" ht="12.75">
      <c r="B81" s="1"/>
    </row>
    <row r="82" spans="2:2" ht="12.75">
      <c r="B82" s="1"/>
    </row>
    <row r="83" spans="2:2" ht="12.75">
      <c r="B83" s="1"/>
    </row>
    <row r="84" spans="2:2" ht="12.75">
      <c r="B84" s="1"/>
    </row>
    <row r="85" spans="2:2" ht="12.75">
      <c r="B85" s="1"/>
    </row>
    <row r="86" spans="2:2" ht="12.75">
      <c r="B86" s="1"/>
    </row>
    <row r="87" spans="2:2" ht="12.75">
      <c r="B87" s="1"/>
    </row>
    <row r="88" spans="2:2" ht="12.75">
      <c r="B88" s="1"/>
    </row>
    <row r="89" spans="2:2" ht="12.75">
      <c r="B89" s="1"/>
    </row>
    <row r="90" spans="2:2" ht="12.75">
      <c r="B90" s="1"/>
    </row>
    <row r="91" spans="2:2" ht="12.75">
      <c r="B91" s="1"/>
    </row>
    <row r="92" spans="2:2" ht="12.75">
      <c r="B92" s="1"/>
    </row>
    <row r="93" spans="2:2" ht="12.75">
      <c r="B93" s="1"/>
    </row>
    <row r="94" spans="2:2" ht="12.75">
      <c r="B94" s="1"/>
    </row>
    <row r="95" spans="2:2" ht="12.75">
      <c r="B95" s="1"/>
    </row>
    <row r="96" spans="2:2" ht="12.75">
      <c r="B96" s="1"/>
    </row>
    <row r="97" spans="2:2" ht="12.75">
      <c r="B97" s="1"/>
    </row>
    <row r="98" spans="2:2" ht="12.75">
      <c r="B98" s="1"/>
    </row>
    <row r="99" spans="2:2" ht="12.75">
      <c r="B99" s="1"/>
    </row>
    <row r="100" spans="2:2" ht="12.75">
      <c r="B100" s="1"/>
    </row>
    <row r="101" spans="2:2" ht="12.75">
      <c r="B101" s="1"/>
    </row>
    <row r="102" spans="2:2" ht="12.75">
      <c r="B102" s="1"/>
    </row>
    <row r="103" spans="2:2" ht="12.75">
      <c r="B103" s="1"/>
    </row>
    <row r="104" spans="2:2" ht="12.75">
      <c r="B104" s="1"/>
    </row>
    <row r="105" spans="2:2" ht="12.75">
      <c r="B105" s="1"/>
    </row>
    <row r="106" spans="2:2" ht="12.75">
      <c r="B106" s="1"/>
    </row>
    <row r="107" spans="2:2" ht="12.75">
      <c r="B107" s="1"/>
    </row>
    <row r="108" spans="2:2" ht="12.75">
      <c r="B108" s="1"/>
    </row>
    <row r="109" spans="2:2" ht="12.75">
      <c r="B109" s="1"/>
    </row>
    <row r="110" spans="2:2" ht="12.75">
      <c r="B110" s="1"/>
    </row>
    <row r="111" spans="2:2" ht="12.75">
      <c r="B111" s="1"/>
    </row>
    <row r="112" spans="2:2" ht="12.75">
      <c r="B112" s="1"/>
    </row>
    <row r="113" spans="2:2" ht="12.75">
      <c r="B113" s="1"/>
    </row>
    <row r="114" spans="2:2" ht="12.75">
      <c r="B114" s="1"/>
    </row>
    <row r="115" spans="2:2" ht="12.75">
      <c r="B115" s="1"/>
    </row>
    <row r="116" spans="2:2" ht="12.75">
      <c r="B116" s="1"/>
    </row>
    <row r="117" spans="2:2" ht="12.75">
      <c r="B117" s="1"/>
    </row>
    <row r="118" spans="2:2" ht="12.75">
      <c r="B118" s="1"/>
    </row>
    <row r="119" spans="2:2" ht="12.75">
      <c r="B119" s="1"/>
    </row>
    <row r="120" spans="2:2" ht="12.75">
      <c r="B120" s="1"/>
    </row>
    <row r="121" spans="2:2" ht="12.75">
      <c r="B121" s="1"/>
    </row>
    <row r="122" spans="2:2" ht="12.75">
      <c r="B122" s="1"/>
    </row>
    <row r="123" spans="2:2" ht="12.75">
      <c r="B123" s="1"/>
    </row>
    <row r="124" spans="2:2" ht="12.75">
      <c r="B124" s="1"/>
    </row>
    <row r="125" spans="2:2" ht="12.75">
      <c r="B125" s="1"/>
    </row>
    <row r="126" spans="2:2" ht="12.75">
      <c r="B126" s="1"/>
    </row>
    <row r="127" spans="2:2" ht="12.75">
      <c r="B127" s="1"/>
    </row>
    <row r="128" spans="2:2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  <row r="939" spans="2:2" ht="12.75">
      <c r="B939" s="1"/>
    </row>
  </sheetData>
  <mergeCells count="14">
    <mergeCell ref="B35:C35"/>
    <mergeCell ref="D35:F35"/>
    <mergeCell ref="B5:C5"/>
    <mergeCell ref="D5:F5"/>
    <mergeCell ref="B15:C15"/>
    <mergeCell ref="D15:F15"/>
    <mergeCell ref="B25:C25"/>
    <mergeCell ref="D25:F25"/>
    <mergeCell ref="B65:C65"/>
    <mergeCell ref="D65:F65"/>
    <mergeCell ref="B55:C55"/>
    <mergeCell ref="D55:F55"/>
    <mergeCell ref="B45:C45"/>
    <mergeCell ref="D45:F45"/>
  </mergeCells>
  <pageMargins left="0" right="0" top="0" bottom="0" header="0" footer="0"/>
  <pageSetup paperSize="8" fitToWidth="0" fitToHeight="0" orientation="portrait"/>
  <headerFooter>
    <oddFooter>&amp;R_x000D_&amp;1#&amp;"Calibri"&amp;8&amp;K000000 Cisco Confidential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2C6B-E150-4360-B069-790947826E5C}">
  <sheetPr>
    <outlinePr summaryBelow="0" summaryRight="0"/>
  </sheetPr>
  <dimension ref="A1:V943"/>
  <sheetViews>
    <sheetView showGridLines="0" tabSelected="1" topLeftCell="A78" zoomScale="90" zoomScaleNormal="90" workbookViewId="0">
      <selection activeCell="D89" sqref="D89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7.42578125" customWidth="1"/>
    <col min="6" max="6" width="8" customWidth="1"/>
    <col min="7" max="7" width="9.7109375" customWidth="1"/>
    <col min="8" max="8" width="11.85546875" customWidth="1"/>
    <col min="9" max="9" width="12.85546875" customWidth="1"/>
    <col min="10" max="10" width="2.28515625" customWidth="1"/>
    <col min="11" max="11" width="4" customWidth="1"/>
    <col min="12" max="12" width="20.5703125" customWidth="1"/>
    <col min="13" max="13" width="9.140625"/>
  </cols>
  <sheetData>
    <row r="1" spans="1:22" ht="12.75">
      <c r="B1" s="1"/>
    </row>
    <row r="2" spans="1:22" s="27" customFormat="1" ht="12.75" customHeight="1">
      <c r="B2" s="28"/>
      <c r="C2" s="27" t="s">
        <v>49</v>
      </c>
      <c r="D2" s="27" t="s">
        <v>102</v>
      </c>
    </row>
    <row r="3" spans="1:22" ht="12.75">
      <c r="B3" s="1"/>
      <c r="C3" s="27" t="s">
        <v>103</v>
      </c>
      <c r="D3" t="s">
        <v>104</v>
      </c>
    </row>
    <row r="4" spans="1:22" ht="12.75" customHeight="1">
      <c r="B4" s="1"/>
      <c r="L4" s="53" t="s">
        <v>53</v>
      </c>
    </row>
    <row r="5" spans="1:22" ht="12.75">
      <c r="B5" s="70" t="s">
        <v>12</v>
      </c>
      <c r="C5" s="71"/>
      <c r="D5" s="62" t="s">
        <v>105</v>
      </c>
      <c r="E5" s="72"/>
      <c r="F5" s="72"/>
    </row>
    <row r="6" spans="1:22" ht="35.25">
      <c r="A6" s="2"/>
      <c r="B6" s="3" t="s">
        <v>11</v>
      </c>
      <c r="C6" s="3" t="s">
        <v>27</v>
      </c>
      <c r="D6" s="54" t="s">
        <v>28</v>
      </c>
      <c r="E6" s="54" t="s">
        <v>29</v>
      </c>
      <c r="F6" s="54" t="s">
        <v>30</v>
      </c>
      <c r="G6" s="3" t="s">
        <v>16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35.25">
      <c r="B7" s="4">
        <v>1</v>
      </c>
      <c r="C7" s="45" t="s">
        <v>31</v>
      </c>
      <c r="D7" s="46" t="s">
        <v>32</v>
      </c>
      <c r="E7" s="46"/>
      <c r="F7" s="46"/>
      <c r="G7" s="46"/>
      <c r="Q7">
        <f>COUNTA(D7)*5 +COUNTA(E7)*4+COUNTA(F7)*1</f>
        <v>5</v>
      </c>
    </row>
    <row r="8" spans="1:22" ht="23.25">
      <c r="B8" s="4">
        <v>2</v>
      </c>
      <c r="C8" s="45" t="s">
        <v>33</v>
      </c>
      <c r="D8" s="46" t="s">
        <v>32</v>
      </c>
      <c r="E8" s="47"/>
      <c r="F8" s="46"/>
      <c r="G8" s="46"/>
      <c r="Q8">
        <f t="shared" ref="Q8:Q13" si="0">COUNTA(D8)*5 +COUNTA(E8)*4+COUNTA(F8)*1</f>
        <v>5</v>
      </c>
    </row>
    <row r="9" spans="1:22" ht="12.75">
      <c r="B9" s="4">
        <v>3</v>
      </c>
      <c r="C9" s="45" t="s">
        <v>34</v>
      </c>
      <c r="D9" s="46" t="s">
        <v>32</v>
      </c>
      <c r="E9" s="46"/>
      <c r="F9" s="46"/>
      <c r="G9" s="46"/>
      <c r="Q9">
        <f t="shared" si="0"/>
        <v>5</v>
      </c>
    </row>
    <row r="10" spans="1:22" ht="23.25">
      <c r="B10" s="4">
        <v>4</v>
      </c>
      <c r="C10" s="45" t="s">
        <v>35</v>
      </c>
      <c r="D10" s="46" t="s">
        <v>32</v>
      </c>
      <c r="E10" s="46"/>
      <c r="F10" s="46"/>
      <c r="G10" s="46"/>
      <c r="H10" s="5"/>
      <c r="Q10">
        <f t="shared" si="0"/>
        <v>5</v>
      </c>
    </row>
    <row r="11" spans="1:22" ht="23.25">
      <c r="B11" s="4">
        <v>5</v>
      </c>
      <c r="C11" s="45" t="s">
        <v>36</v>
      </c>
      <c r="D11" s="46" t="s">
        <v>32</v>
      </c>
      <c r="E11" s="46"/>
      <c r="F11" s="46"/>
      <c r="G11" s="46"/>
      <c r="H11" s="5"/>
      <c r="Q11">
        <f t="shared" si="0"/>
        <v>5</v>
      </c>
    </row>
    <row r="12" spans="1:22" ht="23.25">
      <c r="B12" s="4">
        <v>6</v>
      </c>
      <c r="C12" s="45" t="s">
        <v>37</v>
      </c>
      <c r="D12" s="46" t="s">
        <v>32</v>
      </c>
      <c r="E12" s="46"/>
      <c r="F12" s="46"/>
      <c r="G12" s="46"/>
      <c r="H12" s="5"/>
      <c r="Q12">
        <f t="shared" si="0"/>
        <v>5</v>
      </c>
    </row>
    <row r="13" spans="1:22" ht="12.75">
      <c r="B13" s="4">
        <v>7</v>
      </c>
      <c r="C13" s="45" t="s">
        <v>38</v>
      </c>
      <c r="D13" s="48" t="s">
        <v>32</v>
      </c>
      <c r="E13" s="48"/>
      <c r="F13" s="49"/>
      <c r="G13" s="49"/>
      <c r="H13" s="5"/>
      <c r="Q13">
        <f t="shared" si="0"/>
        <v>5</v>
      </c>
    </row>
    <row r="14" spans="1:22" ht="12.75">
      <c r="B14" s="1"/>
      <c r="Q14">
        <f>AVERAGE(Q7:Q13)</f>
        <v>5</v>
      </c>
    </row>
    <row r="15" spans="1:22" ht="12.75">
      <c r="B15" s="70" t="s">
        <v>12</v>
      </c>
      <c r="C15" s="71"/>
      <c r="D15" s="62" t="s">
        <v>106</v>
      </c>
      <c r="E15" s="72"/>
      <c r="F15" s="72"/>
    </row>
    <row r="16" spans="1:22" ht="35.25">
      <c r="B16" s="3" t="s">
        <v>11</v>
      </c>
      <c r="C16" s="3" t="s">
        <v>27</v>
      </c>
      <c r="D16" s="54" t="s">
        <v>28</v>
      </c>
      <c r="E16" s="54" t="s">
        <v>29</v>
      </c>
      <c r="F16" s="54" t="s">
        <v>30</v>
      </c>
      <c r="G16" s="3" t="s">
        <v>16</v>
      </c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2:17" ht="35.25">
      <c r="B17" s="4">
        <v>1</v>
      </c>
      <c r="C17" s="45" t="s">
        <v>31</v>
      </c>
      <c r="D17" s="46" t="s">
        <v>32</v>
      </c>
      <c r="E17" s="46"/>
      <c r="F17" s="46"/>
      <c r="G17" s="46"/>
      <c r="Q17">
        <f>COUNTA(D17)*5 +COUNTA(E17)*4+COUNTA(F17)*1</f>
        <v>5</v>
      </c>
    </row>
    <row r="18" spans="2:17" ht="23.25">
      <c r="B18" s="4">
        <v>2</v>
      </c>
      <c r="C18" s="45" t="s">
        <v>33</v>
      </c>
      <c r="D18" s="46" t="s">
        <v>32</v>
      </c>
      <c r="E18" s="47"/>
      <c r="F18" s="46"/>
      <c r="G18" s="46"/>
      <c r="Q18">
        <f t="shared" ref="Q18:Q23" si="1">COUNTA(D18)*5 +COUNTA(E18)*4+COUNTA(F18)*1</f>
        <v>5</v>
      </c>
    </row>
    <row r="19" spans="2:17" ht="12.75">
      <c r="B19" s="4">
        <v>3</v>
      </c>
      <c r="C19" s="45" t="s">
        <v>34</v>
      </c>
      <c r="D19" s="46" t="s">
        <v>32</v>
      </c>
      <c r="E19" s="46"/>
      <c r="F19" s="46"/>
      <c r="G19" s="46"/>
      <c r="Q19">
        <f t="shared" si="1"/>
        <v>5</v>
      </c>
    </row>
    <row r="20" spans="2:17" ht="23.25">
      <c r="B20" s="4">
        <v>4</v>
      </c>
      <c r="C20" s="45" t="s">
        <v>35</v>
      </c>
      <c r="D20" s="46" t="s">
        <v>32</v>
      </c>
      <c r="E20" s="46"/>
      <c r="F20" s="46"/>
      <c r="G20" s="46"/>
      <c r="H20" s="5"/>
      <c r="Q20">
        <f t="shared" si="1"/>
        <v>5</v>
      </c>
    </row>
    <row r="21" spans="2:17" ht="23.25">
      <c r="B21" s="4">
        <v>5</v>
      </c>
      <c r="C21" s="45" t="s">
        <v>36</v>
      </c>
      <c r="D21" s="46" t="s">
        <v>32</v>
      </c>
      <c r="E21" s="46"/>
      <c r="F21" s="46"/>
      <c r="G21" s="46"/>
      <c r="H21" s="5"/>
      <c r="Q21">
        <f t="shared" si="1"/>
        <v>5</v>
      </c>
    </row>
    <row r="22" spans="2:17" ht="23.25">
      <c r="B22" s="4">
        <v>6</v>
      </c>
      <c r="C22" s="45" t="s">
        <v>37</v>
      </c>
      <c r="D22" s="46" t="s">
        <v>32</v>
      </c>
      <c r="E22" s="46"/>
      <c r="F22" s="46"/>
      <c r="G22" s="46"/>
      <c r="H22" s="5"/>
      <c r="Q22">
        <f t="shared" si="1"/>
        <v>5</v>
      </c>
    </row>
    <row r="23" spans="2:17" ht="12.75">
      <c r="B23" s="4">
        <v>7</v>
      </c>
      <c r="C23" s="45" t="s">
        <v>38</v>
      </c>
      <c r="D23" s="48" t="s">
        <v>32</v>
      </c>
      <c r="E23" s="48"/>
      <c r="F23" s="49"/>
      <c r="G23" s="49"/>
      <c r="H23" s="5"/>
      <c r="Q23">
        <f t="shared" si="1"/>
        <v>5</v>
      </c>
    </row>
    <row r="24" spans="2:17" ht="12.75">
      <c r="B24" s="1"/>
      <c r="Q24">
        <f>AVERAGE(Q17:Q23)</f>
        <v>5</v>
      </c>
    </row>
    <row r="25" spans="2:17" ht="12.75">
      <c r="B25" s="70" t="s">
        <v>12</v>
      </c>
      <c r="C25" s="71"/>
      <c r="D25" s="62" t="s">
        <v>83</v>
      </c>
      <c r="E25" s="72"/>
      <c r="F25" s="72"/>
    </row>
    <row r="26" spans="2:17" ht="35.25">
      <c r="B26" s="3" t="s">
        <v>11</v>
      </c>
      <c r="C26" s="3" t="s">
        <v>27</v>
      </c>
      <c r="D26" s="54" t="s">
        <v>28</v>
      </c>
      <c r="E26" s="54" t="s">
        <v>29</v>
      </c>
      <c r="F26" s="54" t="s">
        <v>30</v>
      </c>
      <c r="G26" s="3" t="s">
        <v>16</v>
      </c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2:17" ht="35.25">
      <c r="B27" s="4">
        <v>1</v>
      </c>
      <c r="C27" s="45" t="s">
        <v>31</v>
      </c>
      <c r="D27" s="46" t="s">
        <v>32</v>
      </c>
      <c r="E27" s="46"/>
      <c r="F27" s="46"/>
      <c r="G27" s="46"/>
      <c r="Q27">
        <f>COUNTA(D27)*5 +COUNTA(E27)*4+COUNTA(F27)*1</f>
        <v>5</v>
      </c>
    </row>
    <row r="28" spans="2:17" ht="23.25">
      <c r="B28" s="4">
        <v>2</v>
      </c>
      <c r="C28" s="45" t="s">
        <v>33</v>
      </c>
      <c r="D28" s="46" t="s">
        <v>32</v>
      </c>
      <c r="E28" s="47"/>
      <c r="F28" s="46"/>
      <c r="G28" s="46"/>
      <c r="Q28">
        <f t="shared" ref="Q28:Q33" si="2">COUNTA(D28)*5 +COUNTA(E28)*4+COUNTA(F28)*1</f>
        <v>5</v>
      </c>
    </row>
    <row r="29" spans="2:17" ht="12.75">
      <c r="B29" s="4">
        <v>3</v>
      </c>
      <c r="C29" s="45" t="s">
        <v>34</v>
      </c>
      <c r="D29" s="46" t="s">
        <v>32</v>
      </c>
      <c r="E29" s="46"/>
      <c r="F29" s="46"/>
      <c r="G29" s="46"/>
      <c r="Q29">
        <f t="shared" si="2"/>
        <v>5</v>
      </c>
    </row>
    <row r="30" spans="2:17" ht="23.25">
      <c r="B30" s="4">
        <v>4</v>
      </c>
      <c r="C30" s="45" t="s">
        <v>35</v>
      </c>
      <c r="D30" s="46" t="s">
        <v>32</v>
      </c>
      <c r="E30" s="46"/>
      <c r="F30" s="46"/>
      <c r="G30" s="46"/>
      <c r="H30" s="5"/>
      <c r="Q30">
        <f t="shared" si="2"/>
        <v>5</v>
      </c>
    </row>
    <row r="31" spans="2:17" ht="23.25">
      <c r="B31" s="4">
        <v>5</v>
      </c>
      <c r="C31" s="45" t="s">
        <v>36</v>
      </c>
      <c r="D31" s="46" t="s">
        <v>32</v>
      </c>
      <c r="E31" s="46"/>
      <c r="F31" s="46"/>
      <c r="G31" s="46"/>
      <c r="H31" s="5"/>
      <c r="Q31">
        <f t="shared" si="2"/>
        <v>5</v>
      </c>
    </row>
    <row r="32" spans="2:17" ht="23.25">
      <c r="B32" s="4">
        <v>6</v>
      </c>
      <c r="C32" s="45" t="s">
        <v>37</v>
      </c>
      <c r="D32" s="46" t="s">
        <v>32</v>
      </c>
      <c r="E32" s="46"/>
      <c r="F32" s="46"/>
      <c r="G32" s="46"/>
      <c r="H32" s="5"/>
      <c r="Q32">
        <f t="shared" si="2"/>
        <v>5</v>
      </c>
    </row>
    <row r="33" spans="2:17" ht="12.75">
      <c r="B33" s="4">
        <v>7</v>
      </c>
      <c r="C33" s="45" t="s">
        <v>38</v>
      </c>
      <c r="D33" s="48" t="s">
        <v>32</v>
      </c>
      <c r="E33" s="48"/>
      <c r="F33" s="49"/>
      <c r="G33" s="49"/>
      <c r="H33" s="5"/>
      <c r="Q33">
        <f t="shared" si="2"/>
        <v>5</v>
      </c>
    </row>
    <row r="34" spans="2:17" ht="12.75">
      <c r="B34" s="1"/>
      <c r="Q34">
        <f>AVERAGE(Q27:Q33)</f>
        <v>5</v>
      </c>
    </row>
    <row r="35" spans="2:17" ht="12.75">
      <c r="B35" s="70" t="s">
        <v>12</v>
      </c>
      <c r="C35" s="71"/>
      <c r="D35" s="62" t="s">
        <v>84</v>
      </c>
      <c r="E35" s="72"/>
      <c r="F35" s="72"/>
    </row>
    <row r="36" spans="2:17" ht="35.25">
      <c r="B36" s="3" t="s">
        <v>11</v>
      </c>
      <c r="C36" s="3" t="s">
        <v>27</v>
      </c>
      <c r="D36" s="54" t="s">
        <v>28</v>
      </c>
      <c r="E36" s="54" t="s">
        <v>29</v>
      </c>
      <c r="F36" s="54" t="s">
        <v>30</v>
      </c>
      <c r="G36" s="3" t="s">
        <v>16</v>
      </c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35.25">
      <c r="B37" s="4">
        <v>1</v>
      </c>
      <c r="C37" s="45" t="s">
        <v>31</v>
      </c>
      <c r="D37" s="46" t="s">
        <v>32</v>
      </c>
      <c r="E37" s="46"/>
      <c r="F37" s="46"/>
      <c r="G37" s="46"/>
      <c r="Q37">
        <f>COUNTA(D37)*5 +COUNTA(E37)*4+COUNTA(F37)*1</f>
        <v>5</v>
      </c>
    </row>
    <row r="38" spans="2:17" ht="23.25">
      <c r="B38" s="4">
        <v>2</v>
      </c>
      <c r="C38" s="45" t="s">
        <v>33</v>
      </c>
      <c r="D38" s="46" t="s">
        <v>32</v>
      </c>
      <c r="E38" s="47"/>
      <c r="F38" s="46"/>
      <c r="G38" s="46"/>
      <c r="Q38">
        <f t="shared" ref="Q38:Q43" si="3">COUNTA(D38)*5 +COUNTA(E38)*4+COUNTA(F38)*1</f>
        <v>5</v>
      </c>
    </row>
    <row r="39" spans="2:17" ht="12.75">
      <c r="B39" s="4">
        <v>3</v>
      </c>
      <c r="C39" s="45" t="s">
        <v>34</v>
      </c>
      <c r="D39" s="46" t="s">
        <v>32</v>
      </c>
      <c r="E39" s="46"/>
      <c r="F39" s="46"/>
      <c r="G39" s="46"/>
      <c r="Q39">
        <f t="shared" si="3"/>
        <v>5</v>
      </c>
    </row>
    <row r="40" spans="2:17" ht="23.25">
      <c r="B40" s="4">
        <v>4</v>
      </c>
      <c r="C40" s="45" t="s">
        <v>35</v>
      </c>
      <c r="D40" s="46" t="s">
        <v>32</v>
      </c>
      <c r="E40" s="46"/>
      <c r="F40" s="46"/>
      <c r="G40" s="46"/>
      <c r="H40" s="5"/>
      <c r="Q40">
        <f t="shared" si="3"/>
        <v>5</v>
      </c>
    </row>
    <row r="41" spans="2:17" ht="23.25">
      <c r="B41" s="4">
        <v>5</v>
      </c>
      <c r="C41" s="45" t="s">
        <v>36</v>
      </c>
      <c r="D41" s="46" t="s">
        <v>32</v>
      </c>
      <c r="E41" s="46"/>
      <c r="F41" s="46"/>
      <c r="G41" s="46"/>
      <c r="H41" s="5"/>
      <c r="Q41">
        <f t="shared" si="3"/>
        <v>5</v>
      </c>
    </row>
    <row r="42" spans="2:17" ht="23.25">
      <c r="B42" s="4">
        <v>6</v>
      </c>
      <c r="C42" s="45" t="s">
        <v>37</v>
      </c>
      <c r="D42" s="46" t="s">
        <v>32</v>
      </c>
      <c r="E42" s="46"/>
      <c r="F42" s="46"/>
      <c r="G42" s="46"/>
      <c r="H42" s="5"/>
      <c r="Q42">
        <f t="shared" si="3"/>
        <v>5</v>
      </c>
    </row>
    <row r="43" spans="2:17" ht="12.75">
      <c r="B43" s="4">
        <v>7</v>
      </c>
      <c r="C43" s="45" t="s">
        <v>38</v>
      </c>
      <c r="D43" s="48" t="s">
        <v>32</v>
      </c>
      <c r="E43" s="48"/>
      <c r="F43" s="49"/>
      <c r="G43" s="49"/>
      <c r="H43" s="5"/>
      <c r="Q43">
        <f t="shared" si="3"/>
        <v>5</v>
      </c>
    </row>
    <row r="44" spans="2:17" ht="12.75">
      <c r="B44" s="1"/>
      <c r="Q44">
        <f>AVERAGE(Q37:Q43)</f>
        <v>5</v>
      </c>
    </row>
    <row r="45" spans="2:17" ht="12.75">
      <c r="B45" s="70" t="s">
        <v>12</v>
      </c>
      <c r="C45" s="71"/>
      <c r="D45" s="62" t="s">
        <v>107</v>
      </c>
      <c r="E45" s="72"/>
      <c r="F45" s="72"/>
    </row>
    <row r="46" spans="2:17" ht="35.25">
      <c r="B46" s="3" t="s">
        <v>11</v>
      </c>
      <c r="C46" s="3" t="s">
        <v>27</v>
      </c>
      <c r="D46" s="54" t="s">
        <v>28</v>
      </c>
      <c r="E46" s="54" t="s">
        <v>29</v>
      </c>
      <c r="F46" s="54" t="s">
        <v>30</v>
      </c>
      <c r="G46" s="3" t="s">
        <v>16</v>
      </c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2:17" ht="35.25">
      <c r="B47" s="4">
        <v>1</v>
      </c>
      <c r="C47" s="45" t="s">
        <v>31</v>
      </c>
      <c r="D47" s="46" t="s">
        <v>32</v>
      </c>
      <c r="E47" s="46"/>
      <c r="F47" s="46"/>
      <c r="G47" s="46"/>
      <c r="Q47">
        <f>COUNTA(D47)*5 +COUNTA(E47)*4+COUNTA(F47)*1</f>
        <v>5</v>
      </c>
    </row>
    <row r="48" spans="2:17" ht="23.25">
      <c r="B48" s="4">
        <v>2</v>
      </c>
      <c r="C48" s="45" t="s">
        <v>33</v>
      </c>
      <c r="D48" s="46" t="s">
        <v>32</v>
      </c>
      <c r="E48" s="47"/>
      <c r="F48" s="46"/>
      <c r="G48" s="46"/>
      <c r="Q48">
        <f t="shared" ref="Q48:Q53" si="4">COUNTA(D48)*5 +COUNTA(E48)*4+COUNTA(F48)*1</f>
        <v>5</v>
      </c>
    </row>
    <row r="49" spans="2:17" ht="12.75">
      <c r="B49" s="4">
        <v>3</v>
      </c>
      <c r="C49" s="45" t="s">
        <v>34</v>
      </c>
      <c r="D49" s="46" t="s">
        <v>32</v>
      </c>
      <c r="E49" s="46"/>
      <c r="F49" s="46"/>
      <c r="G49" s="46"/>
      <c r="Q49">
        <f t="shared" si="4"/>
        <v>5</v>
      </c>
    </row>
    <row r="50" spans="2:17" ht="23.25">
      <c r="B50" s="4">
        <v>4</v>
      </c>
      <c r="C50" s="45" t="s">
        <v>35</v>
      </c>
      <c r="D50" s="46" t="s">
        <v>32</v>
      </c>
      <c r="E50" s="46"/>
      <c r="F50" s="46"/>
      <c r="G50" s="46"/>
      <c r="H50" s="5"/>
      <c r="Q50">
        <f t="shared" si="4"/>
        <v>5</v>
      </c>
    </row>
    <row r="51" spans="2:17" ht="23.25">
      <c r="B51" s="4">
        <v>5</v>
      </c>
      <c r="C51" s="45" t="s">
        <v>36</v>
      </c>
      <c r="D51" s="46" t="s">
        <v>32</v>
      </c>
      <c r="E51" s="46"/>
      <c r="F51" s="46"/>
      <c r="G51" s="46"/>
      <c r="H51" s="5"/>
      <c r="Q51">
        <f t="shared" si="4"/>
        <v>5</v>
      </c>
    </row>
    <row r="52" spans="2:17" ht="23.25">
      <c r="B52" s="4">
        <v>6</v>
      </c>
      <c r="C52" s="45" t="s">
        <v>37</v>
      </c>
      <c r="D52" s="46" t="s">
        <v>32</v>
      </c>
      <c r="E52" s="46"/>
      <c r="F52" s="46"/>
      <c r="G52" s="46"/>
      <c r="H52" s="5"/>
      <c r="Q52">
        <f t="shared" si="4"/>
        <v>5</v>
      </c>
    </row>
    <row r="53" spans="2:17" ht="12.75">
      <c r="B53" s="4">
        <v>7</v>
      </c>
      <c r="C53" s="45" t="s">
        <v>38</v>
      </c>
      <c r="D53" s="48" t="s">
        <v>32</v>
      </c>
      <c r="E53" s="48"/>
      <c r="F53" s="49"/>
      <c r="G53" s="49"/>
      <c r="H53" s="5"/>
      <c r="Q53">
        <f t="shared" si="4"/>
        <v>5</v>
      </c>
    </row>
    <row r="54" spans="2:17" ht="12.75">
      <c r="B54" s="1"/>
      <c r="Q54">
        <f>AVERAGE(Q47:Q53)</f>
        <v>5</v>
      </c>
    </row>
    <row r="55" spans="2:17" ht="12.75">
      <c r="B55" s="70" t="s">
        <v>12</v>
      </c>
      <c r="C55" s="71"/>
      <c r="D55" s="62" t="s">
        <v>108</v>
      </c>
      <c r="E55" s="72"/>
      <c r="F55" s="72"/>
    </row>
    <row r="56" spans="2:17" ht="35.25">
      <c r="B56" s="3" t="s">
        <v>11</v>
      </c>
      <c r="C56" s="3" t="s">
        <v>27</v>
      </c>
      <c r="D56" s="54" t="s">
        <v>28</v>
      </c>
      <c r="E56" s="54" t="s">
        <v>29</v>
      </c>
      <c r="F56" s="54" t="s">
        <v>30</v>
      </c>
      <c r="G56" s="3" t="s">
        <v>16</v>
      </c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2:17" ht="35.25">
      <c r="B57" s="4">
        <v>1</v>
      </c>
      <c r="C57" s="45" t="s">
        <v>31</v>
      </c>
      <c r="D57" s="46" t="s">
        <v>32</v>
      </c>
      <c r="E57" s="46"/>
      <c r="F57" s="46"/>
      <c r="G57" s="46"/>
      <c r="Q57">
        <f>COUNTA(D57)*5 +COUNTA(E57)*4+COUNTA(F57)*1</f>
        <v>5</v>
      </c>
    </row>
    <row r="58" spans="2:17" ht="23.25">
      <c r="B58" s="4">
        <v>2</v>
      </c>
      <c r="C58" s="45" t="s">
        <v>33</v>
      </c>
      <c r="D58" s="46" t="s">
        <v>32</v>
      </c>
      <c r="E58" s="47"/>
      <c r="F58" s="46"/>
      <c r="G58" s="46"/>
      <c r="Q58">
        <f t="shared" ref="Q58:Q63" si="5">COUNTA(D58)*5 +COUNTA(E58)*4+COUNTA(F58)*1</f>
        <v>5</v>
      </c>
    </row>
    <row r="59" spans="2:17" ht="12.75">
      <c r="B59" s="4">
        <v>3</v>
      </c>
      <c r="C59" s="45" t="s">
        <v>34</v>
      </c>
      <c r="D59" s="46" t="s">
        <v>32</v>
      </c>
      <c r="E59" s="46"/>
      <c r="F59" s="46"/>
      <c r="G59" s="46"/>
      <c r="Q59">
        <f t="shared" si="5"/>
        <v>5</v>
      </c>
    </row>
    <row r="60" spans="2:17" ht="23.25">
      <c r="B60" s="4">
        <v>4</v>
      </c>
      <c r="C60" s="45" t="s">
        <v>35</v>
      </c>
      <c r="D60" s="46" t="s">
        <v>32</v>
      </c>
      <c r="E60" s="46"/>
      <c r="F60" s="46"/>
      <c r="G60" s="46"/>
      <c r="H60" s="5"/>
      <c r="Q60">
        <f t="shared" si="5"/>
        <v>5</v>
      </c>
    </row>
    <row r="61" spans="2:17" ht="23.25">
      <c r="B61" s="4">
        <v>5</v>
      </c>
      <c r="C61" s="45" t="s">
        <v>36</v>
      </c>
      <c r="D61" s="46" t="s">
        <v>32</v>
      </c>
      <c r="E61" s="46"/>
      <c r="F61" s="46"/>
      <c r="G61" s="46"/>
      <c r="H61" s="5"/>
      <c r="Q61">
        <f t="shared" si="5"/>
        <v>5</v>
      </c>
    </row>
    <row r="62" spans="2:17" ht="23.25">
      <c r="B62" s="4">
        <v>6</v>
      </c>
      <c r="C62" s="45" t="s">
        <v>37</v>
      </c>
      <c r="D62" s="46" t="s">
        <v>32</v>
      </c>
      <c r="E62" s="46"/>
      <c r="F62" s="46"/>
      <c r="G62" s="46"/>
      <c r="H62" s="5"/>
      <c r="Q62">
        <f t="shared" si="5"/>
        <v>5</v>
      </c>
    </row>
    <row r="63" spans="2:17" ht="12.75">
      <c r="B63" s="4">
        <v>7</v>
      </c>
      <c r="C63" s="45" t="s">
        <v>38</v>
      </c>
      <c r="D63" s="48" t="s">
        <v>32</v>
      </c>
      <c r="E63" s="48"/>
      <c r="F63" s="49"/>
      <c r="G63" s="49"/>
      <c r="H63" s="5"/>
      <c r="Q63">
        <f t="shared" si="5"/>
        <v>5</v>
      </c>
    </row>
    <row r="64" spans="2:17" ht="12.75">
      <c r="B64" s="1"/>
      <c r="Q64">
        <f>AVERAGE(Q57:Q63)</f>
        <v>5</v>
      </c>
    </row>
    <row r="65" spans="2:17" ht="12.75">
      <c r="B65" s="70" t="s">
        <v>12</v>
      </c>
      <c r="C65" s="71"/>
      <c r="D65" s="62" t="s">
        <v>109</v>
      </c>
      <c r="E65" s="72"/>
      <c r="F65" s="72"/>
    </row>
    <row r="66" spans="2:17" ht="36">
      <c r="B66" s="3" t="s">
        <v>11</v>
      </c>
      <c r="C66" s="3" t="s">
        <v>27</v>
      </c>
      <c r="D66" s="54" t="s">
        <v>28</v>
      </c>
      <c r="E66" s="54" t="s">
        <v>29</v>
      </c>
      <c r="F66" s="54" t="s">
        <v>30</v>
      </c>
      <c r="G66" s="3" t="s">
        <v>16</v>
      </c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2:17" ht="36">
      <c r="B67" s="4">
        <v>1</v>
      </c>
      <c r="C67" s="45" t="s">
        <v>31</v>
      </c>
      <c r="D67" s="46" t="s">
        <v>32</v>
      </c>
      <c r="E67" s="46"/>
      <c r="F67" s="46"/>
      <c r="G67" s="46"/>
      <c r="Q67">
        <f>COUNTA(D67)*5 +COUNTA(E67)*4+COUNTA(F67)*1</f>
        <v>5</v>
      </c>
    </row>
    <row r="68" spans="2:17" ht="24">
      <c r="B68" s="4">
        <v>2</v>
      </c>
      <c r="C68" s="45" t="s">
        <v>33</v>
      </c>
      <c r="D68" s="46" t="s">
        <v>32</v>
      </c>
      <c r="E68" s="47"/>
      <c r="F68" s="46"/>
      <c r="G68" s="46"/>
      <c r="Q68">
        <f t="shared" ref="Q68:Q73" si="6">COUNTA(D68)*5 +COUNTA(E68)*4+COUNTA(F68)*1</f>
        <v>5</v>
      </c>
    </row>
    <row r="69" spans="2:17" ht="12.75">
      <c r="B69" s="4">
        <v>3</v>
      </c>
      <c r="C69" s="45" t="s">
        <v>34</v>
      </c>
      <c r="D69" s="46" t="s">
        <v>32</v>
      </c>
      <c r="E69" s="46"/>
      <c r="F69" s="46"/>
      <c r="G69" s="46"/>
      <c r="Q69">
        <f t="shared" si="6"/>
        <v>5</v>
      </c>
    </row>
    <row r="70" spans="2:17" ht="24">
      <c r="B70" s="4">
        <v>4</v>
      </c>
      <c r="C70" s="45" t="s">
        <v>35</v>
      </c>
      <c r="D70" s="46" t="s">
        <v>32</v>
      </c>
      <c r="E70" s="46"/>
      <c r="F70" s="46"/>
      <c r="G70" s="46"/>
      <c r="H70" s="5"/>
      <c r="Q70">
        <f t="shared" si="6"/>
        <v>5</v>
      </c>
    </row>
    <row r="71" spans="2:17" ht="24">
      <c r="B71" s="4">
        <v>5</v>
      </c>
      <c r="C71" s="45" t="s">
        <v>36</v>
      </c>
      <c r="D71" s="46" t="s">
        <v>32</v>
      </c>
      <c r="E71" s="46"/>
      <c r="F71" s="46"/>
      <c r="G71" s="46"/>
      <c r="H71" s="5"/>
      <c r="Q71">
        <f t="shared" si="6"/>
        <v>5</v>
      </c>
    </row>
    <row r="72" spans="2:17" ht="24">
      <c r="B72" s="4">
        <v>6</v>
      </c>
      <c r="C72" s="45" t="s">
        <v>37</v>
      </c>
      <c r="D72" s="46" t="s">
        <v>32</v>
      </c>
      <c r="E72" s="46"/>
      <c r="F72" s="46"/>
      <c r="G72" s="46"/>
      <c r="H72" s="5"/>
      <c r="Q72">
        <f t="shared" si="6"/>
        <v>5</v>
      </c>
    </row>
    <row r="73" spans="2:17" ht="12.75">
      <c r="B73" s="4">
        <v>7</v>
      </c>
      <c r="C73" s="45" t="s">
        <v>38</v>
      </c>
      <c r="D73" s="48" t="s">
        <v>32</v>
      </c>
      <c r="E73" s="48"/>
      <c r="F73" s="49"/>
      <c r="G73" s="49"/>
      <c r="H73" s="5"/>
      <c r="Q73">
        <f t="shared" si="6"/>
        <v>5</v>
      </c>
    </row>
    <row r="74" spans="2:17" ht="12.75">
      <c r="B74" s="1"/>
      <c r="Q74">
        <f>AVERAGE(Q67:Q73)</f>
        <v>5</v>
      </c>
    </row>
    <row r="75" spans="2:17" ht="12.75">
      <c r="B75" s="70" t="s">
        <v>12</v>
      </c>
      <c r="C75" s="71"/>
      <c r="D75" s="62" t="s">
        <v>110</v>
      </c>
      <c r="E75" s="72"/>
      <c r="F75" s="72"/>
    </row>
    <row r="76" spans="2:17" ht="36">
      <c r="B76" s="3" t="s">
        <v>11</v>
      </c>
      <c r="C76" s="3" t="s">
        <v>27</v>
      </c>
      <c r="D76" s="54" t="s">
        <v>28</v>
      </c>
      <c r="E76" s="54" t="s">
        <v>29</v>
      </c>
      <c r="F76" s="54" t="s">
        <v>30</v>
      </c>
      <c r="G76" s="3" t="s">
        <v>16</v>
      </c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2:17" ht="36">
      <c r="B77" s="4">
        <v>1</v>
      </c>
      <c r="C77" s="45" t="s">
        <v>31</v>
      </c>
      <c r="D77" s="46" t="s">
        <v>32</v>
      </c>
      <c r="E77" s="46"/>
      <c r="F77" s="46"/>
      <c r="G77" s="46"/>
      <c r="Q77">
        <f>COUNTA(D77)*5 +COUNTA(E77)*4+COUNTA(F77)*1</f>
        <v>5</v>
      </c>
    </row>
    <row r="78" spans="2:17" ht="24">
      <c r="B78" s="4">
        <v>2</v>
      </c>
      <c r="C78" s="45" t="s">
        <v>33</v>
      </c>
      <c r="D78" s="46" t="s">
        <v>32</v>
      </c>
      <c r="E78" s="47"/>
      <c r="F78" s="46"/>
      <c r="G78" s="46"/>
      <c r="Q78">
        <f t="shared" ref="Q78:Q83" si="7">COUNTA(D78)*5 +COUNTA(E78)*4+COUNTA(F78)*1</f>
        <v>5</v>
      </c>
    </row>
    <row r="79" spans="2:17" ht="12.75">
      <c r="B79" s="4">
        <v>3</v>
      </c>
      <c r="C79" s="45" t="s">
        <v>34</v>
      </c>
      <c r="D79" s="46" t="s">
        <v>32</v>
      </c>
      <c r="E79" s="46"/>
      <c r="F79" s="46"/>
      <c r="G79" s="46"/>
      <c r="Q79">
        <f t="shared" si="7"/>
        <v>5</v>
      </c>
    </row>
    <row r="80" spans="2:17" ht="24">
      <c r="B80" s="4">
        <v>4</v>
      </c>
      <c r="C80" s="45" t="s">
        <v>35</v>
      </c>
      <c r="D80" s="46" t="s">
        <v>32</v>
      </c>
      <c r="E80" s="46"/>
      <c r="F80" s="46"/>
      <c r="G80" s="46"/>
      <c r="H80" s="5"/>
      <c r="Q80">
        <f t="shared" si="7"/>
        <v>5</v>
      </c>
    </row>
    <row r="81" spans="2:17" ht="24">
      <c r="B81" s="4">
        <v>5</v>
      </c>
      <c r="C81" s="45" t="s">
        <v>36</v>
      </c>
      <c r="D81" s="46" t="s">
        <v>32</v>
      </c>
      <c r="E81" s="46"/>
      <c r="F81" s="46"/>
      <c r="G81" s="46"/>
      <c r="H81" s="5"/>
      <c r="Q81">
        <f t="shared" si="7"/>
        <v>5</v>
      </c>
    </row>
    <row r="82" spans="2:17" ht="24">
      <c r="B82" s="4">
        <v>6</v>
      </c>
      <c r="C82" s="45" t="s">
        <v>37</v>
      </c>
      <c r="D82" s="46" t="s">
        <v>32</v>
      </c>
      <c r="E82" s="46"/>
      <c r="F82" s="46"/>
      <c r="G82" s="46"/>
      <c r="H82" s="5"/>
      <c r="Q82">
        <f t="shared" si="7"/>
        <v>5</v>
      </c>
    </row>
    <row r="83" spans="2:17" ht="12.75">
      <c r="B83" s="4">
        <v>7</v>
      </c>
      <c r="C83" s="45" t="s">
        <v>38</v>
      </c>
      <c r="D83" s="48" t="s">
        <v>32</v>
      </c>
      <c r="E83" s="48"/>
      <c r="F83" s="49"/>
      <c r="G83" s="49"/>
      <c r="H83" s="5"/>
      <c r="Q83">
        <f t="shared" si="7"/>
        <v>5</v>
      </c>
    </row>
    <row r="84" spans="2:17" ht="12.75">
      <c r="B84" s="1"/>
      <c r="Q84">
        <f>AVERAGE(Q77:Q83)</f>
        <v>5</v>
      </c>
    </row>
    <row r="85" spans="2:17" ht="12.75">
      <c r="B85" s="70" t="s">
        <v>12</v>
      </c>
      <c r="C85" s="71"/>
      <c r="D85" s="62" t="s">
        <v>111</v>
      </c>
      <c r="E85" s="72"/>
      <c r="F85" s="72"/>
    </row>
    <row r="86" spans="2:17" ht="36">
      <c r="B86" s="3" t="s">
        <v>11</v>
      </c>
      <c r="C86" s="3" t="s">
        <v>27</v>
      </c>
      <c r="D86" s="54" t="s">
        <v>28</v>
      </c>
      <c r="E86" s="54" t="s">
        <v>29</v>
      </c>
      <c r="F86" s="54" t="s">
        <v>30</v>
      </c>
      <c r="G86" s="3" t="s">
        <v>16</v>
      </c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2:17" ht="36">
      <c r="B87" s="4">
        <v>1</v>
      </c>
      <c r="C87" s="45" t="s">
        <v>31</v>
      </c>
      <c r="D87" s="46" t="s">
        <v>32</v>
      </c>
      <c r="E87" s="46"/>
      <c r="F87" s="46"/>
      <c r="G87" s="55"/>
      <c r="Q87">
        <f>COUNTA(D87)*5 +COUNTA(E87)*4+COUNTA(F87)*1</f>
        <v>5</v>
      </c>
    </row>
    <row r="88" spans="2:17" ht="24">
      <c r="B88" s="4">
        <v>2</v>
      </c>
      <c r="C88" s="45" t="s">
        <v>33</v>
      </c>
      <c r="D88" s="46" t="s">
        <v>32</v>
      </c>
      <c r="E88" s="47"/>
      <c r="F88" s="46"/>
      <c r="G88" s="46"/>
      <c r="Q88">
        <f t="shared" ref="Q88:Q93" si="8">COUNTA(D88)*5 +COUNTA(E88)*4+COUNTA(F88)*1</f>
        <v>5</v>
      </c>
    </row>
    <row r="89" spans="2:17" ht="12.75">
      <c r="B89" s="4">
        <v>3</v>
      </c>
      <c r="C89" s="45" t="s">
        <v>34</v>
      </c>
      <c r="D89" s="46" t="s">
        <v>32</v>
      </c>
      <c r="E89" s="46"/>
      <c r="F89" s="46"/>
      <c r="G89" s="46"/>
      <c r="Q89">
        <f t="shared" si="8"/>
        <v>5</v>
      </c>
    </row>
    <row r="90" spans="2:17" ht="24">
      <c r="B90" s="4">
        <v>4</v>
      </c>
      <c r="C90" s="45" t="s">
        <v>35</v>
      </c>
      <c r="D90" s="46" t="s">
        <v>32</v>
      </c>
      <c r="E90" s="46"/>
      <c r="F90" s="46"/>
      <c r="G90" s="46"/>
      <c r="H90" s="5"/>
      <c r="Q90">
        <f t="shared" si="8"/>
        <v>5</v>
      </c>
    </row>
    <row r="91" spans="2:17" ht="24">
      <c r="B91" s="4">
        <v>5</v>
      </c>
      <c r="C91" s="45" t="s">
        <v>36</v>
      </c>
      <c r="D91" s="46" t="s">
        <v>32</v>
      </c>
      <c r="E91" s="46"/>
      <c r="F91" s="46"/>
      <c r="G91" s="46"/>
      <c r="H91" s="5"/>
      <c r="Q91">
        <f t="shared" si="8"/>
        <v>5</v>
      </c>
    </row>
    <row r="92" spans="2:17" ht="24">
      <c r="B92" s="4">
        <v>6</v>
      </c>
      <c r="C92" s="45" t="s">
        <v>37</v>
      </c>
      <c r="D92" s="46" t="s">
        <v>32</v>
      </c>
      <c r="E92" s="46"/>
      <c r="F92" s="46"/>
      <c r="G92" s="46"/>
      <c r="H92" s="5"/>
      <c r="Q92">
        <f t="shared" si="8"/>
        <v>5</v>
      </c>
    </row>
    <row r="93" spans="2:17" ht="12.75">
      <c r="B93" s="4">
        <v>7</v>
      </c>
      <c r="C93" s="45" t="s">
        <v>38</v>
      </c>
      <c r="D93" s="48" t="s">
        <v>32</v>
      </c>
      <c r="E93" s="48"/>
      <c r="F93" s="49"/>
      <c r="G93" s="49"/>
      <c r="H93" s="5"/>
      <c r="Q93">
        <f t="shared" si="8"/>
        <v>5</v>
      </c>
    </row>
    <row r="94" spans="2:17" ht="12.75">
      <c r="B94" s="1"/>
      <c r="Q94">
        <f>AVERAGE(Q87:Q93)</f>
        <v>5</v>
      </c>
    </row>
    <row r="95" spans="2:17" ht="12.75">
      <c r="B95" s="1"/>
    </row>
    <row r="96" spans="2:17" ht="12.75">
      <c r="B96" s="1"/>
    </row>
    <row r="97" spans="2:2" ht="12.75">
      <c r="B97" s="1"/>
    </row>
    <row r="98" spans="2:2" ht="12.75">
      <c r="B98" s="1"/>
    </row>
    <row r="99" spans="2:2" ht="12.75">
      <c r="B99" s="1"/>
    </row>
    <row r="100" spans="2:2" ht="12.75">
      <c r="B100" s="1"/>
    </row>
    <row r="101" spans="2:2" ht="12.75">
      <c r="B101" s="1"/>
    </row>
    <row r="102" spans="2:2" ht="12.75">
      <c r="B102" s="1"/>
    </row>
    <row r="103" spans="2:2" ht="12.75">
      <c r="B103" s="1"/>
    </row>
    <row r="104" spans="2:2" ht="12.75">
      <c r="B104" s="1"/>
    </row>
    <row r="105" spans="2:2" ht="12.75">
      <c r="B105" s="1"/>
    </row>
    <row r="106" spans="2:2" ht="12.75">
      <c r="B106" s="1"/>
    </row>
    <row r="107" spans="2:2" ht="12.75">
      <c r="B107" s="1"/>
    </row>
    <row r="108" spans="2:2" ht="12.75">
      <c r="B108" s="1"/>
    </row>
    <row r="109" spans="2:2" ht="12.75">
      <c r="B109" s="1"/>
    </row>
    <row r="110" spans="2:2" ht="12.75">
      <c r="B110" s="1"/>
    </row>
    <row r="111" spans="2:2" ht="12.75">
      <c r="B111" s="1"/>
    </row>
    <row r="112" spans="2:2" ht="12.75">
      <c r="B112" s="1"/>
    </row>
    <row r="113" spans="2:2" ht="12.75">
      <c r="B113" s="1"/>
    </row>
    <row r="114" spans="2:2" ht="12.75">
      <c r="B114" s="1"/>
    </row>
    <row r="115" spans="2:2" ht="12.75">
      <c r="B115" s="1"/>
    </row>
    <row r="116" spans="2:2" ht="12.75">
      <c r="B116" s="1"/>
    </row>
    <row r="117" spans="2:2" ht="12.75">
      <c r="B117" s="1"/>
    </row>
    <row r="118" spans="2:2" ht="12.75">
      <c r="B118" s="1"/>
    </row>
    <row r="119" spans="2:2" ht="12.75">
      <c r="B119" s="1"/>
    </row>
    <row r="120" spans="2:2" ht="12.75">
      <c r="B120" s="1"/>
    </row>
    <row r="121" spans="2:2" ht="12.75">
      <c r="B121" s="1"/>
    </row>
    <row r="122" spans="2:2" ht="12.75">
      <c r="B122" s="1"/>
    </row>
    <row r="123" spans="2:2" ht="12.75">
      <c r="B123" s="1"/>
    </row>
    <row r="124" spans="2:2" ht="12.75">
      <c r="B124" s="1"/>
    </row>
    <row r="125" spans="2:2" ht="12.75">
      <c r="B125" s="1"/>
    </row>
    <row r="126" spans="2:2" ht="12.75">
      <c r="B126" s="1"/>
    </row>
    <row r="127" spans="2:2" ht="12.75">
      <c r="B127" s="1"/>
    </row>
    <row r="128" spans="2:2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  <row r="939" spans="2:2" ht="12.75">
      <c r="B939" s="1"/>
    </row>
    <row r="940" spans="2:2" ht="12.75">
      <c r="B940" s="1"/>
    </row>
    <row r="941" spans="2:2" ht="12.75">
      <c r="B941" s="1"/>
    </row>
    <row r="942" spans="2:2" ht="12.75">
      <c r="B942" s="1"/>
    </row>
    <row r="943" spans="2:2" ht="12.75">
      <c r="B943" s="1"/>
    </row>
  </sheetData>
  <mergeCells count="18">
    <mergeCell ref="B85:C85"/>
    <mergeCell ref="D85:F85"/>
    <mergeCell ref="B75:C75"/>
    <mergeCell ref="D75:F75"/>
    <mergeCell ref="B65:C65"/>
    <mergeCell ref="D65:F65"/>
    <mergeCell ref="B5:C5"/>
    <mergeCell ref="D5:F5"/>
    <mergeCell ref="B15:C15"/>
    <mergeCell ref="D15:F15"/>
    <mergeCell ref="B25:C25"/>
    <mergeCell ref="D25:F25"/>
    <mergeCell ref="B55:C55"/>
    <mergeCell ref="D55:F55"/>
    <mergeCell ref="B45:C45"/>
    <mergeCell ref="D45:F45"/>
    <mergeCell ref="B35:C35"/>
    <mergeCell ref="D35:F35"/>
  </mergeCells>
  <pageMargins left="0" right="0" top="0" bottom="0" header="0" footer="0"/>
  <pageSetup paperSize="8" fitToWidth="0" fitToHeight="0" orientation="landscape"/>
  <headerFooter>
    <oddFooter>&amp;R_x000D_&amp;1#&amp;"Calibri"&amp;8&amp;K000000 Cisco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BFEC-B7B6-435E-95FF-DF26110154D9}">
  <sheetPr>
    <outlinePr summaryBelow="0" summaryRight="0"/>
  </sheetPr>
  <dimension ref="A1:V944"/>
  <sheetViews>
    <sheetView showGridLines="0" topLeftCell="A83" zoomScale="90" zoomScaleNormal="90" workbookViewId="0">
      <selection activeCell="G55" sqref="G55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2" customWidth="1"/>
    <col min="6" max="6" width="11.85546875" customWidth="1"/>
    <col min="7" max="7" width="27.5703125" customWidth="1"/>
    <col min="8" max="8" width="11.85546875" customWidth="1"/>
    <col min="9" max="9" width="12.85546875" customWidth="1"/>
    <col min="10" max="10" width="2.28515625" customWidth="1"/>
    <col min="11" max="11" width="4" customWidth="1"/>
    <col min="12" max="12" width="20.5703125" customWidth="1"/>
  </cols>
  <sheetData>
    <row r="1" spans="1:22" ht="12.75">
      <c r="B1" s="1"/>
    </row>
    <row r="2" spans="1:22" s="27" customFormat="1" ht="12.75" customHeight="1">
      <c r="B2" s="28"/>
      <c r="C2" s="27" t="s">
        <v>49</v>
      </c>
      <c r="D2" s="27" t="s">
        <v>102</v>
      </c>
    </row>
    <row r="3" spans="1:22" ht="12.75">
      <c r="B3" s="1"/>
      <c r="C3" s="27" t="s">
        <v>103</v>
      </c>
      <c r="D3" t="s">
        <v>112</v>
      </c>
    </row>
    <row r="4" spans="1:22" ht="12.75" customHeight="1">
      <c r="B4" s="1"/>
      <c r="L4" s="53" t="s">
        <v>53</v>
      </c>
    </row>
    <row r="5" spans="1:22" ht="12.75">
      <c r="B5" s="70" t="s">
        <v>12</v>
      </c>
      <c r="C5" s="71"/>
      <c r="D5" s="62" t="s">
        <v>105</v>
      </c>
      <c r="E5" s="72"/>
      <c r="F5" s="72"/>
    </row>
    <row r="6" spans="1:22" ht="35.25">
      <c r="A6" s="2"/>
      <c r="B6" s="3" t="s">
        <v>11</v>
      </c>
      <c r="C6" s="3" t="s">
        <v>27</v>
      </c>
      <c r="D6" s="54" t="s">
        <v>28</v>
      </c>
      <c r="E6" s="54" t="s">
        <v>29</v>
      </c>
      <c r="F6" s="54" t="s">
        <v>30</v>
      </c>
      <c r="G6" s="3" t="s">
        <v>16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35.25">
      <c r="B7" s="4">
        <v>1</v>
      </c>
      <c r="C7" s="45" t="s">
        <v>31</v>
      </c>
      <c r="D7" s="46"/>
      <c r="E7" s="46" t="s">
        <v>32</v>
      </c>
      <c r="F7" s="46"/>
      <c r="G7" s="55"/>
      <c r="Q7">
        <f>COUNTA(D7)*5 +COUNTA(E7)*4+COUNTA(F7)*1</f>
        <v>4</v>
      </c>
    </row>
    <row r="8" spans="1:22" ht="23.25">
      <c r="B8" s="4">
        <v>2</v>
      </c>
      <c r="C8" s="45" t="s">
        <v>33</v>
      </c>
      <c r="D8" s="46"/>
      <c r="E8" s="47" t="s">
        <v>32</v>
      </c>
      <c r="F8" s="46"/>
      <c r="G8" s="46"/>
      <c r="Q8">
        <f t="shared" ref="Q8:Q13" si="0">COUNTA(D8)*5 +COUNTA(E8)*4+COUNTA(F8)*1</f>
        <v>4</v>
      </c>
    </row>
    <row r="9" spans="1:22" ht="12.75">
      <c r="B9" s="4">
        <v>3</v>
      </c>
      <c r="C9" s="45" t="s">
        <v>34</v>
      </c>
      <c r="D9" s="46" t="s">
        <v>32</v>
      </c>
      <c r="E9" s="46"/>
      <c r="F9" s="46"/>
      <c r="G9" s="46"/>
      <c r="Q9">
        <f t="shared" si="0"/>
        <v>5</v>
      </c>
    </row>
    <row r="10" spans="1:22" ht="23.25">
      <c r="B10" s="4">
        <v>4</v>
      </c>
      <c r="C10" s="45" t="s">
        <v>35</v>
      </c>
      <c r="D10" s="46" t="s">
        <v>32</v>
      </c>
      <c r="E10" s="46"/>
      <c r="F10" s="46"/>
      <c r="G10" s="46"/>
      <c r="H10" s="5"/>
      <c r="Q10">
        <f t="shared" si="0"/>
        <v>5</v>
      </c>
    </row>
    <row r="11" spans="1:22" ht="23.25">
      <c r="B11" s="4">
        <v>5</v>
      </c>
      <c r="C11" s="45" t="s">
        <v>36</v>
      </c>
      <c r="D11" s="46"/>
      <c r="E11" s="46" t="s">
        <v>32</v>
      </c>
      <c r="F11" s="46"/>
      <c r="G11" s="46"/>
      <c r="H11" s="5"/>
      <c r="Q11">
        <f t="shared" si="0"/>
        <v>4</v>
      </c>
    </row>
    <row r="12" spans="1:22" ht="23.25">
      <c r="B12" s="4">
        <v>6</v>
      </c>
      <c r="C12" s="45" t="s">
        <v>37</v>
      </c>
      <c r="D12" s="46" t="s">
        <v>32</v>
      </c>
      <c r="E12" s="46"/>
      <c r="F12" s="46"/>
      <c r="G12" s="46"/>
      <c r="H12" s="5"/>
      <c r="Q12">
        <f t="shared" si="0"/>
        <v>5</v>
      </c>
    </row>
    <row r="13" spans="1:22" ht="12.75">
      <c r="B13" s="4">
        <v>7</v>
      </c>
      <c r="C13" s="45" t="s">
        <v>38</v>
      </c>
      <c r="D13" s="48" t="s">
        <v>32</v>
      </c>
      <c r="E13" s="48"/>
      <c r="F13" s="49"/>
      <c r="G13" s="49"/>
      <c r="H13" s="5"/>
      <c r="Q13">
        <f t="shared" si="0"/>
        <v>5</v>
      </c>
    </row>
    <row r="14" spans="1:22" ht="12.75">
      <c r="B14" s="1"/>
      <c r="Q14">
        <f>AVERAGE(Q7:Q13)</f>
        <v>4.5714285714285712</v>
      </c>
    </row>
    <row r="15" spans="1:22" ht="12.75">
      <c r="B15" s="70" t="s">
        <v>12</v>
      </c>
      <c r="C15" s="71"/>
      <c r="D15" s="62" t="s">
        <v>106</v>
      </c>
      <c r="E15" s="72"/>
      <c r="F15" s="72"/>
    </row>
    <row r="16" spans="1:22" ht="35.25">
      <c r="B16" s="3" t="s">
        <v>11</v>
      </c>
      <c r="C16" s="3" t="s">
        <v>27</v>
      </c>
      <c r="D16" s="54" t="s">
        <v>28</v>
      </c>
      <c r="E16" s="54" t="s">
        <v>29</v>
      </c>
      <c r="F16" s="54" t="s">
        <v>30</v>
      </c>
      <c r="G16" s="3" t="s">
        <v>16</v>
      </c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2:17" ht="35.25">
      <c r="B17" s="4">
        <v>1</v>
      </c>
      <c r="C17" s="45" t="s">
        <v>31</v>
      </c>
      <c r="D17" s="46"/>
      <c r="E17" s="46" t="s">
        <v>32</v>
      </c>
      <c r="F17" s="46"/>
      <c r="G17" s="55"/>
      <c r="Q17">
        <f>COUNTA(D17)*5 +COUNTA(E17)*4+COUNTA(F17)*1</f>
        <v>4</v>
      </c>
    </row>
    <row r="18" spans="2:17" ht="23.25">
      <c r="B18" s="4">
        <v>2</v>
      </c>
      <c r="C18" s="45" t="s">
        <v>33</v>
      </c>
      <c r="D18" s="46"/>
      <c r="E18" s="47" t="s">
        <v>32</v>
      </c>
      <c r="F18" s="46"/>
      <c r="G18" s="46"/>
      <c r="Q18">
        <f t="shared" ref="Q18:Q23" si="1">COUNTA(D18)*5 +COUNTA(E18)*4+COUNTA(F18)*1</f>
        <v>4</v>
      </c>
    </row>
    <row r="19" spans="2:17" ht="12.75">
      <c r="B19" s="4">
        <v>3</v>
      </c>
      <c r="C19" s="45" t="s">
        <v>34</v>
      </c>
      <c r="D19" s="46" t="s">
        <v>32</v>
      </c>
      <c r="E19" s="46"/>
      <c r="F19" s="46"/>
      <c r="G19" s="46"/>
      <c r="Q19">
        <f t="shared" si="1"/>
        <v>5</v>
      </c>
    </row>
    <row r="20" spans="2:17" ht="23.25">
      <c r="B20" s="4">
        <v>4</v>
      </c>
      <c r="C20" s="45" t="s">
        <v>35</v>
      </c>
      <c r="D20" s="46" t="s">
        <v>32</v>
      </c>
      <c r="E20" s="46"/>
      <c r="F20" s="46"/>
      <c r="G20" s="46"/>
      <c r="H20" s="5"/>
      <c r="Q20">
        <f t="shared" si="1"/>
        <v>5</v>
      </c>
    </row>
    <row r="21" spans="2:17" ht="23.25">
      <c r="B21" s="4">
        <v>5</v>
      </c>
      <c r="C21" s="45" t="s">
        <v>36</v>
      </c>
      <c r="D21" s="46"/>
      <c r="E21" s="46" t="s">
        <v>32</v>
      </c>
      <c r="F21" s="46"/>
      <c r="G21" s="46"/>
      <c r="H21" s="5"/>
      <c r="Q21">
        <f t="shared" si="1"/>
        <v>4</v>
      </c>
    </row>
    <row r="22" spans="2:17" ht="23.25">
      <c r="B22" s="4">
        <v>6</v>
      </c>
      <c r="C22" s="45" t="s">
        <v>37</v>
      </c>
      <c r="D22" s="46" t="s">
        <v>32</v>
      </c>
      <c r="E22" s="46"/>
      <c r="F22" s="46"/>
      <c r="G22" s="46"/>
      <c r="H22" s="5"/>
      <c r="Q22">
        <f t="shared" si="1"/>
        <v>5</v>
      </c>
    </row>
    <row r="23" spans="2:17" ht="12.75">
      <c r="B23" s="4">
        <v>7</v>
      </c>
      <c r="C23" s="45" t="s">
        <v>38</v>
      </c>
      <c r="D23" s="48" t="s">
        <v>32</v>
      </c>
      <c r="E23" s="48"/>
      <c r="F23" s="49"/>
      <c r="G23" s="49"/>
      <c r="H23" s="5"/>
      <c r="Q23">
        <f t="shared" si="1"/>
        <v>5</v>
      </c>
    </row>
    <row r="24" spans="2:17" ht="12.75">
      <c r="B24" s="1"/>
      <c r="Q24">
        <f>AVERAGE(Q17:Q23)</f>
        <v>4.5714285714285712</v>
      </c>
    </row>
    <row r="25" spans="2:17" ht="12.75">
      <c r="B25" s="70" t="s">
        <v>12</v>
      </c>
      <c r="C25" s="71"/>
      <c r="D25" s="62" t="s">
        <v>83</v>
      </c>
      <c r="E25" s="72"/>
      <c r="F25" s="72"/>
    </row>
    <row r="26" spans="2:17" ht="35.25">
      <c r="B26" s="3" t="s">
        <v>11</v>
      </c>
      <c r="C26" s="3" t="s">
        <v>27</v>
      </c>
      <c r="D26" s="54" t="s">
        <v>28</v>
      </c>
      <c r="E26" s="54" t="s">
        <v>29</v>
      </c>
      <c r="F26" s="54" t="s">
        <v>30</v>
      </c>
      <c r="G26" s="3" t="s">
        <v>16</v>
      </c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2:17" ht="35.25">
      <c r="B27" s="4">
        <v>1</v>
      </c>
      <c r="C27" s="45" t="s">
        <v>31</v>
      </c>
      <c r="D27" s="46"/>
      <c r="E27" s="46" t="s">
        <v>32</v>
      </c>
      <c r="F27" s="46"/>
      <c r="G27" s="55"/>
      <c r="Q27">
        <f>COUNTA(D27)*5 +COUNTA(E27)*4+COUNTA(F27)*1</f>
        <v>4</v>
      </c>
    </row>
    <row r="28" spans="2:17" ht="23.25">
      <c r="B28" s="4">
        <v>2</v>
      </c>
      <c r="C28" s="45" t="s">
        <v>33</v>
      </c>
      <c r="D28" s="46"/>
      <c r="E28" s="47" t="s">
        <v>32</v>
      </c>
      <c r="F28" s="46"/>
      <c r="G28" s="46"/>
      <c r="Q28">
        <f t="shared" ref="Q28:Q33" si="2">COUNTA(D28)*5 +COUNTA(E28)*4+COUNTA(F28)*1</f>
        <v>4</v>
      </c>
    </row>
    <row r="29" spans="2:17" ht="12.75">
      <c r="B29" s="4">
        <v>3</v>
      </c>
      <c r="C29" s="45" t="s">
        <v>34</v>
      </c>
      <c r="D29" s="46" t="s">
        <v>32</v>
      </c>
      <c r="E29" s="46"/>
      <c r="F29" s="46"/>
      <c r="G29" s="46"/>
      <c r="Q29">
        <f t="shared" si="2"/>
        <v>5</v>
      </c>
    </row>
    <row r="30" spans="2:17" ht="23.25">
      <c r="B30" s="4">
        <v>4</v>
      </c>
      <c r="C30" s="45" t="s">
        <v>35</v>
      </c>
      <c r="D30" s="46" t="s">
        <v>32</v>
      </c>
      <c r="E30" s="46"/>
      <c r="F30" s="46"/>
      <c r="G30" s="46"/>
      <c r="H30" s="5"/>
      <c r="Q30">
        <f t="shared" si="2"/>
        <v>5</v>
      </c>
    </row>
    <row r="31" spans="2:17" ht="23.25">
      <c r="B31" s="4">
        <v>5</v>
      </c>
      <c r="C31" s="45" t="s">
        <v>36</v>
      </c>
      <c r="D31" s="46"/>
      <c r="E31" s="46" t="s">
        <v>32</v>
      </c>
      <c r="F31" s="46"/>
      <c r="G31" s="46"/>
      <c r="H31" s="5"/>
      <c r="Q31">
        <f t="shared" si="2"/>
        <v>4</v>
      </c>
    </row>
    <row r="32" spans="2:17" ht="23.25">
      <c r="B32" s="4">
        <v>6</v>
      </c>
      <c r="C32" s="45" t="s">
        <v>37</v>
      </c>
      <c r="D32" s="46" t="s">
        <v>32</v>
      </c>
      <c r="E32" s="46"/>
      <c r="F32" s="46"/>
      <c r="G32" s="46"/>
      <c r="H32" s="5"/>
      <c r="Q32">
        <f t="shared" si="2"/>
        <v>5</v>
      </c>
    </row>
    <row r="33" spans="2:17" ht="12.75">
      <c r="B33" s="4">
        <v>7</v>
      </c>
      <c r="C33" s="45" t="s">
        <v>38</v>
      </c>
      <c r="D33" s="48" t="s">
        <v>32</v>
      </c>
      <c r="E33" s="48"/>
      <c r="F33" s="49"/>
      <c r="G33" s="49"/>
      <c r="H33" s="5"/>
      <c r="Q33">
        <f t="shared" si="2"/>
        <v>5</v>
      </c>
    </row>
    <row r="34" spans="2:17" ht="12.75">
      <c r="B34" s="1"/>
      <c r="Q34">
        <f>AVERAGE(Q27:Q33)</f>
        <v>4.5714285714285712</v>
      </c>
    </row>
    <row r="35" spans="2:17" ht="12.75">
      <c r="B35" s="70" t="s">
        <v>12</v>
      </c>
      <c r="C35" s="71"/>
      <c r="D35" s="62" t="s">
        <v>84</v>
      </c>
      <c r="E35" s="72"/>
      <c r="F35" s="72"/>
    </row>
    <row r="36" spans="2:17" ht="35.25">
      <c r="B36" s="3" t="s">
        <v>11</v>
      </c>
      <c r="C36" s="3" t="s">
        <v>27</v>
      </c>
      <c r="D36" s="54" t="s">
        <v>28</v>
      </c>
      <c r="E36" s="54" t="s">
        <v>29</v>
      </c>
      <c r="F36" s="54" t="s">
        <v>30</v>
      </c>
      <c r="G36" s="3" t="s">
        <v>16</v>
      </c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35.25">
      <c r="B37" s="4">
        <v>1</v>
      </c>
      <c r="C37" s="45" t="s">
        <v>31</v>
      </c>
      <c r="D37" s="46"/>
      <c r="E37" s="46" t="s">
        <v>32</v>
      </c>
      <c r="F37" s="46"/>
      <c r="G37" s="55"/>
      <c r="Q37">
        <f>COUNTA(D37)*5 +COUNTA(E37)*4+COUNTA(F37)*1</f>
        <v>4</v>
      </c>
    </row>
    <row r="38" spans="2:17" ht="23.25">
      <c r="B38" s="4">
        <v>2</v>
      </c>
      <c r="C38" s="45" t="s">
        <v>33</v>
      </c>
      <c r="D38" s="46"/>
      <c r="E38" s="47" t="s">
        <v>32</v>
      </c>
      <c r="F38" s="46"/>
      <c r="G38" s="46"/>
      <c r="Q38">
        <f t="shared" ref="Q38:Q43" si="3">COUNTA(D38)*5 +COUNTA(E38)*4+COUNTA(F38)*1</f>
        <v>4</v>
      </c>
    </row>
    <row r="39" spans="2:17" ht="12.75">
      <c r="B39" s="4">
        <v>3</v>
      </c>
      <c r="C39" s="45" t="s">
        <v>34</v>
      </c>
      <c r="D39" s="46" t="s">
        <v>32</v>
      </c>
      <c r="E39" s="46"/>
      <c r="F39" s="46"/>
      <c r="G39" s="46"/>
      <c r="Q39">
        <f t="shared" si="3"/>
        <v>5</v>
      </c>
    </row>
    <row r="40" spans="2:17" ht="23.25">
      <c r="B40" s="4">
        <v>4</v>
      </c>
      <c r="C40" s="45" t="s">
        <v>35</v>
      </c>
      <c r="D40" s="46" t="s">
        <v>32</v>
      </c>
      <c r="E40" s="46"/>
      <c r="F40" s="46"/>
      <c r="G40" s="46"/>
      <c r="H40" s="5"/>
      <c r="Q40">
        <f t="shared" si="3"/>
        <v>5</v>
      </c>
    </row>
    <row r="41" spans="2:17" ht="23.25">
      <c r="B41" s="4">
        <v>5</v>
      </c>
      <c r="C41" s="45" t="s">
        <v>36</v>
      </c>
      <c r="D41" s="46"/>
      <c r="E41" s="46" t="s">
        <v>32</v>
      </c>
      <c r="F41" s="46"/>
      <c r="G41" s="46"/>
      <c r="H41" s="5"/>
      <c r="Q41">
        <f t="shared" si="3"/>
        <v>4</v>
      </c>
    </row>
    <row r="42" spans="2:17" ht="23.25">
      <c r="B42" s="4">
        <v>6</v>
      </c>
      <c r="C42" s="45" t="s">
        <v>37</v>
      </c>
      <c r="D42" s="46" t="s">
        <v>32</v>
      </c>
      <c r="E42" s="46"/>
      <c r="F42" s="46"/>
      <c r="G42" s="46"/>
      <c r="H42" s="5"/>
      <c r="Q42">
        <f t="shared" si="3"/>
        <v>5</v>
      </c>
    </row>
    <row r="43" spans="2:17" ht="12.75">
      <c r="B43" s="4">
        <v>7</v>
      </c>
      <c r="C43" s="45" t="s">
        <v>38</v>
      </c>
      <c r="D43" s="48" t="s">
        <v>32</v>
      </c>
      <c r="E43" s="48"/>
      <c r="F43" s="49"/>
      <c r="G43" s="49"/>
      <c r="H43" s="5"/>
      <c r="Q43">
        <f t="shared" si="3"/>
        <v>5</v>
      </c>
    </row>
    <row r="44" spans="2:17" ht="12.75">
      <c r="B44" s="1"/>
      <c r="Q44">
        <f>AVERAGE(Q37:Q43)</f>
        <v>4.5714285714285712</v>
      </c>
    </row>
    <row r="45" spans="2:17" ht="12.75">
      <c r="B45" s="70" t="s">
        <v>12</v>
      </c>
      <c r="C45" s="71"/>
      <c r="D45" s="62" t="s">
        <v>107</v>
      </c>
      <c r="E45" s="72"/>
      <c r="F45" s="72"/>
    </row>
    <row r="46" spans="2:17" ht="35.25">
      <c r="B46" s="3" t="s">
        <v>11</v>
      </c>
      <c r="C46" s="3" t="s">
        <v>27</v>
      </c>
      <c r="D46" s="54" t="s">
        <v>28</v>
      </c>
      <c r="E46" s="54" t="s">
        <v>29</v>
      </c>
      <c r="F46" s="54" t="s">
        <v>30</v>
      </c>
      <c r="G46" s="3" t="s">
        <v>16</v>
      </c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2:17" ht="35.25">
      <c r="B47" s="4">
        <v>1</v>
      </c>
      <c r="C47" s="45" t="s">
        <v>31</v>
      </c>
      <c r="D47" s="46"/>
      <c r="E47" s="46" t="s">
        <v>32</v>
      </c>
      <c r="F47" s="46"/>
      <c r="G47" s="55"/>
      <c r="Q47">
        <f>COUNTA(D47)*5 +COUNTA(E47)*4+COUNTA(F47)*1</f>
        <v>4</v>
      </c>
    </row>
    <row r="48" spans="2:17" ht="23.25">
      <c r="B48" s="4">
        <v>2</v>
      </c>
      <c r="C48" s="45" t="s">
        <v>33</v>
      </c>
      <c r="D48" s="46"/>
      <c r="E48" s="47" t="s">
        <v>32</v>
      </c>
      <c r="F48" s="46"/>
      <c r="G48" s="46"/>
      <c r="Q48">
        <f t="shared" ref="Q48:Q53" si="4">COUNTA(D48)*5 +COUNTA(E48)*4+COUNTA(F48)*1</f>
        <v>4</v>
      </c>
    </row>
    <row r="49" spans="2:17" ht="12.75">
      <c r="B49" s="4">
        <v>3</v>
      </c>
      <c r="C49" s="45" t="s">
        <v>34</v>
      </c>
      <c r="D49" s="46" t="s">
        <v>32</v>
      </c>
      <c r="E49" s="46"/>
      <c r="F49" s="46"/>
      <c r="G49" s="46"/>
      <c r="Q49">
        <f t="shared" si="4"/>
        <v>5</v>
      </c>
    </row>
    <row r="50" spans="2:17" ht="23.25">
      <c r="B50" s="4">
        <v>4</v>
      </c>
      <c r="C50" s="45" t="s">
        <v>35</v>
      </c>
      <c r="D50" s="46" t="s">
        <v>32</v>
      </c>
      <c r="E50" s="46"/>
      <c r="F50" s="46"/>
      <c r="G50" s="46"/>
      <c r="H50" s="5"/>
      <c r="Q50">
        <f t="shared" si="4"/>
        <v>5</v>
      </c>
    </row>
    <row r="51" spans="2:17" ht="23.25">
      <c r="B51" s="4">
        <v>5</v>
      </c>
      <c r="C51" s="45" t="s">
        <v>36</v>
      </c>
      <c r="D51" s="46" t="s">
        <v>32</v>
      </c>
      <c r="E51" s="46"/>
      <c r="F51" s="46"/>
      <c r="G51" s="46"/>
      <c r="H51" s="5"/>
      <c r="Q51">
        <f t="shared" si="4"/>
        <v>5</v>
      </c>
    </row>
    <row r="52" spans="2:17" ht="23.25">
      <c r="B52" s="4">
        <v>6</v>
      </c>
      <c r="C52" s="45" t="s">
        <v>37</v>
      </c>
      <c r="D52" s="46" t="s">
        <v>32</v>
      </c>
      <c r="E52" s="46"/>
      <c r="F52" s="46"/>
      <c r="G52" s="46"/>
      <c r="H52" s="5"/>
      <c r="Q52">
        <f t="shared" si="4"/>
        <v>5</v>
      </c>
    </row>
    <row r="53" spans="2:17" ht="12.75">
      <c r="B53" s="4">
        <v>7</v>
      </c>
      <c r="C53" s="45" t="s">
        <v>38</v>
      </c>
      <c r="D53" s="48" t="s">
        <v>32</v>
      </c>
      <c r="E53" s="48"/>
      <c r="F53" s="49"/>
      <c r="G53" s="49"/>
      <c r="H53" s="5"/>
      <c r="Q53">
        <f t="shared" si="4"/>
        <v>5</v>
      </c>
    </row>
    <row r="54" spans="2:17" ht="12.75">
      <c r="B54" s="1"/>
      <c r="Q54">
        <f>AVERAGE(Q47:Q53)</f>
        <v>4.7142857142857144</v>
      </c>
    </row>
    <row r="55" spans="2:17" ht="12.75">
      <c r="B55" s="70" t="s">
        <v>12</v>
      </c>
      <c r="C55" s="71"/>
      <c r="D55" s="62" t="s">
        <v>108</v>
      </c>
      <c r="E55" s="72"/>
      <c r="F55" s="72"/>
    </row>
    <row r="56" spans="2:17" ht="35.25">
      <c r="B56" s="3" t="s">
        <v>11</v>
      </c>
      <c r="C56" s="3" t="s">
        <v>27</v>
      </c>
      <c r="D56" s="54" t="s">
        <v>28</v>
      </c>
      <c r="E56" s="54" t="s">
        <v>29</v>
      </c>
      <c r="F56" s="54" t="s">
        <v>30</v>
      </c>
      <c r="G56" s="3" t="s">
        <v>16</v>
      </c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2:17" ht="36">
      <c r="B57" s="4">
        <v>1</v>
      </c>
      <c r="C57" s="45" t="s">
        <v>31</v>
      </c>
      <c r="D57" s="46"/>
      <c r="E57" s="46" t="s">
        <v>32</v>
      </c>
      <c r="F57" s="46"/>
      <c r="G57" s="55"/>
      <c r="Q57">
        <f>COUNTA(D57)*5 +COUNTA(E57)*4+COUNTA(F57)*1</f>
        <v>4</v>
      </c>
    </row>
    <row r="58" spans="2:17" ht="23.25">
      <c r="B58" s="4">
        <v>2</v>
      </c>
      <c r="C58" s="45" t="s">
        <v>33</v>
      </c>
      <c r="D58" s="46"/>
      <c r="E58" s="47" t="s">
        <v>32</v>
      </c>
      <c r="F58" s="46"/>
      <c r="G58" s="46"/>
      <c r="Q58">
        <f t="shared" ref="Q58:Q63" si="5">COUNTA(D58)*5 +COUNTA(E58)*4+COUNTA(F58)*1</f>
        <v>4</v>
      </c>
    </row>
    <row r="59" spans="2:17" ht="12.75">
      <c r="B59" s="4">
        <v>3</v>
      </c>
      <c r="C59" s="45" t="s">
        <v>34</v>
      </c>
      <c r="D59" s="46" t="s">
        <v>32</v>
      </c>
      <c r="E59" s="46"/>
      <c r="F59" s="46"/>
      <c r="G59" s="46"/>
      <c r="Q59">
        <f t="shared" si="5"/>
        <v>5</v>
      </c>
    </row>
    <row r="60" spans="2:17" ht="23.25">
      <c r="B60" s="4">
        <v>4</v>
      </c>
      <c r="C60" s="45" t="s">
        <v>35</v>
      </c>
      <c r="D60" s="46" t="s">
        <v>32</v>
      </c>
      <c r="E60" s="46"/>
      <c r="F60" s="46"/>
      <c r="G60" s="46"/>
      <c r="H60" s="5"/>
      <c r="Q60">
        <f t="shared" si="5"/>
        <v>5</v>
      </c>
    </row>
    <row r="61" spans="2:17" ht="23.25">
      <c r="B61" s="4">
        <v>5</v>
      </c>
      <c r="C61" s="45" t="s">
        <v>36</v>
      </c>
      <c r="D61" s="46" t="s">
        <v>32</v>
      </c>
      <c r="E61" s="46"/>
      <c r="F61" s="46"/>
      <c r="G61" s="46"/>
      <c r="H61" s="5"/>
      <c r="Q61">
        <f t="shared" si="5"/>
        <v>5</v>
      </c>
    </row>
    <row r="62" spans="2:17" ht="23.25">
      <c r="B62" s="4">
        <v>6</v>
      </c>
      <c r="C62" s="45" t="s">
        <v>37</v>
      </c>
      <c r="D62" s="46" t="s">
        <v>32</v>
      </c>
      <c r="E62" s="46"/>
      <c r="F62" s="46"/>
      <c r="G62" s="46"/>
      <c r="H62" s="5"/>
      <c r="Q62">
        <f t="shared" si="5"/>
        <v>5</v>
      </c>
    </row>
    <row r="63" spans="2:17" ht="12.75">
      <c r="B63" s="4">
        <v>7</v>
      </c>
      <c r="C63" s="45" t="s">
        <v>38</v>
      </c>
      <c r="D63" s="48" t="s">
        <v>32</v>
      </c>
      <c r="E63" s="48"/>
      <c r="F63" s="49"/>
      <c r="G63" s="49"/>
      <c r="H63" s="5"/>
      <c r="Q63">
        <f t="shared" si="5"/>
        <v>5</v>
      </c>
    </row>
    <row r="64" spans="2:17" ht="12.75">
      <c r="B64" s="1"/>
      <c r="Q64">
        <f>AVERAGE(Q57:Q63)</f>
        <v>4.7142857142857144</v>
      </c>
    </row>
    <row r="65" spans="2:17" ht="12.75">
      <c r="B65" s="70" t="s">
        <v>12</v>
      </c>
      <c r="C65" s="71"/>
      <c r="D65" s="62" t="s">
        <v>109</v>
      </c>
      <c r="E65" s="72"/>
      <c r="F65" s="72"/>
    </row>
    <row r="66" spans="2:17" ht="36">
      <c r="B66" s="3" t="s">
        <v>11</v>
      </c>
      <c r="C66" s="3" t="s">
        <v>27</v>
      </c>
      <c r="D66" s="54" t="s">
        <v>28</v>
      </c>
      <c r="E66" s="54" t="s">
        <v>29</v>
      </c>
      <c r="F66" s="54" t="s">
        <v>30</v>
      </c>
      <c r="G66" s="3" t="s">
        <v>16</v>
      </c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2:17" ht="36">
      <c r="B67" s="4">
        <v>1</v>
      </c>
      <c r="C67" s="45" t="s">
        <v>31</v>
      </c>
      <c r="D67" s="46"/>
      <c r="E67" s="46" t="s">
        <v>32</v>
      </c>
      <c r="F67" s="46"/>
      <c r="G67" s="55"/>
      <c r="Q67">
        <f>COUNTA(D67)*5 +COUNTA(E67)*4+COUNTA(F67)*1</f>
        <v>4</v>
      </c>
    </row>
    <row r="68" spans="2:17" ht="24">
      <c r="B68" s="4">
        <v>2</v>
      </c>
      <c r="C68" s="45" t="s">
        <v>33</v>
      </c>
      <c r="D68" s="46"/>
      <c r="E68" s="47" t="s">
        <v>32</v>
      </c>
      <c r="F68" s="46"/>
      <c r="G68" s="46"/>
      <c r="Q68">
        <f t="shared" ref="Q68:Q73" si="6">COUNTA(D68)*5 +COUNTA(E68)*4+COUNTA(F68)*1</f>
        <v>4</v>
      </c>
    </row>
    <row r="69" spans="2:17" ht="12.75">
      <c r="B69" s="4">
        <v>3</v>
      </c>
      <c r="C69" s="45" t="s">
        <v>34</v>
      </c>
      <c r="D69" s="46" t="s">
        <v>32</v>
      </c>
      <c r="E69" s="46"/>
      <c r="F69" s="46"/>
      <c r="G69" s="46"/>
      <c r="Q69">
        <f t="shared" si="6"/>
        <v>5</v>
      </c>
    </row>
    <row r="70" spans="2:17" ht="24">
      <c r="B70" s="4">
        <v>4</v>
      </c>
      <c r="C70" s="45" t="s">
        <v>35</v>
      </c>
      <c r="D70" s="46" t="s">
        <v>32</v>
      </c>
      <c r="E70" s="46"/>
      <c r="F70" s="46"/>
      <c r="G70" s="46"/>
      <c r="H70" s="5"/>
      <c r="Q70">
        <f t="shared" si="6"/>
        <v>5</v>
      </c>
    </row>
    <row r="71" spans="2:17" ht="24">
      <c r="B71" s="4">
        <v>5</v>
      </c>
      <c r="C71" s="45" t="s">
        <v>36</v>
      </c>
      <c r="D71" s="46" t="s">
        <v>32</v>
      </c>
      <c r="E71" s="46"/>
      <c r="F71" s="46"/>
      <c r="G71" s="46"/>
      <c r="H71" s="5"/>
      <c r="Q71">
        <f t="shared" si="6"/>
        <v>5</v>
      </c>
    </row>
    <row r="72" spans="2:17" ht="24">
      <c r="B72" s="4">
        <v>6</v>
      </c>
      <c r="C72" s="45" t="s">
        <v>37</v>
      </c>
      <c r="D72" s="46" t="s">
        <v>32</v>
      </c>
      <c r="E72" s="46"/>
      <c r="F72" s="46"/>
      <c r="G72" s="46"/>
      <c r="H72" s="5"/>
      <c r="Q72">
        <f t="shared" si="6"/>
        <v>5</v>
      </c>
    </row>
    <row r="73" spans="2:17" ht="12.75">
      <c r="B73" s="4">
        <v>7</v>
      </c>
      <c r="C73" s="45" t="s">
        <v>38</v>
      </c>
      <c r="D73" s="48" t="s">
        <v>32</v>
      </c>
      <c r="E73" s="48"/>
      <c r="F73" s="49"/>
      <c r="G73" s="49"/>
      <c r="H73" s="5"/>
      <c r="Q73">
        <f t="shared" si="6"/>
        <v>5</v>
      </c>
    </row>
    <row r="74" spans="2:17" ht="12.75">
      <c r="B74" s="1"/>
      <c r="Q74">
        <f>AVERAGE(Q67:Q73)</f>
        <v>4.7142857142857144</v>
      </c>
    </row>
    <row r="75" spans="2:17" ht="12.75">
      <c r="B75" s="70" t="s">
        <v>12</v>
      </c>
      <c r="C75" s="71"/>
      <c r="D75" s="62" t="s">
        <v>110</v>
      </c>
      <c r="E75" s="72"/>
      <c r="F75" s="72"/>
    </row>
    <row r="76" spans="2:17" ht="36">
      <c r="B76" s="3" t="s">
        <v>11</v>
      </c>
      <c r="C76" s="3" t="s">
        <v>27</v>
      </c>
      <c r="D76" s="54" t="s">
        <v>28</v>
      </c>
      <c r="E76" s="54" t="s">
        <v>29</v>
      </c>
      <c r="F76" s="54" t="s">
        <v>30</v>
      </c>
      <c r="G76" s="3" t="s">
        <v>16</v>
      </c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2:17" ht="36">
      <c r="B77" s="4">
        <v>1</v>
      </c>
      <c r="C77" s="45" t="s">
        <v>31</v>
      </c>
      <c r="D77" s="46"/>
      <c r="E77" s="46" t="s">
        <v>32</v>
      </c>
      <c r="F77" s="46"/>
      <c r="G77" s="55"/>
      <c r="Q77">
        <f>COUNTA(D77)*5 +COUNTA(E77)*4+COUNTA(F77)*1</f>
        <v>4</v>
      </c>
    </row>
    <row r="78" spans="2:17" ht="24">
      <c r="B78" s="4">
        <v>2</v>
      </c>
      <c r="C78" s="45" t="s">
        <v>33</v>
      </c>
      <c r="D78" s="46"/>
      <c r="E78" s="47" t="s">
        <v>32</v>
      </c>
      <c r="F78" s="46"/>
      <c r="G78" s="46"/>
      <c r="Q78">
        <f t="shared" ref="Q78:Q83" si="7">COUNTA(D78)*5 +COUNTA(E78)*4+COUNTA(F78)*1</f>
        <v>4</v>
      </c>
    </row>
    <row r="79" spans="2:17" ht="12.75">
      <c r="B79" s="4">
        <v>3</v>
      </c>
      <c r="C79" s="45" t="s">
        <v>34</v>
      </c>
      <c r="D79" s="46" t="s">
        <v>32</v>
      </c>
      <c r="E79" s="46"/>
      <c r="F79" s="46"/>
      <c r="G79" s="46"/>
      <c r="Q79">
        <f t="shared" si="7"/>
        <v>5</v>
      </c>
    </row>
    <row r="80" spans="2:17" ht="24">
      <c r="B80" s="4">
        <v>4</v>
      </c>
      <c r="C80" s="45" t="s">
        <v>35</v>
      </c>
      <c r="D80" s="46" t="s">
        <v>32</v>
      </c>
      <c r="E80" s="46"/>
      <c r="F80" s="46"/>
      <c r="G80" s="46"/>
      <c r="H80" s="5"/>
      <c r="Q80">
        <f t="shared" si="7"/>
        <v>5</v>
      </c>
    </row>
    <row r="81" spans="2:17" ht="24">
      <c r="B81" s="4">
        <v>5</v>
      </c>
      <c r="C81" s="45" t="s">
        <v>36</v>
      </c>
      <c r="D81" s="46" t="s">
        <v>32</v>
      </c>
      <c r="E81" s="46"/>
      <c r="F81" s="46"/>
      <c r="G81" s="46"/>
      <c r="H81" s="5"/>
      <c r="Q81">
        <f t="shared" si="7"/>
        <v>5</v>
      </c>
    </row>
    <row r="82" spans="2:17" ht="24">
      <c r="B82" s="4">
        <v>6</v>
      </c>
      <c r="C82" s="45" t="s">
        <v>37</v>
      </c>
      <c r="D82" s="46" t="s">
        <v>32</v>
      </c>
      <c r="E82" s="46"/>
      <c r="F82" s="46"/>
      <c r="G82" s="46"/>
      <c r="H82" s="5"/>
      <c r="Q82">
        <f t="shared" si="7"/>
        <v>5</v>
      </c>
    </row>
    <row r="83" spans="2:17" ht="12.75">
      <c r="B83" s="4">
        <v>7</v>
      </c>
      <c r="C83" s="45" t="s">
        <v>38</v>
      </c>
      <c r="D83" s="48" t="s">
        <v>32</v>
      </c>
      <c r="E83" s="48"/>
      <c r="F83" s="49"/>
      <c r="G83" s="49"/>
      <c r="H83" s="5"/>
      <c r="Q83">
        <f t="shared" si="7"/>
        <v>5</v>
      </c>
    </row>
    <row r="84" spans="2:17" ht="12.75">
      <c r="B84" s="1"/>
      <c r="Q84">
        <f>AVERAGE(Q77:Q83)</f>
        <v>4.7142857142857144</v>
      </c>
    </row>
    <row r="85" spans="2:17" ht="12.75">
      <c r="B85" s="70" t="s">
        <v>12</v>
      </c>
      <c r="C85" s="71"/>
      <c r="D85" s="62" t="s">
        <v>111</v>
      </c>
      <c r="E85" s="72"/>
      <c r="F85" s="72"/>
    </row>
    <row r="86" spans="2:17" ht="36">
      <c r="B86" s="3" t="s">
        <v>11</v>
      </c>
      <c r="C86" s="3" t="s">
        <v>27</v>
      </c>
      <c r="D86" s="54" t="s">
        <v>28</v>
      </c>
      <c r="E86" s="54" t="s">
        <v>29</v>
      </c>
      <c r="F86" s="54" t="s">
        <v>30</v>
      </c>
      <c r="G86" s="3" t="s">
        <v>16</v>
      </c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2:17" ht="36">
      <c r="B87" s="4">
        <v>1</v>
      </c>
      <c r="C87" s="45" t="s">
        <v>31</v>
      </c>
      <c r="D87" s="46"/>
      <c r="E87" s="46" t="s">
        <v>32</v>
      </c>
      <c r="F87" s="46"/>
      <c r="G87" s="55"/>
      <c r="Q87">
        <f>COUNTA(D87)*5 +COUNTA(E87)*4+COUNTA(F87)*1</f>
        <v>4</v>
      </c>
    </row>
    <row r="88" spans="2:17" ht="24">
      <c r="B88" s="4">
        <v>2</v>
      </c>
      <c r="C88" s="45" t="s">
        <v>33</v>
      </c>
      <c r="D88" s="46"/>
      <c r="E88" s="47" t="s">
        <v>32</v>
      </c>
      <c r="F88" s="46"/>
      <c r="G88" s="46"/>
      <c r="Q88">
        <f t="shared" ref="Q88:Q93" si="8">COUNTA(D88)*5 +COUNTA(E88)*4+COUNTA(F88)*1</f>
        <v>4</v>
      </c>
    </row>
    <row r="89" spans="2:17" ht="12.75">
      <c r="B89" s="4">
        <v>3</v>
      </c>
      <c r="C89" s="45" t="s">
        <v>34</v>
      </c>
      <c r="D89" s="46" t="s">
        <v>32</v>
      </c>
      <c r="E89" s="46"/>
      <c r="F89" s="46"/>
      <c r="G89" s="46"/>
      <c r="Q89">
        <f t="shared" si="8"/>
        <v>5</v>
      </c>
    </row>
    <row r="90" spans="2:17" ht="24">
      <c r="B90" s="4">
        <v>4</v>
      </c>
      <c r="C90" s="45" t="s">
        <v>35</v>
      </c>
      <c r="D90" s="46" t="s">
        <v>32</v>
      </c>
      <c r="E90" s="46"/>
      <c r="F90" s="46"/>
      <c r="G90" s="46"/>
      <c r="H90" s="5"/>
      <c r="Q90">
        <f t="shared" si="8"/>
        <v>5</v>
      </c>
    </row>
    <row r="91" spans="2:17" ht="24">
      <c r="B91" s="4">
        <v>5</v>
      </c>
      <c r="C91" s="45" t="s">
        <v>36</v>
      </c>
      <c r="D91" s="46" t="s">
        <v>32</v>
      </c>
      <c r="E91" s="46"/>
      <c r="F91" s="46"/>
      <c r="G91" s="46"/>
      <c r="H91" s="5"/>
      <c r="Q91">
        <f t="shared" si="8"/>
        <v>5</v>
      </c>
    </row>
    <row r="92" spans="2:17" ht="24">
      <c r="B92" s="4">
        <v>6</v>
      </c>
      <c r="C92" s="45" t="s">
        <v>37</v>
      </c>
      <c r="D92" s="46" t="s">
        <v>32</v>
      </c>
      <c r="E92" s="46"/>
      <c r="F92" s="46"/>
      <c r="G92" s="46"/>
      <c r="H92" s="5"/>
      <c r="Q92">
        <f t="shared" si="8"/>
        <v>5</v>
      </c>
    </row>
    <row r="93" spans="2:17" ht="12.75">
      <c r="B93" s="4">
        <v>7</v>
      </c>
      <c r="C93" s="45" t="s">
        <v>38</v>
      </c>
      <c r="D93" s="48" t="s">
        <v>32</v>
      </c>
      <c r="E93" s="48"/>
      <c r="F93" s="49"/>
      <c r="G93" s="49"/>
      <c r="H93" s="5"/>
      <c r="Q93">
        <f t="shared" si="8"/>
        <v>5</v>
      </c>
    </row>
    <row r="94" spans="2:17" ht="12.75">
      <c r="B94" s="1"/>
      <c r="Q94">
        <f>AVERAGE(Q87:Q93)</f>
        <v>4.7142857142857144</v>
      </c>
    </row>
    <row r="95" spans="2:17" ht="12.75">
      <c r="B95" s="1"/>
    </row>
    <row r="96" spans="2:17" ht="12.75">
      <c r="B96" s="1"/>
    </row>
    <row r="97" spans="2:2" ht="12.75">
      <c r="B97" s="1"/>
    </row>
    <row r="98" spans="2:2" ht="12.75">
      <c r="B98" s="1"/>
    </row>
    <row r="99" spans="2:2" ht="12.75">
      <c r="B99" s="1"/>
    </row>
    <row r="100" spans="2:2" ht="12.75">
      <c r="B100" s="1"/>
    </row>
    <row r="101" spans="2:2" ht="12.75">
      <c r="B101" s="1"/>
    </row>
    <row r="102" spans="2:2" ht="12.75">
      <c r="B102" s="1"/>
    </row>
    <row r="103" spans="2:2" ht="12.75">
      <c r="B103" s="1"/>
    </row>
    <row r="104" spans="2:2" ht="12.75">
      <c r="B104" s="1"/>
    </row>
    <row r="105" spans="2:2" ht="12.75">
      <c r="B105" s="1"/>
    </row>
    <row r="106" spans="2:2" ht="12.75">
      <c r="B106" s="1"/>
    </row>
    <row r="107" spans="2:2" ht="12.75">
      <c r="B107" s="1"/>
    </row>
    <row r="108" spans="2:2" ht="12.75">
      <c r="B108" s="1"/>
    </row>
    <row r="109" spans="2:2" ht="12.75">
      <c r="B109" s="1"/>
    </row>
    <row r="110" spans="2:2" ht="12.75">
      <c r="B110" s="1"/>
    </row>
    <row r="111" spans="2:2" ht="12.75">
      <c r="B111" s="1"/>
    </row>
    <row r="112" spans="2:2" ht="12.75">
      <c r="B112" s="1"/>
    </row>
    <row r="113" spans="2:2" ht="12.75">
      <c r="B113" s="1"/>
    </row>
    <row r="114" spans="2:2" ht="12.75">
      <c r="B114" s="1"/>
    </row>
    <row r="115" spans="2:2" ht="12.75">
      <c r="B115" s="1"/>
    </row>
    <row r="116" spans="2:2" ht="12.75">
      <c r="B116" s="1"/>
    </row>
    <row r="117" spans="2:2" ht="12.75">
      <c r="B117" s="1"/>
    </row>
    <row r="118" spans="2:2" ht="12.75">
      <c r="B118" s="1"/>
    </row>
    <row r="119" spans="2:2" ht="12.75">
      <c r="B119" s="1"/>
    </row>
    <row r="120" spans="2:2" ht="12.75">
      <c r="B120" s="1"/>
    </row>
    <row r="121" spans="2:2" ht="12.75">
      <c r="B121" s="1"/>
    </row>
    <row r="122" spans="2:2" ht="12.75">
      <c r="B122" s="1"/>
    </row>
    <row r="123" spans="2:2" ht="12.75">
      <c r="B123" s="1"/>
    </row>
    <row r="124" spans="2:2" ht="12.75">
      <c r="B124" s="1"/>
    </row>
    <row r="125" spans="2:2" ht="12.75">
      <c r="B125" s="1"/>
    </row>
    <row r="126" spans="2:2" ht="12.75">
      <c r="B126" s="1"/>
    </row>
    <row r="127" spans="2:2" ht="12.75">
      <c r="B127" s="1"/>
    </row>
    <row r="128" spans="2:2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  <row r="939" spans="2:2" ht="12.75">
      <c r="B939" s="1"/>
    </row>
    <row r="940" spans="2:2" ht="12.75">
      <c r="B940" s="1"/>
    </row>
    <row r="941" spans="2:2" ht="12.75">
      <c r="B941" s="1"/>
    </row>
    <row r="942" spans="2:2" ht="12.75">
      <c r="B942" s="1"/>
    </row>
    <row r="943" spans="2:2" ht="12.75">
      <c r="B943" s="1"/>
    </row>
    <row r="944" spans="2:2" ht="12.75">
      <c r="B944" s="1"/>
    </row>
  </sheetData>
  <mergeCells count="18">
    <mergeCell ref="B85:C85"/>
    <mergeCell ref="D85:F85"/>
    <mergeCell ref="B75:C75"/>
    <mergeCell ref="D75:F75"/>
    <mergeCell ref="B65:C65"/>
    <mergeCell ref="D65:F65"/>
    <mergeCell ref="B5:C5"/>
    <mergeCell ref="D5:F5"/>
    <mergeCell ref="B15:C15"/>
    <mergeCell ref="D15:F15"/>
    <mergeCell ref="B25:C25"/>
    <mergeCell ref="D25:F25"/>
    <mergeCell ref="B55:C55"/>
    <mergeCell ref="D55:F55"/>
    <mergeCell ref="B45:C45"/>
    <mergeCell ref="D45:F45"/>
    <mergeCell ref="B35:C35"/>
    <mergeCell ref="D35:F35"/>
  </mergeCells>
  <pageMargins left="0" right="0" top="0" bottom="0" header="0" footer="0"/>
  <pageSetup paperSize="8" fitToWidth="0" fitToHeight="0" orientation="landscape"/>
  <headerFooter>
    <oddFooter>&amp;R_x000D_&amp;1#&amp;"Calibri"&amp;8&amp;K000000 Cisco Confidential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3E7F-4AE0-47EB-9A8E-31B16051F4EB}">
  <dimension ref="A2:O14"/>
  <sheetViews>
    <sheetView workbookViewId="0">
      <selection activeCell="J29" sqref="J29:J31"/>
    </sheetView>
  </sheetViews>
  <sheetFormatPr defaultRowHeight="12.6"/>
  <cols>
    <col min="13" max="13" width="32.140625" customWidth="1"/>
    <col min="14" max="14" width="9.42578125" bestFit="1" customWidth="1"/>
  </cols>
  <sheetData>
    <row r="2" spans="1:15" ht="26.1">
      <c r="B2" s="3" t="s">
        <v>113</v>
      </c>
      <c r="C2" s="3" t="s">
        <v>114</v>
      </c>
      <c r="D2" s="3" t="s">
        <v>115</v>
      </c>
      <c r="E2" s="3" t="s">
        <v>116</v>
      </c>
      <c r="F2" s="3" t="s">
        <v>117</v>
      </c>
    </row>
    <row r="3" spans="1:15">
      <c r="A3" t="s">
        <v>118</v>
      </c>
      <c r="B3">
        <v>5</v>
      </c>
      <c r="C3">
        <v>4</v>
      </c>
      <c r="D3">
        <v>3</v>
      </c>
      <c r="E3">
        <v>2</v>
      </c>
      <c r="F3">
        <v>1</v>
      </c>
    </row>
    <row r="11" spans="1:15" ht="12.75">
      <c r="M11" s="60" t="s">
        <v>119</v>
      </c>
      <c r="N11" s="60" t="s">
        <v>12</v>
      </c>
      <c r="O11" s="60" t="s">
        <v>120</v>
      </c>
    </row>
    <row r="12" spans="1:15" ht="23.25">
      <c r="M12" s="58" t="s">
        <v>121</v>
      </c>
      <c r="N12" s="59">
        <v>45960</v>
      </c>
      <c r="O12" s="7" t="s">
        <v>122</v>
      </c>
    </row>
    <row r="13" spans="1:15" ht="12.75">
      <c r="M13" s="7" t="s">
        <v>123</v>
      </c>
      <c r="N13" s="59">
        <v>45961</v>
      </c>
      <c r="O13" s="7" t="s">
        <v>122</v>
      </c>
    </row>
    <row r="14" spans="1:15" ht="23.25">
      <c r="M14" s="58" t="s">
        <v>124</v>
      </c>
      <c r="N14" s="59">
        <v>45960</v>
      </c>
      <c r="O14" s="7" t="s">
        <v>125</v>
      </c>
    </row>
  </sheetData>
  <pageMargins left="0.7" right="0.7" top="0.75" bottom="0.75" header="0.3" footer="0.3"/>
  <headerFooter>
    <oddFooter>&amp;R_x000D_&amp;1#&amp;"Calibri"&amp;8&amp;K000000 Cisco Confidential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35BF-A01F-4804-967D-6615050EFB86}">
  <dimension ref="B3:K9"/>
  <sheetViews>
    <sheetView showGridLines="0" workbookViewId="0">
      <selection activeCell="J11" sqref="J11"/>
    </sheetView>
  </sheetViews>
  <sheetFormatPr defaultRowHeight="12.6"/>
  <sheetData>
    <row r="3" spans="2:11" ht="18">
      <c r="B3" s="68" t="s">
        <v>126</v>
      </c>
      <c r="C3" s="69"/>
      <c r="D3" s="69"/>
      <c r="E3" s="69"/>
      <c r="F3" s="16"/>
      <c r="G3" s="16"/>
      <c r="H3" s="16"/>
      <c r="I3" s="16"/>
      <c r="J3" s="16"/>
      <c r="K3" s="17"/>
    </row>
    <row r="4" spans="2:11">
      <c r="B4" s="18"/>
      <c r="K4" s="19"/>
    </row>
    <row r="5" spans="2:11">
      <c r="B5" s="24" t="s">
        <v>127</v>
      </c>
      <c r="C5" s="25"/>
      <c r="D5" s="25"/>
      <c r="E5" s="25"/>
      <c r="F5" s="25"/>
      <c r="G5" s="25"/>
      <c r="H5" s="25"/>
      <c r="I5" s="25"/>
      <c r="J5" s="25"/>
      <c r="K5" s="26"/>
    </row>
    <row r="6" spans="2:11">
      <c r="B6" s="65" t="s">
        <v>128</v>
      </c>
      <c r="C6" s="66"/>
      <c r="D6" s="66"/>
      <c r="E6" s="66"/>
      <c r="F6" s="66"/>
      <c r="G6" s="66"/>
      <c r="H6" s="66"/>
      <c r="I6" s="66"/>
      <c r="J6" s="66"/>
      <c r="K6" s="26"/>
    </row>
    <row r="7" spans="2:11">
      <c r="B7" s="65" t="s">
        <v>129</v>
      </c>
      <c r="C7" s="66"/>
      <c r="D7" s="66"/>
      <c r="E7" s="66"/>
      <c r="F7" s="66"/>
      <c r="G7" s="66"/>
      <c r="H7" s="66"/>
      <c r="I7" s="66"/>
      <c r="J7" s="66"/>
      <c r="K7" s="67"/>
    </row>
    <row r="8" spans="2:11">
      <c r="B8" s="18"/>
      <c r="K8" s="19"/>
    </row>
    <row r="9" spans="2:11">
      <c r="B9" s="20"/>
      <c r="C9" s="21"/>
      <c r="D9" s="21"/>
      <c r="E9" s="21"/>
      <c r="F9" s="21"/>
      <c r="G9" s="21"/>
      <c r="H9" s="21"/>
      <c r="I9" s="21"/>
      <c r="J9" s="21"/>
      <c r="K9" s="22"/>
    </row>
  </sheetData>
  <mergeCells count="3">
    <mergeCell ref="B7:K7"/>
    <mergeCell ref="B3:E3"/>
    <mergeCell ref="B6:J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xmlns="" id="ms-officescript%3A%2F%2Fonedrive_business_itemlink%2F01SFBVPM7PNZNZOWNHQJGZ6VAVMTHCWRYU:ms-officescript%3A%2F%2Fonedrive_business_sharinglink%2Fu!aHR0cHM6Ly9yZWxldmFudHp0ZWNoLW15LnNoYXJlcG9pbnQuY29tLzp1Oi9nL3BlcnNvbmFsL2dhbmFwYXRoaXJhbWFuX2JhbGFzdWJyYW1hbmlhbl9yZWxldmFudHpfY29tL0VlOXVXNWRacDRKTm4xUVZaTTRyUnhRQlExWUdKTDVwLURoMWEyTnkxUzF3bFE"/>
</scriptIds>
</file>

<file path=customXml/itemProps1.xml><?xml version="1.0" encoding="utf-8"?>
<ds:datastoreItem xmlns:ds="http://schemas.openxmlformats.org/officeDocument/2006/customXml" ds:itemID="{2B90DF03-0D2A-4C70-843B-C3084450E3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Ganapathi Raman Balasubramanian</cp:lastModifiedBy>
  <cp:revision/>
  <dcterms:created xsi:type="dcterms:W3CDTF">2024-03-01T11:57:38Z</dcterms:created>
  <dcterms:modified xsi:type="dcterms:W3CDTF">2026-05-13T17:16:24Z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2024-08-21T11:49:16Z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7660677a-9211-4bab-a3b0-a5db89566cde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defa4170-0d19-0005-0004-bc88714345d2_Enabled">
    <vt:lpwstr>true</vt:lpwstr>
  </property>
  <property fmtid="{D5CDD505-2E9C-101B-9397-08002B2CF9AE}" pid="10" name="MSIP_Label_defa4170-0d19-0005-0004-bc88714345d2_SetDate">
    <vt:lpwstr>2025-03-25T16:50:19Z</vt:lpwstr>
  </property>
  <property fmtid="{D5CDD505-2E9C-101B-9397-08002B2CF9AE}" pid="11" name="MSIP_Label_defa4170-0d19-0005-0004-bc88714345d2_Method">
    <vt:lpwstr>Standard</vt:lpwstr>
  </property>
  <property fmtid="{D5CDD505-2E9C-101B-9397-08002B2CF9AE}" pid="12" name="MSIP_Label_defa4170-0d19-0005-0004-bc88714345d2_Name">
    <vt:lpwstr>defa4170-0d19-0005-0004-bc88714345d2</vt:lpwstr>
  </property>
  <property fmtid="{D5CDD505-2E9C-101B-9397-08002B2CF9AE}" pid="13" name="MSIP_Label_defa4170-0d19-0005-0004-bc88714345d2_SiteId">
    <vt:lpwstr>fe66d7b1-c17e-4ba8-a08d-2e146117dc7e</vt:lpwstr>
  </property>
  <property fmtid="{D5CDD505-2E9C-101B-9397-08002B2CF9AE}" pid="14" name="MSIP_Label_defa4170-0d19-0005-0004-bc88714345d2_ActionId">
    <vt:lpwstr>eb61a24b-1d86-4a6a-815f-78872dcc185f</vt:lpwstr>
  </property>
  <property fmtid="{D5CDD505-2E9C-101B-9397-08002B2CF9AE}" pid="15" name="MSIP_Label_defa4170-0d19-0005-0004-bc88714345d2_ContentBits">
    <vt:lpwstr>0</vt:lpwstr>
  </property>
  <property fmtid="{D5CDD505-2E9C-101B-9397-08002B2CF9AE}" pid="16" name="MSIP_Label_defa4170-0d19-0005-0004-bc88714345d2_Tag">
    <vt:lpwstr>10, 3, 0, 2</vt:lpwstr>
  </property>
</Properties>
</file>