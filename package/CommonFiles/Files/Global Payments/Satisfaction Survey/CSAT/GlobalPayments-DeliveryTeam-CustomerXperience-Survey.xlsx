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gaysukum\Downloads\"/>
    </mc:Choice>
  </mc:AlternateContent>
  <xr:revisionPtr revIDLastSave="775" documentId="8_{91CBF59C-FEBE-4792-BF38-985743D71422}" xr6:coauthVersionLast="47" xr6:coauthVersionMax="47" xr10:uidLastSave="{9F40F841-E371-477E-82A8-C440B9B760D1}"/>
  <bookViews>
    <workbookView xWindow="-110" yWindow="-110" windowWidth="19420" windowHeight="11500" firstSheet="5" activeTab="11" xr2:uid="{00000000-000D-0000-FFFF-FFFF00000000}"/>
  </bookViews>
  <sheets>
    <sheet name="Revision History" sheetId="3" r:id="rId1"/>
    <sheet name="GGO Web" sheetId="19" r:id="rId2"/>
    <sheet name="GGO OnlineBidding" sheetId="20" r:id="rId3"/>
    <sheet name="Dashboard" sheetId="9" state="hidden" r:id="rId4"/>
    <sheet name="GGO Mobile" sheetId="18" r:id="rId5"/>
    <sheet name="MSB Mobile" sheetId="16" r:id="rId6"/>
    <sheet name="MSB Web US" sheetId="17" r:id="rId7"/>
    <sheet name="MSB Kaleida" sheetId="23" r:id="rId8"/>
    <sheet name="MSB DevServices" sheetId="15" r:id="rId9"/>
    <sheet name="MSB Activities" sheetId="14" r:id="rId10"/>
    <sheet name="TXP to Transit" sheetId="26" r:id="rId11"/>
    <sheet name="Hosted Payments" sheetId="24" r:id="rId12"/>
    <sheet name="MSB Accounting" sheetId="13" r:id="rId13"/>
    <sheet name="MCS Wave" sheetId="22" r:id="rId14"/>
    <sheet name="MCS" sheetId="12" r:id="rId15"/>
    <sheet name="MealOrders-US" sheetId="11" r:id="rId16"/>
    <sheet name="FOH" sheetId="10" r:id="rId17"/>
    <sheet name="BOH" sheetId="8" r:id="rId18"/>
    <sheet name="&lt;Project-2&gt;" sheetId="1" r:id="rId19"/>
    <sheet name="Config" sheetId="4" r:id="rId20"/>
    <sheet name="Instructions" sheetId="5" r:id="rId21"/>
    <sheet name="Action Items" sheetId="21"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2" i="16" l="1"/>
  <c r="Q121" i="16"/>
  <c r="Q120" i="16"/>
  <c r="Q119" i="16"/>
  <c r="Q118" i="16"/>
  <c r="Q117" i="16"/>
  <c r="Q116" i="16"/>
  <c r="Q115" i="16"/>
  <c r="Q110" i="10"/>
  <c r="Q109" i="10"/>
  <c r="Q108" i="10"/>
  <c r="Q107" i="10"/>
  <c r="Q106" i="10"/>
  <c r="Q105" i="10"/>
  <c r="Q104" i="10"/>
  <c r="Q103" i="10"/>
  <c r="Q98" i="14"/>
  <c r="Q97" i="14"/>
  <c r="Q96" i="14"/>
  <c r="Q95" i="14"/>
  <c r="Q94" i="14"/>
  <c r="Q93" i="14"/>
  <c r="Q92" i="14"/>
  <c r="Q91" i="14"/>
  <c r="Q122" i="12"/>
  <c r="Q121" i="12"/>
  <c r="Q120" i="12"/>
  <c r="Q119" i="12"/>
  <c r="Q118" i="12"/>
  <c r="Q117" i="12"/>
  <c r="Q116" i="12"/>
  <c r="Q115" i="12"/>
  <c r="Q110" i="11"/>
  <c r="Q109" i="11"/>
  <c r="Q108" i="11"/>
  <c r="Q107" i="11"/>
  <c r="Q106" i="11"/>
  <c r="Q105" i="11"/>
  <c r="Q104" i="11"/>
  <c r="Q103" i="11"/>
  <c r="Q110" i="8"/>
  <c r="Q109" i="8"/>
  <c r="Q108" i="8"/>
  <c r="Q107" i="8"/>
  <c r="Q106" i="8"/>
  <c r="Q105" i="8"/>
  <c r="Q104" i="8"/>
  <c r="Q103" i="8"/>
  <c r="Q110" i="17"/>
  <c r="Q109" i="17"/>
  <c r="Q108" i="17"/>
  <c r="Q107" i="17"/>
  <c r="Q106" i="17"/>
  <c r="Q105" i="17"/>
  <c r="Q104" i="17"/>
  <c r="Q103" i="17"/>
  <c r="Q50" i="23"/>
  <c r="Q49" i="23"/>
  <c r="Q48" i="23"/>
  <c r="Q47" i="23"/>
  <c r="Q46" i="23"/>
  <c r="Q45" i="23"/>
  <c r="Q44" i="23"/>
  <c r="Q43" i="23"/>
  <c r="Q98" i="15"/>
  <c r="Q97" i="15"/>
  <c r="Q96" i="15"/>
  <c r="Q95" i="15"/>
  <c r="Q94" i="15"/>
  <c r="Q93" i="15"/>
  <c r="Q92" i="15"/>
  <c r="Q91" i="15"/>
  <c r="L50" i="24"/>
  <c r="L49" i="24"/>
  <c r="L48" i="24"/>
  <c r="L47" i="24"/>
  <c r="L46" i="24"/>
  <c r="L45" i="24"/>
  <c r="L44" i="24"/>
  <c r="L43" i="24"/>
  <c r="Q133" i="18"/>
  <c r="Q132" i="18"/>
  <c r="Q131" i="18"/>
  <c r="Q130" i="18"/>
  <c r="Q129" i="18"/>
  <c r="Q128" i="18"/>
  <c r="Q127" i="18"/>
  <c r="Q126" i="18"/>
  <c r="Q170" i="20"/>
  <c r="Q169" i="20"/>
  <c r="Q168" i="20"/>
  <c r="Q167" i="20"/>
  <c r="Q166" i="20"/>
  <c r="Q165" i="20"/>
  <c r="Q164" i="20"/>
  <c r="Q163" i="20"/>
  <c r="Q158" i="20"/>
  <c r="Q157" i="20"/>
  <c r="Q156" i="20"/>
  <c r="Q155" i="20"/>
  <c r="Q154" i="20"/>
  <c r="Q153" i="20"/>
  <c r="Q152" i="20"/>
  <c r="Q151" i="20"/>
  <c r="Q158" i="19"/>
  <c r="Q157" i="19"/>
  <c r="Q156" i="19"/>
  <c r="Q155" i="19"/>
  <c r="Q154" i="19"/>
  <c r="Q153" i="19"/>
  <c r="Q152" i="19"/>
  <c r="Q151" i="19"/>
  <c r="Q110" i="16"/>
  <c r="Q109" i="16"/>
  <c r="Q108" i="16"/>
  <c r="Q107" i="16"/>
  <c r="Q106" i="16"/>
  <c r="Q105" i="16"/>
  <c r="Q104" i="16"/>
  <c r="Q103" i="16"/>
  <c r="Q98" i="10"/>
  <c r="Q97" i="10"/>
  <c r="Q96" i="10"/>
  <c r="Q95" i="10"/>
  <c r="Q94" i="10"/>
  <c r="Q93" i="10"/>
  <c r="Q92" i="10"/>
  <c r="Q91" i="10"/>
  <c r="L38" i="24"/>
  <c r="L37" i="24"/>
  <c r="L36" i="24"/>
  <c r="L35" i="24"/>
  <c r="L34" i="24"/>
  <c r="L33" i="24"/>
  <c r="L32" i="24"/>
  <c r="L31" i="24"/>
  <c r="Q122" i="18"/>
  <c r="Q121" i="18"/>
  <c r="Q120" i="18"/>
  <c r="Q119" i="18"/>
  <c r="Q118" i="18"/>
  <c r="Q117" i="18"/>
  <c r="Q116" i="18"/>
  <c r="Q115" i="18"/>
  <c r="Q146" i="20"/>
  <c r="Q145" i="20"/>
  <c r="Q144" i="20"/>
  <c r="Q143" i="20"/>
  <c r="Q142" i="20"/>
  <c r="Q141" i="20"/>
  <c r="Q140" i="20"/>
  <c r="Q139" i="20"/>
  <c r="Q146" i="19"/>
  <c r="Q145" i="19"/>
  <c r="Q144" i="19"/>
  <c r="Q143" i="19"/>
  <c r="Q142" i="19"/>
  <c r="Q141" i="19"/>
  <c r="Q140" i="19"/>
  <c r="Q139" i="19"/>
  <c r="Q110" i="12"/>
  <c r="Q109" i="12"/>
  <c r="Q108" i="12"/>
  <c r="Q107" i="12"/>
  <c r="Q106" i="12"/>
  <c r="Q105" i="12"/>
  <c r="Q104" i="12"/>
  <c r="Q103" i="12"/>
  <c r="Q110" i="22"/>
  <c r="Q109" i="22"/>
  <c r="Q108" i="22"/>
  <c r="Q107" i="22"/>
  <c r="Q106" i="22"/>
  <c r="Q105" i="22"/>
  <c r="Q104" i="22"/>
  <c r="Q103" i="22"/>
  <c r="Q98" i="11"/>
  <c r="Q97" i="11"/>
  <c r="Q96" i="11"/>
  <c r="Q95" i="11"/>
  <c r="Q94" i="11"/>
  <c r="Q93" i="11"/>
  <c r="Q92" i="11"/>
  <c r="Q91" i="11"/>
  <c r="Q86" i="11"/>
  <c r="Q85" i="11"/>
  <c r="Q84" i="11"/>
  <c r="Q83" i="11"/>
  <c r="Q82" i="11"/>
  <c r="Q81" i="11"/>
  <c r="Q80" i="11"/>
  <c r="Q79" i="11"/>
  <c r="Q98" i="8"/>
  <c r="Q97" i="8"/>
  <c r="Q96" i="8"/>
  <c r="Q95" i="8"/>
  <c r="Q94" i="8"/>
  <c r="Q93" i="8"/>
  <c r="Q92" i="8"/>
  <c r="Q91" i="8"/>
  <c r="Q86" i="8"/>
  <c r="Q85" i="8"/>
  <c r="Q84" i="8"/>
  <c r="Q83" i="8"/>
  <c r="Q82" i="8"/>
  <c r="Q81" i="8"/>
  <c r="Q80" i="8"/>
  <c r="Q79" i="8"/>
  <c r="Q86" i="10"/>
  <c r="Q85" i="10"/>
  <c r="Q84" i="10"/>
  <c r="Q83" i="10"/>
  <c r="Q82" i="10"/>
  <c r="Q81" i="10"/>
  <c r="Q80" i="10"/>
  <c r="Q79" i="10"/>
  <c r="Q110" i="18"/>
  <c r="Q109" i="18"/>
  <c r="Q108" i="18"/>
  <c r="Q107" i="18"/>
  <c r="Q106" i="18"/>
  <c r="Q105" i="18"/>
  <c r="Q104" i="18"/>
  <c r="Q103" i="18"/>
  <c r="Q134" i="20"/>
  <c r="Q133" i="20"/>
  <c r="Q132" i="20"/>
  <c r="Q131" i="20"/>
  <c r="Q130" i="20"/>
  <c r="Q129" i="20"/>
  <c r="Q128" i="20"/>
  <c r="Q127" i="20"/>
  <c r="Q134" i="19"/>
  <c r="Q133" i="19"/>
  <c r="Q132" i="19"/>
  <c r="Q131" i="19"/>
  <c r="Q130" i="19"/>
  <c r="Q129" i="19"/>
  <c r="Q128" i="19"/>
  <c r="Q127" i="19"/>
  <c r="Q98" i="17"/>
  <c r="Q97" i="17"/>
  <c r="Q96" i="17"/>
  <c r="Q95" i="17"/>
  <c r="Q94" i="17"/>
  <c r="Q93" i="17"/>
  <c r="Q92" i="17"/>
  <c r="Q91" i="17"/>
  <c r="Q38" i="23"/>
  <c r="Q37" i="23"/>
  <c r="Q36" i="23"/>
  <c r="Q35" i="23"/>
  <c r="Q34" i="23"/>
  <c r="Q33" i="23"/>
  <c r="Q32" i="23"/>
  <c r="Q31" i="23"/>
  <c r="Q86" i="15"/>
  <c r="Q85" i="15"/>
  <c r="Q84" i="15"/>
  <c r="Q83" i="15"/>
  <c r="Q82" i="15"/>
  <c r="Q81" i="15"/>
  <c r="Q80" i="15"/>
  <c r="Q79" i="15"/>
  <c r="Q98" i="22"/>
  <c r="Q97" i="22"/>
  <c r="Q96" i="22"/>
  <c r="Q95" i="22"/>
  <c r="Q94" i="22"/>
  <c r="Q93" i="22"/>
  <c r="Q92" i="22"/>
  <c r="Q91" i="22"/>
  <c r="Q98" i="12"/>
  <c r="Q97" i="12"/>
  <c r="Q96" i="12"/>
  <c r="Q95" i="12"/>
  <c r="Q94" i="12"/>
  <c r="Q93" i="12"/>
  <c r="Q92" i="12"/>
  <c r="Q91" i="12"/>
  <c r="Q14" i="26"/>
  <c r="Q13" i="26"/>
  <c r="Q12" i="26"/>
  <c r="Q11" i="26"/>
  <c r="Q10" i="26"/>
  <c r="Q9" i="26"/>
  <c r="Q8" i="26"/>
  <c r="Q7" i="26"/>
  <c r="L26" i="24"/>
  <c r="L25" i="24"/>
  <c r="L24" i="24"/>
  <c r="L23" i="24"/>
  <c r="L22" i="24"/>
  <c r="L21" i="24"/>
  <c r="L20" i="24"/>
  <c r="L19" i="24"/>
  <c r="Q98" i="18"/>
  <c r="Q97" i="18"/>
  <c r="Q96" i="18"/>
  <c r="Q95" i="18"/>
  <c r="Q94" i="18"/>
  <c r="Q93" i="18"/>
  <c r="Q92" i="18"/>
  <c r="Q91" i="18"/>
  <c r="Q122" i="20"/>
  <c r="Q121" i="20"/>
  <c r="Q120" i="20"/>
  <c r="Q119" i="20"/>
  <c r="Q118" i="20"/>
  <c r="Q117" i="20"/>
  <c r="Q116" i="20"/>
  <c r="Q115" i="20"/>
  <c r="Q122" i="19"/>
  <c r="Q121" i="19"/>
  <c r="Q120" i="19"/>
  <c r="Q119" i="19"/>
  <c r="Q118" i="19"/>
  <c r="Q117" i="19"/>
  <c r="Q116" i="19"/>
  <c r="Q115" i="19"/>
  <c r="Q86" i="18"/>
  <c r="Q85" i="18"/>
  <c r="Q84" i="18"/>
  <c r="Q83" i="18"/>
  <c r="Q82" i="18"/>
  <c r="Q81" i="18"/>
  <c r="Q80" i="18"/>
  <c r="Q79" i="18"/>
  <c r="Q74" i="18"/>
  <c r="Q73" i="18"/>
  <c r="Q72" i="18"/>
  <c r="Q71" i="18"/>
  <c r="Q70" i="18"/>
  <c r="Q69" i="18"/>
  <c r="Q68" i="18"/>
  <c r="Q67" i="18"/>
  <c r="Q110" i="20"/>
  <c r="Q109" i="20"/>
  <c r="Q108" i="20"/>
  <c r="Q107" i="20"/>
  <c r="Q106" i="20"/>
  <c r="Q105" i="20"/>
  <c r="Q104" i="20"/>
  <c r="Q103" i="20"/>
  <c r="Q110" i="19"/>
  <c r="Q109" i="19"/>
  <c r="Q108" i="19"/>
  <c r="Q107" i="19"/>
  <c r="Q106" i="19"/>
  <c r="Q105" i="19"/>
  <c r="Q104" i="19"/>
  <c r="Q103" i="19"/>
  <c r="Q98" i="16"/>
  <c r="Q97" i="16"/>
  <c r="Q96" i="16"/>
  <c r="Q95" i="16"/>
  <c r="Q94" i="16"/>
  <c r="Q93" i="16"/>
  <c r="Q92" i="16"/>
  <c r="Q91" i="16"/>
  <c r="Q74" i="15"/>
  <c r="Q73" i="15"/>
  <c r="Q72" i="15"/>
  <c r="Q71" i="15"/>
  <c r="Q70" i="15"/>
  <c r="Q69" i="15"/>
  <c r="Q68" i="15"/>
  <c r="Q67" i="15"/>
  <c r="Q26" i="23"/>
  <c r="Q25" i="23"/>
  <c r="Q24" i="23"/>
  <c r="Q23" i="23"/>
  <c r="Q22" i="23"/>
  <c r="Q21" i="23"/>
  <c r="Q20" i="23"/>
  <c r="Q19" i="23"/>
  <c r="Q86" i="17"/>
  <c r="Q85" i="17"/>
  <c r="Q84" i="17"/>
  <c r="Q83" i="17"/>
  <c r="Q82" i="17"/>
  <c r="Q81" i="17"/>
  <c r="Q80" i="17"/>
  <c r="Q79" i="17"/>
  <c r="Q98" i="19"/>
  <c r="Q97" i="19"/>
  <c r="Q96" i="19"/>
  <c r="Q95" i="19"/>
  <c r="Q94" i="19"/>
  <c r="Q93" i="19"/>
  <c r="Q92" i="19"/>
  <c r="Q91" i="19"/>
  <c r="Q98" i="20"/>
  <c r="Q97" i="20"/>
  <c r="Q96" i="20"/>
  <c r="Q95" i="20"/>
  <c r="Q94" i="20"/>
  <c r="Q93" i="20"/>
  <c r="Q92" i="20"/>
  <c r="Q91" i="20"/>
  <c r="Q86" i="20"/>
  <c r="Q85" i="20"/>
  <c r="Q84" i="20"/>
  <c r="Q83" i="20"/>
  <c r="Q82" i="20"/>
  <c r="Q81" i="20"/>
  <c r="Q80" i="20"/>
  <c r="Q79" i="20"/>
  <c r="Q86" i="19"/>
  <c r="Q85" i="19"/>
  <c r="Q84" i="19"/>
  <c r="Q83" i="19"/>
  <c r="Q82" i="19"/>
  <c r="Q81" i="19"/>
  <c r="Q80" i="19"/>
  <c r="Q79" i="19"/>
  <c r="Q86" i="14"/>
  <c r="Q85" i="14"/>
  <c r="Q84" i="14"/>
  <c r="Q83" i="14"/>
  <c r="Q82" i="14"/>
  <c r="Q81" i="14"/>
  <c r="Q80" i="14"/>
  <c r="Q79" i="14"/>
  <c r="Q62" i="18"/>
  <c r="Q61" i="18"/>
  <c r="Q60" i="18"/>
  <c r="Q59" i="18"/>
  <c r="Q58" i="18"/>
  <c r="Q57" i="18"/>
  <c r="Q56" i="18"/>
  <c r="Q55" i="18"/>
  <c r="Q86" i="12"/>
  <c r="Q85" i="12"/>
  <c r="Q84" i="12"/>
  <c r="Q83" i="12"/>
  <c r="Q82" i="12"/>
  <c r="Q81" i="12"/>
  <c r="Q80" i="12"/>
  <c r="Q79" i="12"/>
  <c r="Q86" i="22"/>
  <c r="Q85" i="22"/>
  <c r="Q84" i="22"/>
  <c r="Q83" i="22"/>
  <c r="Q82" i="22"/>
  <c r="Q81" i="22"/>
  <c r="Q80" i="22"/>
  <c r="Q79" i="22"/>
  <c r="Q86" i="16"/>
  <c r="Q85" i="16"/>
  <c r="Q84" i="16"/>
  <c r="Q83" i="16"/>
  <c r="Q82" i="16"/>
  <c r="Q81" i="16"/>
  <c r="Q80" i="16"/>
  <c r="Q79" i="16"/>
  <c r="Q74" i="8"/>
  <c r="Q73" i="8"/>
  <c r="Q72" i="8"/>
  <c r="Q71" i="8"/>
  <c r="Q70" i="8"/>
  <c r="Q69" i="8"/>
  <c r="Q68" i="8"/>
  <c r="Q67" i="8"/>
  <c r="Q74" i="11"/>
  <c r="Q73" i="11"/>
  <c r="Q72" i="11"/>
  <c r="Q71" i="11"/>
  <c r="Q70" i="11"/>
  <c r="Q69" i="11"/>
  <c r="Q68" i="11"/>
  <c r="Q67" i="11"/>
  <c r="L14" i="24"/>
  <c r="L13" i="24"/>
  <c r="L12" i="24"/>
  <c r="L11" i="24"/>
  <c r="L10" i="24"/>
  <c r="L9" i="24"/>
  <c r="L8" i="24"/>
  <c r="L7" i="24"/>
  <c r="Q74" i="20"/>
  <c r="Q73" i="20"/>
  <c r="Q72" i="20"/>
  <c r="Q71" i="20"/>
  <c r="Q70" i="20"/>
  <c r="Q69" i="20"/>
  <c r="Q68" i="20"/>
  <c r="Q67" i="20"/>
  <c r="Q74" i="19"/>
  <c r="Q73" i="19"/>
  <c r="Q72" i="19"/>
  <c r="Q71" i="19"/>
  <c r="Q70" i="19"/>
  <c r="Q69" i="19"/>
  <c r="Q68" i="19"/>
  <c r="Q67" i="19"/>
  <c r="Q14" i="23"/>
  <c r="Q13" i="23"/>
  <c r="Q12" i="23"/>
  <c r="Q11" i="23"/>
  <c r="Q10" i="23"/>
  <c r="Q9" i="23"/>
  <c r="Q8" i="23"/>
  <c r="Q7" i="23"/>
  <c r="Q62" i="15"/>
  <c r="Q61" i="15"/>
  <c r="Q60" i="15"/>
  <c r="Q59" i="15"/>
  <c r="Q58" i="15"/>
  <c r="Q57" i="15"/>
  <c r="Q56" i="15"/>
  <c r="Q55" i="15"/>
  <c r="Q74" i="17"/>
  <c r="Q73" i="17"/>
  <c r="Q72" i="17"/>
  <c r="Q71" i="17"/>
  <c r="Q70" i="17"/>
  <c r="Q69" i="17"/>
  <c r="Q68" i="17"/>
  <c r="Q67" i="17"/>
  <c r="Q74" i="10"/>
  <c r="Q73" i="10"/>
  <c r="Q72" i="10"/>
  <c r="Q71" i="10"/>
  <c r="Q70" i="10"/>
  <c r="Q69" i="10"/>
  <c r="Q68" i="10"/>
  <c r="Q67" i="10"/>
  <c r="Q74" i="14"/>
  <c r="Q73" i="14"/>
  <c r="Q72" i="14"/>
  <c r="Q71" i="14"/>
  <c r="Q70" i="14"/>
  <c r="Q69" i="14"/>
  <c r="Q68" i="14"/>
  <c r="Q67" i="14"/>
  <c r="Q74" i="12"/>
  <c r="Q73" i="12"/>
  <c r="Q72" i="12"/>
  <c r="Q71" i="12"/>
  <c r="Q70" i="12"/>
  <c r="Q69" i="12"/>
  <c r="Q68" i="12"/>
  <c r="Q67" i="12"/>
  <c r="Q74" i="22"/>
  <c r="Q73" i="22"/>
  <c r="Q72" i="22"/>
  <c r="Q71" i="22"/>
  <c r="Q70" i="22"/>
  <c r="Q69" i="22"/>
  <c r="Q68" i="22"/>
  <c r="Q67" i="22"/>
  <c r="Q62" i="20"/>
  <c r="Q61" i="20"/>
  <c r="Q60" i="20"/>
  <c r="Q59" i="20"/>
  <c r="Q58" i="20"/>
  <c r="Q57" i="20"/>
  <c r="Q56" i="20"/>
  <c r="Q55" i="20"/>
  <c r="Q62" i="19"/>
  <c r="Q61" i="19"/>
  <c r="Q60" i="19"/>
  <c r="Q59" i="19"/>
  <c r="Q58" i="19"/>
  <c r="Q57" i="19"/>
  <c r="Q56" i="19"/>
  <c r="Q55" i="19"/>
  <c r="Q74" i="16"/>
  <c r="Q73" i="16"/>
  <c r="Q72" i="16"/>
  <c r="Q71" i="16"/>
  <c r="Q70" i="16"/>
  <c r="Q69" i="16"/>
  <c r="Q68" i="16"/>
  <c r="Q67" i="16"/>
  <c r="Q62" i="11"/>
  <c r="Q61" i="11"/>
  <c r="Q60" i="11"/>
  <c r="Q59" i="11"/>
  <c r="Q58" i="11"/>
  <c r="Q57" i="11"/>
  <c r="Q56" i="11"/>
  <c r="Q55" i="11"/>
  <c r="Q62" i="8"/>
  <c r="Q61" i="8"/>
  <c r="Q60" i="8"/>
  <c r="Q59" i="8"/>
  <c r="Q58" i="8"/>
  <c r="Q57" i="8"/>
  <c r="Q56" i="8"/>
  <c r="Q55" i="8"/>
  <c r="Q62" i="22"/>
  <c r="Q61" i="22"/>
  <c r="Q60" i="22"/>
  <c r="Q59" i="22"/>
  <c r="Q58" i="22"/>
  <c r="Q57" i="22"/>
  <c r="Q56" i="22"/>
  <c r="Q55" i="22"/>
  <c r="Q62" i="12"/>
  <c r="Q61" i="12"/>
  <c r="Q60" i="12"/>
  <c r="Q59" i="12"/>
  <c r="Q58" i="12"/>
  <c r="Q57" i="12"/>
  <c r="Q56" i="12"/>
  <c r="Q55" i="12"/>
  <c r="Q62" i="10"/>
  <c r="Q61" i="10"/>
  <c r="Q60" i="10"/>
  <c r="Q59" i="10"/>
  <c r="Q58" i="10"/>
  <c r="Q57" i="10"/>
  <c r="Q56" i="10"/>
  <c r="Q55" i="10"/>
  <c r="Q62" i="14"/>
  <c r="Q61" i="14"/>
  <c r="Q60" i="14"/>
  <c r="Q59" i="14"/>
  <c r="Q58" i="14"/>
  <c r="Q57" i="14"/>
  <c r="Q56" i="14"/>
  <c r="Q55" i="14"/>
  <c r="Q50" i="18"/>
  <c r="Q49" i="18"/>
  <c r="Q48" i="18"/>
  <c r="Q47" i="18"/>
  <c r="Q46" i="18"/>
  <c r="Q45" i="18"/>
  <c r="Q44" i="18"/>
  <c r="Q43" i="18"/>
  <c r="Q50" i="19"/>
  <c r="Q49" i="19"/>
  <c r="Q48" i="19"/>
  <c r="Q47" i="19"/>
  <c r="Q46" i="19"/>
  <c r="Q45" i="19"/>
  <c r="Q44" i="19"/>
  <c r="Q43" i="19"/>
  <c r="Q50" i="20"/>
  <c r="Q49" i="20"/>
  <c r="Q48" i="20"/>
  <c r="Q47" i="20"/>
  <c r="Q46" i="20"/>
  <c r="Q45" i="20"/>
  <c r="Q44" i="20"/>
  <c r="Q43" i="20"/>
  <c r="Q62" i="16"/>
  <c r="Q61" i="16"/>
  <c r="Q60" i="16"/>
  <c r="Q59" i="16"/>
  <c r="Q58" i="16"/>
  <c r="Q57" i="16"/>
  <c r="Q56" i="16"/>
  <c r="Q55" i="16"/>
  <c r="Q62" i="17"/>
  <c r="Q61" i="17"/>
  <c r="Q60" i="17"/>
  <c r="Q59" i="17"/>
  <c r="Q58" i="17"/>
  <c r="Q57" i="17"/>
  <c r="Q56" i="17"/>
  <c r="Q55" i="17"/>
  <c r="Q50" i="22"/>
  <c r="Q49" i="22"/>
  <c r="Q48" i="22"/>
  <c r="Q47" i="22"/>
  <c r="Q46" i="22"/>
  <c r="Q45" i="22"/>
  <c r="Q44" i="22"/>
  <c r="Q43" i="22"/>
  <c r="Q38" i="22"/>
  <c r="Q37" i="22"/>
  <c r="Q36" i="22"/>
  <c r="Q35" i="22"/>
  <c r="Q34" i="22"/>
  <c r="Q33" i="22"/>
  <c r="Q32" i="22"/>
  <c r="Q31" i="22"/>
  <c r="Q26" i="22"/>
  <c r="Q25" i="22"/>
  <c r="Q24" i="22"/>
  <c r="Q23" i="22"/>
  <c r="Q22" i="22"/>
  <c r="Q21" i="22"/>
  <c r="Q20" i="22"/>
  <c r="Q19" i="22"/>
  <c r="Q14" i="22"/>
  <c r="Q13" i="22"/>
  <c r="Q12" i="22"/>
  <c r="Q11" i="22"/>
  <c r="Q10" i="22"/>
  <c r="Q9" i="22"/>
  <c r="Q8" i="22"/>
  <c r="Q7" i="22"/>
  <c r="Q50" i="8"/>
  <c r="Q49" i="8"/>
  <c r="Q48" i="8"/>
  <c r="Q47" i="8"/>
  <c r="Q46" i="8"/>
  <c r="Q45" i="8"/>
  <c r="Q44" i="8"/>
  <c r="Q43" i="8"/>
  <c r="Q50" i="11"/>
  <c r="Q49" i="11"/>
  <c r="Q48" i="11"/>
  <c r="Q47" i="11"/>
  <c r="Q46" i="11"/>
  <c r="Q45" i="11"/>
  <c r="Q44" i="11"/>
  <c r="Q43" i="11"/>
  <c r="Q50" i="12"/>
  <c r="Q49" i="12"/>
  <c r="Q48" i="12"/>
  <c r="Q47" i="12"/>
  <c r="Q46" i="12"/>
  <c r="Q45" i="12"/>
  <c r="Q44" i="12"/>
  <c r="Q43" i="12"/>
  <c r="Q38" i="20"/>
  <c r="Q37" i="20"/>
  <c r="Q36" i="20"/>
  <c r="Q35" i="20"/>
  <c r="Q34" i="20"/>
  <c r="Q33" i="20"/>
  <c r="Q32" i="20"/>
  <c r="Q31" i="20"/>
  <c r="Q38" i="19"/>
  <c r="Q37" i="19"/>
  <c r="Q36" i="19"/>
  <c r="Q35" i="19"/>
  <c r="Q34" i="19"/>
  <c r="Q33" i="19"/>
  <c r="Q32" i="19"/>
  <c r="Q31" i="19"/>
  <c r="Q50" i="15"/>
  <c r="Q49" i="15"/>
  <c r="Q48" i="15"/>
  <c r="Q47" i="15"/>
  <c r="Q46" i="15"/>
  <c r="Q45" i="15"/>
  <c r="Q44" i="15"/>
  <c r="Q43" i="15"/>
  <c r="Q50" i="17"/>
  <c r="Q49" i="17"/>
  <c r="Q48" i="17"/>
  <c r="Q47" i="17"/>
  <c r="Q46" i="17"/>
  <c r="Q45" i="17"/>
  <c r="Q44" i="17"/>
  <c r="Q43" i="17"/>
  <c r="Q50" i="10"/>
  <c r="Q49" i="10"/>
  <c r="Q48" i="10"/>
  <c r="Q47" i="10"/>
  <c r="Q46" i="10"/>
  <c r="Q45" i="10"/>
  <c r="Q44" i="10"/>
  <c r="Q43" i="10"/>
  <c r="Q38" i="18"/>
  <c r="Q37" i="18"/>
  <c r="Q36" i="18"/>
  <c r="Q35" i="18"/>
  <c r="Q34" i="18"/>
  <c r="Q33" i="18"/>
  <c r="Q32" i="18"/>
  <c r="Q31" i="18"/>
  <c r="Q50" i="14"/>
  <c r="Q49" i="14"/>
  <c r="Q48" i="14"/>
  <c r="Q47" i="14"/>
  <c r="Q46" i="14"/>
  <c r="Q45" i="14"/>
  <c r="Q44" i="14"/>
  <c r="Q43" i="14"/>
  <c r="Q50" i="16"/>
  <c r="Q49" i="16"/>
  <c r="Q48" i="16"/>
  <c r="Q47" i="16"/>
  <c r="Q46" i="16"/>
  <c r="Q45" i="16"/>
  <c r="Q44" i="16"/>
  <c r="Q43" i="16"/>
  <c r="Q25" i="19"/>
  <c r="Q23" i="19"/>
  <c r="Q21" i="19"/>
  <c r="Q26" i="20"/>
  <c r="Q25" i="20"/>
  <c r="Q24" i="20"/>
  <c r="Q23" i="20"/>
  <c r="Q22" i="20"/>
  <c r="Q21" i="20"/>
  <c r="Q20" i="20"/>
  <c r="Q19" i="20"/>
  <c r="Q26" i="19"/>
  <c r="Q24" i="19"/>
  <c r="Q22" i="19"/>
  <c r="Q20" i="19"/>
  <c r="Q19" i="19"/>
  <c r="Q38" i="12"/>
  <c r="Q37" i="12"/>
  <c r="Q36" i="12"/>
  <c r="Q35" i="12"/>
  <c r="Q34" i="12"/>
  <c r="Q33" i="12"/>
  <c r="Q32" i="12"/>
  <c r="Q31" i="12"/>
  <c r="Q38" i="11"/>
  <c r="Q37" i="11"/>
  <c r="Q36" i="11"/>
  <c r="Q35" i="11"/>
  <c r="Q34" i="11"/>
  <c r="Q33" i="11"/>
  <c r="Q32" i="11"/>
  <c r="Q31" i="11"/>
  <c r="Q38" i="8"/>
  <c r="Q37" i="8"/>
  <c r="Q36" i="8"/>
  <c r="Q35" i="8"/>
  <c r="Q34" i="8"/>
  <c r="Q33" i="8"/>
  <c r="Q32" i="8"/>
  <c r="Q31" i="8"/>
  <c r="Q38" i="15"/>
  <c r="Q37" i="15"/>
  <c r="Q36" i="15"/>
  <c r="Q35" i="15"/>
  <c r="Q34" i="15"/>
  <c r="Q33" i="15"/>
  <c r="Q32" i="15"/>
  <c r="Q31" i="15"/>
  <c r="Q40" i="13"/>
  <c r="Q38" i="17"/>
  <c r="Q40" i="17" s="1"/>
  <c r="Q37" i="17"/>
  <c r="Q36" i="17"/>
  <c r="Q35" i="17"/>
  <c r="Q34" i="17"/>
  <c r="Q33" i="17"/>
  <c r="Q32" i="17"/>
  <c r="Q31" i="17"/>
  <c r="Q38" i="13"/>
  <c r="Q37" i="13"/>
  <c r="Q36" i="13"/>
  <c r="Q35" i="13"/>
  <c r="Q34" i="13"/>
  <c r="Q33" i="13"/>
  <c r="Q32" i="13"/>
  <c r="Q31" i="13"/>
  <c r="Q38" i="10"/>
  <c r="Q40" i="10" s="1"/>
  <c r="Q37" i="10"/>
  <c r="Q36" i="10"/>
  <c r="Q35" i="10"/>
  <c r="Q34" i="10"/>
  <c r="Q33" i="10"/>
  <c r="Q32" i="10"/>
  <c r="Q31" i="10"/>
  <c r="Q16" i="18"/>
  <c r="Q28" i="17"/>
  <c r="Q16" i="17"/>
  <c r="Q40" i="16"/>
  <c r="Q28" i="16"/>
  <c r="Q28" i="13"/>
  <c r="Q16" i="13"/>
  <c r="Q28" i="12"/>
  <c r="Q16" i="12"/>
  <c r="Q28" i="11"/>
  <c r="Q16" i="11"/>
  <c r="Q28" i="10"/>
  <c r="Q16" i="10"/>
  <c r="Q38" i="14"/>
  <c r="Q37" i="14"/>
  <c r="Q36" i="14"/>
  <c r="Q35" i="14"/>
  <c r="Q34" i="14"/>
  <c r="Q33" i="14"/>
  <c r="Q32" i="14"/>
  <c r="Q31" i="14"/>
  <c r="Q26" i="15"/>
  <c r="Q25" i="15"/>
  <c r="Q24" i="15"/>
  <c r="Q23" i="15"/>
  <c r="Q22" i="15"/>
  <c r="Q21" i="15"/>
  <c r="Q20" i="15"/>
  <c r="Q19" i="15"/>
  <c r="Q14" i="20"/>
  <c r="Q16" i="20" s="1"/>
  <c r="Q13" i="20"/>
  <c r="Q12" i="20"/>
  <c r="Q11" i="20"/>
  <c r="Q10" i="20"/>
  <c r="Q9" i="20"/>
  <c r="Q8" i="20"/>
  <c r="Q7" i="20"/>
  <c r="Q14" i="19"/>
  <c r="Q13" i="19"/>
  <c r="Q12" i="19"/>
  <c r="Q11" i="19"/>
  <c r="Q10" i="19"/>
  <c r="Q9" i="19"/>
  <c r="Q8" i="19"/>
  <c r="Q7" i="19"/>
  <c r="Q26" i="18"/>
  <c r="Q28" i="18" s="1"/>
  <c r="Q25" i="18"/>
  <c r="Q24" i="18"/>
  <c r="Q23" i="18"/>
  <c r="Q22" i="18"/>
  <c r="Q21" i="18"/>
  <c r="Q20" i="18"/>
  <c r="Q19" i="18"/>
  <c r="Q26" i="17"/>
  <c r="Q25" i="17"/>
  <c r="Q24" i="17"/>
  <c r="Q23" i="17"/>
  <c r="Q22" i="17"/>
  <c r="Q21" i="17"/>
  <c r="Q20" i="17"/>
  <c r="Q19" i="17"/>
  <c r="Q14" i="18"/>
  <c r="Q13" i="18"/>
  <c r="Q12" i="18"/>
  <c r="Q11" i="18"/>
  <c r="Q10" i="18"/>
  <c r="Q9" i="18"/>
  <c r="Q8" i="18"/>
  <c r="Q7" i="18"/>
  <c r="Q14" i="17"/>
  <c r="Q13" i="17"/>
  <c r="Q12" i="17"/>
  <c r="Q11" i="17"/>
  <c r="Q10" i="17"/>
  <c r="Q9" i="17"/>
  <c r="Q8" i="17"/>
  <c r="Q7" i="17"/>
  <c r="Q38" i="16"/>
  <c r="Q37" i="16"/>
  <c r="Q36" i="16"/>
  <c r="Q35" i="16"/>
  <c r="Q34" i="16"/>
  <c r="Q33" i="16"/>
  <c r="Q32" i="16"/>
  <c r="Q31" i="16"/>
  <c r="Q26" i="16"/>
  <c r="Q25" i="16"/>
  <c r="Q24" i="16"/>
  <c r="Q23" i="16"/>
  <c r="Q22" i="16"/>
  <c r="Q21" i="16"/>
  <c r="Q20" i="16"/>
  <c r="Q19" i="16"/>
  <c r="Q14" i="16"/>
  <c r="Q13" i="16"/>
  <c r="Q12" i="16"/>
  <c r="Q11" i="16"/>
  <c r="Q10" i="16"/>
  <c r="Q9" i="16"/>
  <c r="Q8" i="16"/>
  <c r="Q7" i="16"/>
  <c r="Q16" i="16" s="1"/>
  <c r="Q7" i="15"/>
  <c r="Q14" i="15"/>
  <c r="Q13" i="15"/>
  <c r="Q12" i="15"/>
  <c r="Q11" i="15"/>
  <c r="Q10" i="15"/>
  <c r="Q9" i="15"/>
  <c r="Q8" i="15"/>
  <c r="Q26" i="14"/>
  <c r="Q25" i="14"/>
  <c r="Q24" i="14"/>
  <c r="Q23" i="14"/>
  <c r="Q22" i="14"/>
  <c r="Q21" i="14"/>
  <c r="Q20" i="14"/>
  <c r="Q19" i="14"/>
  <c r="Q14" i="14"/>
  <c r="Q13" i="14"/>
  <c r="Q12" i="14"/>
  <c r="Q11" i="14"/>
  <c r="Q10" i="14"/>
  <c r="Q9" i="14"/>
  <c r="Q8" i="14"/>
  <c r="Q7" i="14"/>
  <c r="Q26" i="13"/>
  <c r="Q25" i="13"/>
  <c r="Q24" i="13"/>
  <c r="Q23" i="13"/>
  <c r="Q22" i="13"/>
  <c r="Q21" i="13"/>
  <c r="Q20" i="13"/>
  <c r="Q19" i="13"/>
  <c r="Q14" i="13"/>
  <c r="Q13" i="13"/>
  <c r="Q12" i="13"/>
  <c r="Q11" i="13"/>
  <c r="Q10" i="13"/>
  <c r="Q9" i="13"/>
  <c r="Q8" i="13"/>
  <c r="Q7" i="13"/>
  <c r="Q26" i="12"/>
  <c r="Q25" i="12"/>
  <c r="Q24" i="12"/>
  <c r="Q23" i="12"/>
  <c r="Q22" i="12"/>
  <c r="Q21" i="12"/>
  <c r="Q20" i="12"/>
  <c r="Q19" i="12"/>
  <c r="Q14" i="12"/>
  <c r="Q13" i="12"/>
  <c r="Q12" i="12"/>
  <c r="Q11" i="12"/>
  <c r="Q10" i="12"/>
  <c r="Q9" i="12"/>
  <c r="Q8" i="12"/>
  <c r="Q7" i="12"/>
  <c r="Q14" i="11"/>
  <c r="Q13" i="11"/>
  <c r="Q12" i="11"/>
  <c r="Q11" i="11"/>
  <c r="Q10" i="11"/>
  <c r="Q9" i="11"/>
  <c r="Q8" i="11"/>
  <c r="Q7" i="11"/>
  <c r="Q26" i="11"/>
  <c r="Q25" i="11"/>
  <c r="Q24" i="11"/>
  <c r="Q23" i="11"/>
  <c r="Q22" i="11"/>
  <c r="Q21" i="11"/>
  <c r="Q20" i="11"/>
  <c r="Q19" i="11"/>
  <c r="Q26" i="10"/>
  <c r="Q25" i="10"/>
  <c r="Q24" i="10"/>
  <c r="Q23" i="10"/>
  <c r="Q22" i="10"/>
  <c r="Q21" i="10"/>
  <c r="Q20" i="10"/>
  <c r="Q19" i="10"/>
  <c r="Q14" i="10"/>
  <c r="Q13" i="10"/>
  <c r="Q12" i="10"/>
  <c r="Q11" i="10"/>
  <c r="Q10" i="10"/>
  <c r="Q9" i="10"/>
  <c r="Q8" i="10"/>
  <c r="Q7" i="10"/>
  <c r="Q26" i="8"/>
  <c r="Q25" i="8"/>
  <c r="Q24" i="8"/>
  <c r="Q23" i="8"/>
  <c r="Q22" i="8"/>
  <c r="Q21" i="8"/>
  <c r="Q20" i="8"/>
  <c r="Q19" i="8"/>
  <c r="Q14" i="8"/>
  <c r="Q13" i="8"/>
  <c r="Q12" i="8"/>
  <c r="Q11" i="8"/>
  <c r="Q10" i="8"/>
  <c r="Q9" i="8"/>
  <c r="Q8" i="8"/>
  <c r="Q7" i="8"/>
  <c r="C9" i="9"/>
  <c r="C8" i="9"/>
  <c r="C11" i="9" s="1"/>
  <c r="K68" i="1"/>
  <c r="K67" i="1"/>
  <c r="K66" i="1"/>
  <c r="K65" i="1"/>
  <c r="K64" i="1"/>
  <c r="K63" i="1"/>
  <c r="K62" i="1"/>
  <c r="K61" i="1"/>
  <c r="K60" i="1"/>
  <c r="D57" i="1" s="1"/>
  <c r="K37" i="1"/>
  <c r="K15" i="1"/>
  <c r="K23" i="1"/>
  <c r="K22" i="1"/>
  <c r="K21" i="1"/>
  <c r="K20" i="1"/>
  <c r="K19" i="1"/>
  <c r="K18" i="1"/>
  <c r="K17" i="1"/>
  <c r="K16" i="1"/>
  <c r="K45" i="1"/>
  <c r="K44" i="1"/>
  <c r="K43" i="1"/>
  <c r="K42" i="1"/>
  <c r="K41" i="1"/>
  <c r="K40" i="1"/>
  <c r="K39" i="1"/>
  <c r="K38" i="1"/>
  <c r="Q112" i="10" l="1"/>
  <c r="Q100" i="14"/>
  <c r="Q124" i="12"/>
  <c r="Q112" i="11"/>
  <c r="Q112" i="8"/>
  <c r="Q112" i="17"/>
  <c r="Q52" i="23"/>
  <c r="Q100" i="15"/>
  <c r="L52" i="24"/>
  <c r="Q172" i="20"/>
  <c r="Q160" i="20"/>
  <c r="Q160" i="19"/>
  <c r="L149" i="19" s="1"/>
  <c r="Q100" i="10"/>
  <c r="L40" i="24"/>
  <c r="Q148" i="20"/>
  <c r="Q148" i="19"/>
  <c r="L137" i="19" s="1"/>
  <c r="Q112" i="12"/>
  <c r="Q112" i="22"/>
  <c r="Q100" i="11"/>
  <c r="Q88" i="11"/>
  <c r="Q100" i="8"/>
  <c r="Q88" i="8"/>
  <c r="Q88" i="10"/>
  <c r="Q112" i="18"/>
  <c r="Q136" i="20"/>
  <c r="Q136" i="19"/>
  <c r="L125" i="19" s="1"/>
  <c r="Q100" i="17"/>
  <c r="Q40" i="23"/>
  <c r="Q88" i="15"/>
  <c r="Q100" i="22"/>
  <c r="Q100" i="12"/>
  <c r="Q16" i="26"/>
  <c r="Q17" i="26"/>
  <c r="L28" i="24"/>
  <c r="Q100" i="18"/>
  <c r="Q124" i="20"/>
  <c r="Q124" i="19"/>
  <c r="L113" i="19" s="1"/>
  <c r="Q88" i="18"/>
  <c r="Q76" i="18"/>
  <c r="Q112" i="20"/>
  <c r="Q112" i="19"/>
  <c r="L101" i="19" s="1"/>
  <c r="Q76" i="15"/>
  <c r="Q28" i="23"/>
  <c r="Q88" i="17"/>
  <c r="Q100" i="19"/>
  <c r="L89" i="19" s="1"/>
  <c r="Q100" i="20"/>
  <c r="Q88" i="20"/>
  <c r="Q88" i="19"/>
  <c r="L77" i="19" s="1"/>
  <c r="Q88" i="14"/>
  <c r="Q64" i="18"/>
  <c r="Q88" i="12"/>
  <c r="Q88" i="22"/>
  <c r="Q76" i="8"/>
  <c r="Q76" i="11"/>
  <c r="L16" i="24"/>
  <c r="Q76" i="20"/>
  <c r="Q76" i="19"/>
  <c r="L65" i="19" s="1"/>
  <c r="Q16" i="23"/>
  <c r="Q64" i="15"/>
  <c r="Q76" i="17"/>
  <c r="Q76" i="10"/>
  <c r="Q76" i="14"/>
  <c r="Q16" i="14"/>
  <c r="Q28" i="14"/>
  <c r="Q40" i="14"/>
  <c r="Q76" i="12"/>
  <c r="Q76" i="22"/>
  <c r="Q64" i="20"/>
  <c r="Q64" i="19"/>
  <c r="L53" i="19" s="1"/>
  <c r="Q64" i="11"/>
  <c r="Q64" i="8"/>
  <c r="Q64" i="22"/>
  <c r="Q64" i="12"/>
  <c r="Q64" i="10"/>
  <c r="Q64" i="14"/>
  <c r="Q52" i="18"/>
  <c r="Q52" i="19"/>
  <c r="L41" i="19" s="1"/>
  <c r="Q52" i="20"/>
  <c r="Q64" i="17"/>
  <c r="Q16" i="22"/>
  <c r="Q28" i="22"/>
  <c r="Q40" i="22"/>
  <c r="Q52" i="22"/>
  <c r="Q52" i="8"/>
  <c r="Q52" i="11"/>
  <c r="Q52" i="12"/>
  <c r="Q40" i="20"/>
  <c r="Q40" i="19"/>
  <c r="L29" i="19" s="1"/>
  <c r="Q52" i="15"/>
  <c r="Q52" i="17"/>
  <c r="Q52" i="10"/>
  <c r="Q40" i="18"/>
  <c r="Q52" i="14"/>
  <c r="Q16" i="19"/>
  <c r="L4" i="19" s="1"/>
  <c r="Q28" i="20"/>
  <c r="Q28" i="19"/>
  <c r="L17" i="19" s="1"/>
  <c r="Q40" i="12"/>
  <c r="Q40" i="11"/>
  <c r="Q40" i="8"/>
  <c r="Q16" i="8"/>
  <c r="Q28" i="8"/>
  <c r="Q40" i="15"/>
  <c r="Q16" i="15"/>
  <c r="Q28" i="15"/>
  <c r="D34" i="1"/>
  <c r="D12" i="1"/>
  <c r="M6" i="1" s="1"/>
</calcChain>
</file>

<file path=xl/sharedStrings.xml><?xml version="1.0" encoding="utf-8"?>
<sst xmlns="http://schemas.openxmlformats.org/spreadsheetml/2006/main" count="3596" uniqueCount="152">
  <si>
    <t>#</t>
  </si>
  <si>
    <t>Date</t>
  </si>
  <si>
    <t>Version</t>
  </si>
  <si>
    <t>Description</t>
  </si>
  <si>
    <t>Created By</t>
  </si>
  <si>
    <t>Remarks</t>
  </si>
  <si>
    <t>Draft</t>
  </si>
  <si>
    <t>SPO</t>
  </si>
  <si>
    <t>Baseline version</t>
  </si>
  <si>
    <t>Overall score converted out of 5, Added Intructions and Config sheet</t>
  </si>
  <si>
    <t>Changes done by Gayathri Sukumar</t>
  </si>
  <si>
    <t xml:space="preserve">Client </t>
  </si>
  <si>
    <t>Mike Horihan</t>
  </si>
  <si>
    <t>Survey Questions</t>
  </si>
  <si>
    <t>Strongly Agree</t>
  </si>
  <si>
    <t>Agree</t>
  </si>
  <si>
    <t>Neutral</t>
  </si>
  <si>
    <t>Disagree</t>
  </si>
  <si>
    <t>Strongly Disagree</t>
  </si>
  <si>
    <t>Predictability of the team (Relevantz commits what they can do and delivers what they commit)</t>
  </si>
  <si>
    <t>X</t>
  </si>
  <si>
    <t>Relevantz team shows strong ownership in its work. (Owning the problem and finding the solution)</t>
  </si>
  <si>
    <t>Relevantz team delivers on time</t>
  </si>
  <si>
    <t>Relevantz representatives acts in best interest of business deliverable</t>
  </si>
  <si>
    <t>Relevantz produces quality deliverables (CR’s quality on the revisions &amp; owned to get closed on time)</t>
  </si>
  <si>
    <t>Overall I am satisfied with Relevantz team members</t>
  </si>
  <si>
    <t>Are Pull Requests/Peer Reviews completed accurately and timely?</t>
  </si>
  <si>
    <t>Any code throwing out on Prod</t>
  </si>
  <si>
    <t>Any other callouts/sugesstions or concerns</t>
  </si>
  <si>
    <t>May-5-2025</t>
  </si>
  <si>
    <t>June-2-2025</t>
  </si>
  <si>
    <t>July-7-2025</t>
  </si>
  <si>
    <t xml:space="preserve">Kudos to Rajesh for working on the single sign on POC while Mike H was out  </t>
  </si>
  <si>
    <t>Aug-4-2025</t>
  </si>
  <si>
    <t>Sep-2-2025</t>
  </si>
  <si>
    <t>Oct-6-2025</t>
  </si>
  <si>
    <t>Nov-3-2025</t>
  </si>
  <si>
    <t>Reskin velocity is lower , Email receipt Production issue related to the RDLC report</t>
  </si>
  <si>
    <t>Dec-1-2025</t>
  </si>
  <si>
    <t xml:space="preserve">Reskin the team is working as fast as they can </t>
  </si>
  <si>
    <t>Jan-5-2026</t>
  </si>
  <si>
    <t>Feb-2-2026</t>
  </si>
  <si>
    <t>Mar-2-2026</t>
  </si>
  <si>
    <t>Apr-6-2026</t>
  </si>
  <si>
    <t>Client Manager</t>
  </si>
  <si>
    <t>Overall Score</t>
  </si>
  <si>
    <t>Any other callouts/suggestions or concerns</t>
  </si>
  <si>
    <t>Good</t>
  </si>
  <si>
    <t>&gt;= 3</t>
  </si>
  <si>
    <t>Warning</t>
  </si>
  <si>
    <t>&gt; 2 and &lt;= 4</t>
  </si>
  <si>
    <t>Alarming</t>
  </si>
  <si>
    <t>&lt; 2</t>
  </si>
  <si>
    <t>Project Name</t>
  </si>
  <si>
    <t>Overall Score out of 5</t>
  </si>
  <si>
    <t xml:space="preserve">&lt;Project-1&gt; </t>
  </si>
  <si>
    <t>&lt;Project-1&gt;</t>
  </si>
  <si>
    <t>Overall Customer Experience</t>
  </si>
  <si>
    <t>Jan-15-2025</t>
  </si>
  <si>
    <t>Y</t>
  </si>
  <si>
    <t>Mar-5-2025</t>
  </si>
  <si>
    <t>May-28-2025</t>
  </si>
  <si>
    <t>Jul-9-2025</t>
  </si>
  <si>
    <t>Oct-1-2025</t>
  </si>
  <si>
    <t>Feb-28-2025</t>
  </si>
  <si>
    <t>Mar-27-2025</t>
  </si>
  <si>
    <t>May-9-2025</t>
  </si>
  <si>
    <t>Jun-20-2025</t>
  </si>
  <si>
    <t>Jul-31-2025</t>
  </si>
  <si>
    <t>Sep-11-2025</t>
  </si>
  <si>
    <t>Nov-12-2025</t>
  </si>
  <si>
    <t>Apr-1-2026</t>
  </si>
  <si>
    <t>May-7-2026</t>
  </si>
  <si>
    <t>Team Name</t>
  </si>
  <si>
    <t>MSB Web</t>
  </si>
  <si>
    <t>George Thomas</t>
  </si>
  <si>
    <t>Jan-23-2025</t>
  </si>
  <si>
    <t>Mar-6-2025</t>
  </si>
  <si>
    <t>Apr-17-2025</t>
  </si>
  <si>
    <t>May-29-2025</t>
  </si>
  <si>
    <t>Jun-13-2025</t>
  </si>
  <si>
    <t>Aug-25-2025</t>
  </si>
  <si>
    <t>Nov-13-2025</t>
  </si>
  <si>
    <t>Jan-29-2026</t>
  </si>
  <si>
    <t>Apr-22-2026</t>
  </si>
  <si>
    <t>Team</t>
  </si>
  <si>
    <t>MSB Kaleida</t>
  </si>
  <si>
    <t>MSB Partner Integrations</t>
  </si>
  <si>
    <t>Offshore team being consistent using copilot AI peer reviews, AI peer reviews handled. Following process and avoiding redundant work. Newuteal from application , before they put up a PEER REVEW</t>
  </si>
  <si>
    <t>MSB Activities</t>
  </si>
  <si>
    <t>Brian Newby</t>
  </si>
  <si>
    <t>Relevantz Team</t>
  </si>
  <si>
    <t>Feb-27-2025</t>
  </si>
  <si>
    <t>Apr-9-2025</t>
  </si>
  <si>
    <t>May-21-2025</t>
  </si>
  <si>
    <t>Aug-13-2025</t>
  </si>
  <si>
    <t>Apr-28-2026</t>
  </si>
  <si>
    <t>Prajakthe Sathe</t>
  </si>
  <si>
    <t>Piyush</t>
  </si>
  <si>
    <t>Jan-22-2026</t>
  </si>
  <si>
    <t>Mar-5-2026</t>
  </si>
  <si>
    <t>Apr-16-2026</t>
  </si>
  <si>
    <t>Required production support</t>
  </si>
  <si>
    <t>Feb-20-2025</t>
  </si>
  <si>
    <t>Mar-20-2025</t>
  </si>
  <si>
    <t>MCS</t>
  </si>
  <si>
    <t>Client Contact</t>
  </si>
  <si>
    <t>Patrick Delinger</t>
  </si>
  <si>
    <t>Feb-3-2025</t>
  </si>
  <si>
    <t>Mar-17-2025</t>
  </si>
  <si>
    <t>Apr-29-2025</t>
  </si>
  <si>
    <t>Jun-9-2025</t>
  </si>
  <si>
    <t>Jul-14-2025</t>
  </si>
  <si>
    <t>Aug-11-2025</t>
  </si>
  <si>
    <t>Sep-22-2025</t>
  </si>
  <si>
    <t>Jan-26-2026</t>
  </si>
  <si>
    <t>Feb-23-2026</t>
  </si>
  <si>
    <t>Richard Boutin</t>
  </si>
  <si>
    <t>Apr-27-2026</t>
  </si>
  <si>
    <t>MealOrders-US</t>
  </si>
  <si>
    <t>Jul-23-2025</t>
  </si>
  <si>
    <t>Sep-4-2025</t>
  </si>
  <si>
    <t>Jan-16-2026</t>
  </si>
  <si>
    <t>Feb-16-2026</t>
  </si>
  <si>
    <t>Ying Wang</t>
  </si>
  <si>
    <t>Subhashri , Alpha,Arvinth,Atchiah,Jagan</t>
  </si>
  <si>
    <t>Jan-21-2025</t>
  </si>
  <si>
    <t>Mar-4-2025</t>
  </si>
  <si>
    <t>Apr-15-2025</t>
  </si>
  <si>
    <t>Aug-19-2025</t>
  </si>
  <si>
    <t>Feb-6-2026</t>
  </si>
  <si>
    <t>Mar-17-2026</t>
  </si>
  <si>
    <t>File was supposed to be included. Missed to add a project file which triggered a production defect.Check with team to see if there's a manual or automation case for the same</t>
  </si>
  <si>
    <t>BOH</t>
  </si>
  <si>
    <t>Apr-28-2025</t>
  </si>
  <si>
    <t>Engagement Name</t>
  </si>
  <si>
    <t>Engagement Type</t>
  </si>
  <si>
    <t>Project Owner Name</t>
  </si>
  <si>
    <t>Designation</t>
  </si>
  <si>
    <t>EmailID</t>
  </si>
  <si>
    <t>Team Size</t>
  </si>
  <si>
    <t>Relevantz team shows strong ownership in their work. (Owning the problem and finding the solution)</t>
  </si>
  <si>
    <t>Relevantz team understands the business needs/requirements</t>
  </si>
  <si>
    <t>Receptiveness/Proactiveness of Relevantz team (Readiness to listen, accept and learn, collaborative, speaks up when needed etc.,)</t>
  </si>
  <si>
    <t>Relevantz team provides the correct level of technical skills to succeed in its work.</t>
  </si>
  <si>
    <t>Receptiveness/Proactiveness of Relevantz team (Readiness to listen, accept and learn, speak up etc.,)</t>
  </si>
  <si>
    <t>Rating</t>
  </si>
  <si>
    <t>Survey Questions Section</t>
  </si>
  <si>
    <r>
      <t>1.</t>
    </r>
    <r>
      <rPr>
        <sz val="10"/>
        <color rgb="FFFF0000"/>
        <rFont val="Arial"/>
        <family val="2"/>
        <scheme val="minor"/>
      </rPr>
      <t xml:space="preserve"> DO NOT UPDATE/DELETE</t>
    </r>
    <r>
      <rPr>
        <sz val="10"/>
        <color theme="1"/>
        <rFont val="Arial"/>
        <family val="2"/>
        <scheme val="minor"/>
      </rPr>
      <t xml:space="preserve"> THE VALUE OF 'OVERAL SCORE OUT OF 5'  (IT IS AUTO CALCULATED)</t>
    </r>
  </si>
  <si>
    <r>
      <t xml:space="preserve">1. </t>
    </r>
    <r>
      <rPr>
        <sz val="10"/>
        <color rgb="FFFF0000"/>
        <rFont val="Arial"/>
        <family val="2"/>
        <scheme val="minor"/>
      </rPr>
      <t>DO NOT COPY PASTE</t>
    </r>
    <r>
      <rPr>
        <sz val="10"/>
        <color theme="1"/>
        <rFont val="Arial"/>
        <family val="2"/>
        <scheme val="minor"/>
      </rPr>
      <t xml:space="preserve"> THE RATING CELLS BETWEEN D AND I</t>
    </r>
  </si>
  <si>
    <r>
      <t xml:space="preserve">2. TO CHANGE THE RATING, </t>
    </r>
    <r>
      <rPr>
        <sz val="10"/>
        <color rgb="FFFF0000"/>
        <rFont val="Arial"/>
        <family val="2"/>
        <scheme val="minor"/>
      </rPr>
      <t>DELETE THE RATING CELL AND ENTER</t>
    </r>
    <r>
      <rPr>
        <sz val="10"/>
        <color theme="1"/>
        <rFont val="Arial"/>
        <family val="2"/>
        <scheme val="minor"/>
      </rPr>
      <t xml:space="preserve"> IN REQUIRED CELL</t>
    </r>
  </si>
  <si>
    <t>No updates from team , states analysis but then come back then say no progress. Even after giving the code they come back stating Analysis. When you are done do check the code in. We cannot use that code , some hard coded manually. Whole point of design language , Only trust her to work on java thing , font codes dont work on thet.  Make best use of the channel , shouldnt be a direct message , but should be on the channel. See some progress on adding comments , but something was missed yesterday. !st code review done and should be looked at , holding each other accountable on strong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</si>
</sst>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6">
    <font>
      <sz val="10"/>
      <color rgb="FF000000"/>
      <name val="Arial"/>
      <scheme val="minor"/>
    </font>
    <font>
      <sz val="10"/>
      <color theme="1"/>
      <name val="Arial"/>
      <family val="2"/>
      <scheme val="minor"/>
    </font>
    <font>
      <sz val="10"/>
      <color rgb="FFFFFFFF"/>
      <name val="Arial"/>
      <family val="2"/>
      <scheme val="minor"/>
    </font>
    <font>
      <sz val="10"/>
      <name val="Arial"/>
      <family val="2"/>
    </font>
    <font>
      <b/>
      <sz val="10"/>
      <color rgb="FFFFFFFF"/>
      <name val="Arial"/>
      <family val="2"/>
      <scheme val="minor"/>
    </font>
    <font>
      <b/>
      <sz val="10"/>
      <color rgb="FF38761D"/>
      <name val="Arial"/>
      <family val="2"/>
      <scheme val="minor"/>
    </font>
    <font>
      <sz val="10"/>
      <color rgb="FF222222"/>
      <name val="Arial"/>
      <family val="2"/>
    </font>
    <font>
      <b/>
      <sz val="10"/>
      <color rgb="FFFF0000"/>
      <name val="Arial"/>
      <family val="2"/>
      <scheme val="minor"/>
    </font>
    <font>
      <b/>
      <sz val="10"/>
      <color theme="0" tint="-0.34998626667073579"/>
      <name val="Arial"/>
      <family val="2"/>
      <scheme val="minor"/>
    </font>
    <font>
      <b/>
      <sz val="10"/>
      <color rgb="FFFFC000"/>
      <name val="Arial"/>
      <family val="2"/>
      <scheme val="minor"/>
    </font>
    <font>
      <sz val="10"/>
      <color rgb="FF000000"/>
      <name val="Arial"/>
      <family val="2"/>
      <scheme val="minor"/>
    </font>
    <font>
      <b/>
      <sz val="10"/>
      <color rgb="FFA6A6A6"/>
      <name val="Arial"/>
      <family val="2"/>
      <scheme val="minor"/>
    </font>
    <font>
      <b/>
      <sz val="10"/>
      <color rgb="FF000000"/>
      <name val="Arial"/>
      <family val="2"/>
      <scheme val="minor"/>
    </font>
    <font>
      <sz val="10"/>
      <color rgb="FFFF0000"/>
      <name val="Arial"/>
      <family val="2"/>
      <scheme val="minor"/>
    </font>
    <font>
      <b/>
      <u/>
      <sz val="14"/>
      <color rgb="FF000000"/>
      <name val="Arial"/>
      <family val="2"/>
      <scheme val="minor"/>
    </font>
    <font>
      <b/>
      <sz val="20"/>
      <color rgb="FF000000"/>
      <name val="Arial"/>
      <scheme val="minor"/>
    </font>
    <font>
      <b/>
      <sz val="16"/>
      <color theme="0"/>
      <name val="Arial"/>
      <scheme val="minor"/>
    </font>
    <font>
      <sz val="11"/>
      <color theme="0"/>
      <name val="Calibri"/>
      <family val="2"/>
      <scheme val="minor"/>
    </font>
    <font>
      <sz val="12"/>
      <color theme="0"/>
      <name val="Calibri"/>
      <family val="2"/>
      <scheme val="minor"/>
    </font>
    <font>
      <sz val="12"/>
      <color rgb="FF000000"/>
      <name val="Arial"/>
      <scheme val="minor"/>
    </font>
    <font>
      <sz val="10"/>
      <color theme="1"/>
      <name val="Arial"/>
    </font>
    <font>
      <b/>
      <sz val="10"/>
      <color rgb="FF38761D"/>
      <name val="Arial"/>
    </font>
    <font>
      <sz val="10"/>
      <color rgb="FF222222"/>
      <name val="Arial"/>
    </font>
    <font>
      <b/>
      <sz val="10"/>
      <color rgb="FF000000"/>
      <name val="Arial"/>
      <scheme val="minor"/>
    </font>
    <font>
      <b/>
      <sz val="10"/>
      <color theme="1"/>
      <name val="Arial"/>
      <family val="2"/>
      <scheme val="minor"/>
    </font>
    <font>
      <b/>
      <sz val="10"/>
      <name val="Arial"/>
      <family val="2"/>
    </font>
  </fonts>
  <fills count="16">
    <fill>
      <patternFill patternType="none"/>
    </fill>
    <fill>
      <patternFill patternType="gray125"/>
    </fill>
    <fill>
      <patternFill patternType="solid">
        <fgColor rgb="FF280C92"/>
        <bgColor rgb="FF280C92"/>
      </patternFill>
    </fill>
    <fill>
      <patternFill patternType="solid">
        <fgColor rgb="FF9E0B8C"/>
        <bgColor rgb="FF9E0B8C"/>
      </patternFill>
    </fill>
    <fill>
      <patternFill patternType="solid">
        <fgColor rgb="FFFFFFFF"/>
        <bgColor rgb="FFFFFFFF"/>
      </patternFill>
    </fill>
    <fill>
      <patternFill patternType="solid">
        <fgColor theme="0" tint="-0.249977111117893"/>
        <bgColor indexed="64"/>
      </patternFill>
    </fill>
    <fill>
      <patternFill patternType="solid">
        <fgColor theme="9" tint="0.39997558519241921"/>
        <bgColor indexed="64"/>
      </patternFill>
    </fill>
    <fill>
      <patternFill patternType="solid">
        <fgColor theme="0"/>
        <bgColor rgb="FF280C92"/>
      </patternFill>
    </fill>
    <fill>
      <patternFill patternType="solid">
        <fgColor rgb="FF9E0A8C"/>
        <bgColor indexed="64"/>
      </patternFill>
    </fill>
    <fill>
      <patternFill patternType="solid">
        <fgColor rgb="FF00B050"/>
        <bgColor indexed="64"/>
      </patternFill>
    </fill>
    <fill>
      <patternFill patternType="solid">
        <fgColor rgb="FFFF0000"/>
        <bgColor indexed="64"/>
      </patternFill>
    </fill>
    <fill>
      <patternFill patternType="solid">
        <fgColor rgb="FF9C2197"/>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0"/>
        <bgColor indexed="64"/>
      </patternFill>
    </fill>
    <fill>
      <patternFill patternType="solid">
        <fgColor rgb="FFFFC000"/>
        <bgColor indexed="64"/>
      </patternFill>
    </fill>
  </fills>
  <borders count="41">
    <border>
      <left/>
      <right/>
      <top/>
      <bottom/>
      <diagonal/>
    </border>
    <border>
      <left style="thin">
        <color rgb="FFF3F3F3"/>
      </left>
      <right/>
      <top style="thin">
        <color rgb="FFF3F3F3"/>
      </top>
      <bottom style="thin">
        <color rgb="FFF3F3F3"/>
      </bottom>
      <diagonal/>
    </border>
    <border>
      <left/>
      <right style="thin">
        <color rgb="FFF3F3F3"/>
      </right>
      <top style="thin">
        <color rgb="FFF3F3F3"/>
      </top>
      <bottom style="thin">
        <color rgb="FFF3F3F3"/>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F3F3F3"/>
      </left>
      <right/>
      <top style="thin">
        <color rgb="FFF3F3F3"/>
      </top>
      <bottom/>
      <diagonal/>
    </border>
    <border>
      <left/>
      <right style="thin">
        <color rgb="FFF3F3F3"/>
      </right>
      <top style="thin">
        <color rgb="FFF3F3F3"/>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F3F3F3"/>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CCCCCC"/>
      </left>
      <right/>
      <top/>
      <bottom style="thin">
        <color rgb="FFCCCCCC"/>
      </bottom>
      <diagonal/>
    </border>
    <border>
      <left/>
      <right/>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109">
    <xf numFmtId="0" fontId="0" fillId="0" borderId="0" xfId="0"/>
    <xf numFmtId="0" fontId="1" fillId="0" borderId="0" xfId="0" applyFont="1" applyAlignment="1">
      <alignment horizontal="center"/>
    </xf>
    <xf numFmtId="0" fontId="1" fillId="0" borderId="0" xfId="0" applyFont="1" applyAlignment="1">
      <alignment wrapText="1"/>
    </xf>
    <xf numFmtId="0" fontId="4" fillId="3" borderId="8" xfId="0" applyFont="1" applyFill="1" applyBorder="1" applyAlignment="1">
      <alignment horizontal="center" vertical="center" wrapText="1"/>
    </xf>
    <xf numFmtId="0" fontId="0" fillId="4" borderId="8" xfId="0" applyFill="1" applyBorder="1" applyAlignment="1">
      <alignment horizontal="center" vertical="center"/>
    </xf>
    <xf numFmtId="0" fontId="0" fillId="4" borderId="8" xfId="0" applyFill="1" applyBorder="1" applyAlignment="1">
      <alignment horizontal="left" vertical="center"/>
    </xf>
    <xf numFmtId="0" fontId="5" fillId="4" borderId="8" xfId="0" applyFont="1" applyFill="1" applyBorder="1" applyAlignment="1">
      <alignment horizontal="center" vertical="center"/>
    </xf>
    <xf numFmtId="0" fontId="6" fillId="4" borderId="0" xfId="0" applyFont="1" applyFill="1"/>
    <xf numFmtId="0" fontId="7" fillId="4" borderId="8" xfId="0" applyFont="1" applyFill="1" applyBorder="1" applyAlignment="1">
      <alignment horizontal="center" vertical="center"/>
    </xf>
    <xf numFmtId="0" fontId="8" fillId="4" borderId="8" xfId="0" applyFont="1" applyFill="1" applyBorder="1" applyAlignment="1">
      <alignment horizontal="center" vertical="center"/>
    </xf>
    <xf numFmtId="0" fontId="9" fillId="4" borderId="8" xfId="0" applyFont="1" applyFill="1" applyBorder="1" applyAlignment="1">
      <alignment horizontal="center" vertical="center"/>
    </xf>
    <xf numFmtId="0" fontId="0" fillId="4" borderId="8" xfId="0" applyFill="1" applyBorder="1" applyAlignment="1">
      <alignment horizontal="left" vertical="center" wrapText="1"/>
    </xf>
    <xf numFmtId="0" fontId="0" fillId="5" borderId="9" xfId="0" applyFill="1" applyBorder="1" applyAlignment="1">
      <alignment horizontal="center" vertical="center"/>
    </xf>
    <xf numFmtId="0" fontId="0" fillId="0" borderId="9" xfId="0" applyBorder="1"/>
    <xf numFmtId="15" fontId="0" fillId="0" borderId="9" xfId="0" applyNumberFormat="1" applyBorder="1" applyAlignment="1">
      <alignment horizontal="center"/>
    </xf>
    <xf numFmtId="0" fontId="0" fillId="0" borderId="9" xfId="0" applyBorder="1" applyAlignment="1">
      <alignment horizontal="center" vertical="center"/>
    </xf>
    <xf numFmtId="0" fontId="0" fillId="0" borderId="9" xfId="0" applyBorder="1" applyAlignment="1">
      <alignment horizontal="center"/>
    </xf>
    <xf numFmtId="0" fontId="0" fillId="0" borderId="0" xfId="0" applyAlignment="1">
      <alignment horizontal="center"/>
    </xf>
    <xf numFmtId="0" fontId="0" fillId="0" borderId="0" xfId="0" applyAlignment="1">
      <alignment horizontal="center" vertical="center"/>
    </xf>
    <xf numFmtId="0" fontId="1" fillId="0" borderId="3" xfId="0" applyFont="1" applyBorder="1" applyAlignment="1">
      <alignment horizontal="left"/>
    </xf>
    <xf numFmtId="0" fontId="3" fillId="0" borderId="4" xfId="0" applyFont="1" applyBorder="1"/>
    <xf numFmtId="0" fontId="3" fillId="0" borderId="5" xfId="0" applyFont="1" applyBorder="1"/>
    <xf numFmtId="0" fontId="0" fillId="4" borderId="0" xfId="0" applyFill="1" applyAlignment="1">
      <alignment horizontal="left" vertical="center"/>
    </xf>
    <xf numFmtId="0" fontId="3" fillId="0" borderId="0" xfId="0" applyFont="1"/>
    <xf numFmtId="0" fontId="1" fillId="0" borderId="0" xfId="0" applyFont="1" applyAlignment="1">
      <alignment horizontal="left"/>
    </xf>
    <xf numFmtId="0" fontId="2" fillId="7" borderId="0" xfId="0" applyFont="1" applyFill="1"/>
    <xf numFmtId="0" fontId="11" fillId="4" borderId="8" xfId="0" applyFont="1" applyFill="1" applyBorder="1" applyAlignment="1">
      <alignment horizontal="center" vertical="center"/>
    </xf>
    <xf numFmtId="0" fontId="10" fillId="0" borderId="9" xfId="0" applyFont="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0" fillId="0" borderId="9" xfId="0" applyFont="1" applyBorder="1" applyAlignment="1">
      <alignment wrapText="1"/>
    </xf>
    <xf numFmtId="0" fontId="1" fillId="0" borderId="16" xfId="0" applyFont="1" applyBorder="1"/>
    <xf numFmtId="0" fontId="1" fillId="0" borderId="0" xfId="0" applyFont="1"/>
    <xf numFmtId="0" fontId="1" fillId="0" borderId="17" xfId="0" applyFont="1" applyBorder="1"/>
    <xf numFmtId="0" fontId="0" fillId="0" borderId="0" xfId="0" applyAlignment="1">
      <alignment horizontal="right" vertical="center"/>
    </xf>
    <xf numFmtId="0" fontId="1" fillId="0" borderId="0" xfId="0" applyFont="1" applyAlignment="1">
      <alignment horizontal="right" vertical="center"/>
    </xf>
    <xf numFmtId="2" fontId="0" fillId="0" borderId="0" xfId="0" applyNumberFormat="1" applyAlignment="1">
      <alignment horizontal="center" vertical="center"/>
    </xf>
    <xf numFmtId="0" fontId="0" fillId="9" borderId="24" xfId="0" applyFill="1" applyBorder="1"/>
    <xf numFmtId="0" fontId="0" fillId="0" borderId="25" xfId="0" applyBorder="1"/>
    <xf numFmtId="0" fontId="0" fillId="0" borderId="26" xfId="0" applyBorder="1"/>
    <xf numFmtId="0" fontId="0" fillId="0" borderId="28" xfId="0" applyBorder="1"/>
    <xf numFmtId="0" fontId="0" fillId="10" borderId="29" xfId="0" applyFill="1" applyBorder="1"/>
    <xf numFmtId="0" fontId="0" fillId="0" borderId="30" xfId="0" applyBorder="1"/>
    <xf numFmtId="0" fontId="0" fillId="0" borderId="31" xfId="0" applyBorder="1"/>
    <xf numFmtId="0" fontId="0" fillId="15" borderId="27" xfId="0" applyFill="1" applyBorder="1"/>
    <xf numFmtId="0" fontId="18" fillId="13" borderId="32" xfId="0" applyFont="1" applyFill="1" applyBorder="1" applyAlignment="1">
      <alignment vertical="center"/>
    </xf>
    <xf numFmtId="2" fontId="19" fillId="14" borderId="33" xfId="0" applyNumberFormat="1" applyFont="1" applyFill="1" applyBorder="1" applyAlignment="1">
      <alignment horizontal="center" vertical="center"/>
    </xf>
    <xf numFmtId="0" fontId="19" fillId="0" borderId="0" xfId="0" applyFont="1" applyAlignment="1">
      <alignment vertical="center"/>
    </xf>
    <xf numFmtId="0" fontId="0" fillId="12" borderId="9" xfId="0" applyFill="1" applyBorder="1"/>
    <xf numFmtId="2" fontId="0" fillId="0" borderId="9" xfId="0" applyNumberFormat="1" applyBorder="1" applyAlignment="1">
      <alignment horizontal="center" vertical="center"/>
    </xf>
    <xf numFmtId="0" fontId="17" fillId="11" borderId="34" xfId="0" applyFont="1" applyFill="1" applyBorder="1"/>
    <xf numFmtId="2" fontId="17" fillId="11" borderId="35" xfId="0" applyNumberFormat="1" applyFont="1" applyFill="1" applyBorder="1" applyAlignment="1">
      <alignment horizontal="center" vertical="center"/>
    </xf>
    <xf numFmtId="0" fontId="16" fillId="8" borderId="23" xfId="0" applyFont="1" applyFill="1" applyBorder="1" applyAlignment="1">
      <alignment horizontal="center" vertical="center"/>
    </xf>
    <xf numFmtId="0" fontId="20" fillId="4" borderId="9" xfId="0" applyFont="1" applyFill="1" applyBorder="1" applyAlignment="1">
      <alignment wrapText="1"/>
    </xf>
    <xf numFmtId="0" fontId="20" fillId="4" borderId="9" xfId="0" applyFont="1" applyFill="1" applyBorder="1" applyAlignment="1">
      <alignment horizontal="center"/>
    </xf>
    <xf numFmtId="0" fontId="21" fillId="4" borderId="9" xfId="0" applyFont="1" applyFill="1" applyBorder="1" applyAlignment="1">
      <alignment horizontal="center"/>
    </xf>
    <xf numFmtId="0" fontId="22" fillId="4" borderId="9" xfId="0" applyFont="1" applyFill="1" applyBorder="1" applyAlignment="1">
      <alignment wrapText="1"/>
    </xf>
    <xf numFmtId="0" fontId="20" fillId="0" borderId="9" xfId="0" applyFont="1" applyBorder="1" applyAlignment="1">
      <alignment horizontal="center"/>
    </xf>
    <xf numFmtId="0" fontId="20" fillId="0" borderId="9" xfId="0" applyFont="1" applyBorder="1"/>
    <xf numFmtId="0" fontId="0" fillId="4" borderId="0" xfId="0" applyFill="1" applyAlignment="1">
      <alignment horizontal="center" vertical="center"/>
    </xf>
    <xf numFmtId="0" fontId="0" fillId="4" borderId="3" xfId="0" applyFill="1" applyBorder="1" applyAlignment="1">
      <alignment horizontal="center" vertical="center"/>
    </xf>
    <xf numFmtId="0" fontId="20" fillId="0" borderId="36" xfId="0" applyFont="1" applyBorder="1" applyAlignment="1">
      <alignment wrapText="1"/>
    </xf>
    <xf numFmtId="0" fontId="0" fillId="4" borderId="9" xfId="0" applyFill="1" applyBorder="1" applyAlignment="1">
      <alignment horizontal="left" vertical="center"/>
    </xf>
    <xf numFmtId="0" fontId="0" fillId="4" borderId="38" xfId="0" applyFill="1" applyBorder="1" applyAlignment="1">
      <alignment horizontal="left" vertical="center"/>
    </xf>
    <xf numFmtId="0" fontId="3" fillId="0" borderId="39" xfId="0" applyFont="1" applyBorder="1"/>
    <xf numFmtId="0" fontId="0" fillId="4" borderId="9" xfId="0" applyFill="1" applyBorder="1" applyAlignment="1">
      <alignment horizontal="center" vertical="center"/>
    </xf>
    <xf numFmtId="0" fontId="0" fillId="4" borderId="40" xfId="0" applyFill="1" applyBorder="1" applyAlignment="1">
      <alignment horizontal="center" vertical="center"/>
    </xf>
    <xf numFmtId="0" fontId="0" fillId="0" borderId="0" xfId="0" applyAlignment="1">
      <alignment horizontal="right"/>
    </xf>
    <xf numFmtId="0" fontId="23" fillId="0" borderId="0" xfId="0" applyFont="1" applyAlignment="1">
      <alignment horizontal="right" vertical="center"/>
    </xf>
    <xf numFmtId="164" fontId="1" fillId="0" borderId="3" xfId="0" applyNumberFormat="1" applyFont="1" applyBorder="1" applyAlignment="1">
      <alignment horizontal="left"/>
    </xf>
    <xf numFmtId="164" fontId="1" fillId="0" borderId="3" xfId="0" applyNumberFormat="1" applyFont="1" applyBorder="1" applyAlignment="1">
      <alignment horizontal="left"/>
    </xf>
    <xf numFmtId="0" fontId="20" fillId="0" borderId="34" xfId="0" applyFont="1" applyBorder="1" applyAlignment="1">
      <alignment horizontal="center"/>
    </xf>
    <xf numFmtId="0" fontId="20" fillId="0" borderId="37" xfId="0" applyFont="1" applyBorder="1" applyAlignment="1">
      <alignment horizontal="center"/>
    </xf>
    <xf numFmtId="0" fontId="20" fillId="0" borderId="35" xfId="0" applyFont="1" applyBorder="1" applyAlignment="1">
      <alignment horizontal="center"/>
    </xf>
    <xf numFmtId="0" fontId="0" fillId="4" borderId="9" xfId="0" applyFill="1" applyBorder="1" applyAlignment="1">
      <alignment horizontal="left" vertical="center" wrapText="1"/>
    </xf>
    <xf numFmtId="0" fontId="3" fillId="0" borderId="9" xfId="0" applyFont="1" applyBorder="1" applyAlignment="1">
      <alignment wrapText="1"/>
    </xf>
    <xf numFmtId="0" fontId="0" fillId="4" borderId="9" xfId="0" applyFill="1" applyBorder="1" applyAlignment="1">
      <alignment horizontal="left" vertical="center"/>
    </xf>
    <xf numFmtId="0" fontId="16" fillId="8" borderId="21" xfId="0" applyFont="1" applyFill="1" applyBorder="1" applyAlignment="1">
      <alignment horizontal="center" vertical="center"/>
    </xf>
    <xf numFmtId="0" fontId="16" fillId="8" borderId="23" xfId="0" applyFont="1" applyFill="1" applyBorder="1" applyAlignment="1">
      <alignment horizontal="center" vertical="center"/>
    </xf>
    <xf numFmtId="164" fontId="24" fillId="0" borderId="3" xfId="0" applyNumberFormat="1" applyFont="1" applyBorder="1" applyAlignment="1">
      <alignment horizontal="left"/>
    </xf>
    <xf numFmtId="0" fontId="20" fillId="0" borderId="34" xfId="0" applyFont="1" applyBorder="1" applyAlignment="1">
      <alignment horizontal="center" wrapText="1"/>
    </xf>
    <xf numFmtId="0" fontId="20" fillId="0" borderId="37" xfId="0" applyFont="1" applyBorder="1" applyAlignment="1">
      <alignment horizontal="center" wrapText="1"/>
    </xf>
    <xf numFmtId="0" fontId="20" fillId="0" borderId="35" xfId="0" applyFont="1" applyBorder="1" applyAlignment="1">
      <alignment horizontal="center" wrapText="1"/>
    </xf>
    <xf numFmtId="0" fontId="0" fillId="4" borderId="3" xfId="0" applyFill="1" applyBorder="1" applyAlignment="1">
      <alignment horizontal="left" vertical="center"/>
    </xf>
    <xf numFmtId="0" fontId="1" fillId="0" borderId="3" xfId="0" applyFont="1" applyBorder="1" applyAlignment="1">
      <alignment horizontal="left"/>
    </xf>
    <xf numFmtId="0" fontId="12" fillId="6" borderId="10" xfId="0" applyFont="1" applyFill="1" applyBorder="1" applyAlignment="1">
      <alignment horizontal="center"/>
    </xf>
    <xf numFmtId="0" fontId="12" fillId="6" borderId="11" xfId="0" applyFont="1" applyFill="1" applyBorder="1" applyAlignment="1">
      <alignment horizontal="center"/>
    </xf>
    <xf numFmtId="0" fontId="12" fillId="6" borderId="12" xfId="0" applyFont="1" applyFill="1" applyBorder="1" applyAlignment="1">
      <alignment horizontal="center"/>
    </xf>
    <xf numFmtId="2" fontId="15" fillId="0" borderId="22" xfId="0" applyNumberFormat="1" applyFont="1" applyBorder="1" applyAlignment="1">
      <alignment horizontal="center" vertical="center"/>
    </xf>
    <xf numFmtId="2" fontId="15" fillId="0" borderId="23" xfId="0" applyNumberFormat="1" applyFont="1" applyBorder="1" applyAlignment="1">
      <alignment horizontal="center" vertical="center"/>
    </xf>
    <xf numFmtId="0" fontId="1" fillId="0" borderId="16" xfId="0" applyFont="1" applyBorder="1" applyAlignment="1">
      <alignment horizontal="left"/>
    </xf>
    <xf numFmtId="0" fontId="1" fillId="0" borderId="0" xfId="0" applyFont="1" applyAlignment="1">
      <alignment horizontal="left"/>
    </xf>
    <xf numFmtId="0" fontId="1" fillId="0" borderId="17" xfId="0" applyFont="1" applyBorder="1" applyAlignment="1">
      <alignment horizontal="left"/>
    </xf>
    <xf numFmtId="0" fontId="14" fillId="0" borderId="13" xfId="0" applyFont="1" applyBorder="1" applyAlignment="1">
      <alignment horizontal="center"/>
    </xf>
    <xf numFmtId="0" fontId="14" fillId="0" borderId="14" xfId="0" applyFont="1" applyBorder="1" applyAlignment="1">
      <alignment horizontal="center"/>
    </xf>
    <xf numFmtId="0" fontId="2" fillId="2" borderId="1" xfId="0" applyFont="1" applyFill="1" applyBorder="1" applyAlignment="1"/>
    <xf numFmtId="0" fontId="3" fillId="0" borderId="2" xfId="0" applyFont="1" applyBorder="1" applyAlignment="1"/>
    <xf numFmtId="0" fontId="25" fillId="0" borderId="4" xfId="0" applyFont="1" applyBorder="1" applyAlignment="1"/>
    <xf numFmtId="0" fontId="25" fillId="0" borderId="5" xfId="0" applyFont="1" applyBorder="1" applyAlignment="1"/>
    <xf numFmtId="0" fontId="3" fillId="0" borderId="9" xfId="0" applyFont="1" applyBorder="1" applyAlignment="1"/>
    <xf numFmtId="0" fontId="3" fillId="0" borderId="4" xfId="0" applyFont="1" applyBorder="1" applyAlignment="1"/>
    <xf numFmtId="0" fontId="3" fillId="0" borderId="5" xfId="0" applyFont="1" applyBorder="1" applyAlignment="1"/>
    <xf numFmtId="0" fontId="2" fillId="2" borderId="6" xfId="0" applyFont="1" applyFill="1" applyBorder="1" applyAlignment="1"/>
    <xf numFmtId="0" fontId="3" fillId="0" borderId="7" xfId="0" applyFont="1" applyBorder="1" applyAlignment="1"/>
  </cellXfs>
  <cellStyles count="1">
    <cellStyle name="Normal" xfId="0" builtinId="0"/>
  </cellStyles>
  <dxfs count="18">
    <dxf>
      <font>
        <color theme="0"/>
      </font>
      <fill>
        <patternFill patternType="solid">
          <bgColor rgb="FF00B050"/>
        </patternFill>
      </fill>
    </dxf>
    <dxf>
      <font>
        <color theme="1"/>
      </font>
      <fill>
        <patternFill patternType="solid">
          <bgColor rgb="FFFFC000"/>
        </patternFill>
      </fill>
    </dxf>
    <dxf>
      <font>
        <color theme="0"/>
      </font>
      <fill>
        <patternFill patternType="solid">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ont>
        <color theme="0"/>
      </font>
      <fill>
        <patternFill patternType="solid">
          <bgColor rgb="FFFF0000"/>
        </patternFill>
      </fill>
    </dxf>
    <dxf>
      <font>
        <color theme="1"/>
      </font>
      <fill>
        <patternFill patternType="solid">
          <bgColor rgb="FFFFC000"/>
        </patternFill>
      </fill>
    </dxf>
    <dxf>
      <font>
        <color theme="0"/>
      </font>
      <fill>
        <patternFill patternType="solid">
          <bgColor rgb="FF00B05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mruColors>
      <color rgb="FF9E0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96270-1CBD-4D36-9EFF-B9AE7C0CE7C7}">
  <dimension ref="B2:G15"/>
  <sheetViews>
    <sheetView showGridLines="0" workbookViewId="0">
      <selection activeCell="G7" sqref="G7"/>
    </sheetView>
  </sheetViews>
  <sheetFormatPr defaultRowHeight="12.6"/>
  <cols>
    <col min="2" max="2" width="3.5703125" customWidth="1"/>
    <col min="3" max="3" width="15.42578125" style="17" customWidth="1"/>
    <col min="4" max="4" width="18.42578125" style="18" customWidth="1"/>
    <col min="5" max="5" width="32.28515625" customWidth="1"/>
    <col min="6" max="6" width="24.28515625" customWidth="1"/>
    <col min="7" max="7" width="37" customWidth="1"/>
  </cols>
  <sheetData>
    <row r="2" spans="2:7">
      <c r="B2" s="12" t="s">
        <v>0</v>
      </c>
      <c r="C2" s="12" t="s">
        <v>1</v>
      </c>
      <c r="D2" s="12" t="s">
        <v>2</v>
      </c>
      <c r="E2" s="12" t="s">
        <v>3</v>
      </c>
      <c r="F2" s="12" t="s">
        <v>4</v>
      </c>
      <c r="G2" s="12" t="s">
        <v>5</v>
      </c>
    </row>
    <row r="3" spans="2:7">
      <c r="B3" s="13">
        <v>1</v>
      </c>
      <c r="C3" s="14">
        <v>44382</v>
      </c>
      <c r="D3" s="15">
        <v>0.1</v>
      </c>
      <c r="E3" s="13" t="s">
        <v>6</v>
      </c>
      <c r="F3" s="13" t="s">
        <v>7</v>
      </c>
      <c r="G3" s="13" t="s">
        <v>8</v>
      </c>
    </row>
    <row r="4" spans="2:7" ht="24.95">
      <c r="B4" s="13">
        <v>2</v>
      </c>
      <c r="C4" s="14">
        <v>45540</v>
      </c>
      <c r="D4" s="15">
        <v>0.2</v>
      </c>
      <c r="E4" s="35" t="s">
        <v>9</v>
      </c>
      <c r="F4" s="27"/>
      <c r="G4" s="27" t="s">
        <v>10</v>
      </c>
    </row>
    <row r="5" spans="2:7">
      <c r="B5" s="13"/>
      <c r="C5" s="16"/>
      <c r="D5" s="15"/>
      <c r="E5" s="13"/>
      <c r="F5" s="13"/>
      <c r="G5" s="13"/>
    </row>
    <row r="6" spans="2:7">
      <c r="B6" s="13"/>
      <c r="C6" s="16"/>
      <c r="D6" s="15"/>
      <c r="E6" s="13"/>
      <c r="F6" s="13"/>
      <c r="G6" s="13"/>
    </row>
    <row r="7" spans="2:7">
      <c r="B7" s="13"/>
      <c r="C7" s="16"/>
      <c r="D7" s="15"/>
      <c r="E7" s="13"/>
      <c r="F7" s="13"/>
      <c r="G7" s="13"/>
    </row>
    <row r="8" spans="2:7">
      <c r="B8" s="13"/>
      <c r="C8" s="16"/>
      <c r="D8" s="15"/>
      <c r="E8" s="13"/>
      <c r="F8" s="13"/>
      <c r="G8" s="13"/>
    </row>
    <row r="9" spans="2:7">
      <c r="B9" s="13"/>
      <c r="C9" s="16"/>
      <c r="D9" s="15"/>
      <c r="E9" s="13"/>
      <c r="F9" s="13"/>
      <c r="G9" s="13"/>
    </row>
    <row r="10" spans="2:7">
      <c r="B10" s="13"/>
      <c r="C10" s="16"/>
      <c r="D10" s="15"/>
      <c r="E10" s="13"/>
      <c r="F10" s="13"/>
      <c r="G10" s="13"/>
    </row>
    <row r="11" spans="2:7">
      <c r="B11" s="13"/>
      <c r="C11" s="16"/>
      <c r="D11" s="15"/>
      <c r="E11" s="13"/>
      <c r="F11" s="13"/>
      <c r="G11" s="13"/>
    </row>
    <row r="12" spans="2:7">
      <c r="B12" s="13"/>
      <c r="C12" s="16"/>
      <c r="D12" s="15"/>
      <c r="E12" s="13"/>
      <c r="F12" s="13"/>
      <c r="G12" s="13"/>
    </row>
    <row r="13" spans="2:7">
      <c r="B13" s="13"/>
      <c r="C13" s="16"/>
      <c r="D13" s="15"/>
      <c r="E13" s="13"/>
      <c r="F13" s="13"/>
      <c r="G13" s="13"/>
    </row>
    <row r="14" spans="2:7">
      <c r="B14" s="13"/>
      <c r="C14" s="16"/>
      <c r="D14" s="15"/>
      <c r="E14" s="13"/>
      <c r="F14" s="13"/>
      <c r="G14" s="13"/>
    </row>
    <row r="15" spans="2:7">
      <c r="B15" s="13"/>
      <c r="C15" s="16"/>
      <c r="D15" s="15"/>
      <c r="E15" s="13"/>
      <c r="F15" s="13"/>
      <c r="G15" s="13"/>
    </row>
  </sheetData>
  <pageMargins left="0.7" right="0.7" top="0.75" bottom="0.75" header="0.3" footer="0.3"/>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CF6A0-51F6-467F-8001-DEBDE5A8EC46}">
  <sheetPr>
    <outlinePr summaryBelow="0" summaryRight="0"/>
  </sheetPr>
  <dimension ref="A1:Y958"/>
  <sheetViews>
    <sheetView showGridLines="0" topLeftCell="A137" zoomScale="90" zoomScaleNormal="90" workbookViewId="0">
      <selection activeCell="D149" sqref="D149:G149"/>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1.42578125" customWidth="1"/>
    <col min="11" max="11" width="1.140625" customWidth="1"/>
    <col min="12" max="12" width="20.5703125" customWidth="1"/>
    <col min="13" max="13" width="9.140625"/>
  </cols>
  <sheetData>
    <row r="1" spans="1:25" ht="12.75">
      <c r="B1" s="1"/>
    </row>
    <row r="2" spans="1:25" s="39" customFormat="1" ht="12.75" customHeight="1">
      <c r="B2" s="40"/>
      <c r="C2" s="73" t="s">
        <v>11</v>
      </c>
      <c r="D2" s="39" t="s">
        <v>12</v>
      </c>
    </row>
    <row r="3" spans="1:25" ht="12.75">
      <c r="B3" s="1"/>
    </row>
    <row r="4" spans="1:25" ht="12.75">
      <c r="B4" s="1"/>
      <c r="L4" s="82">
        <f>Q16</f>
        <v>4.625</v>
      </c>
    </row>
    <row r="5" spans="1:25" ht="21.75" customHeight="1">
      <c r="B5" s="100" t="s">
        <v>1</v>
      </c>
      <c r="C5" s="101"/>
      <c r="D5" s="84">
        <v>45754</v>
      </c>
      <c r="E5" s="102"/>
      <c r="F5" s="102"/>
      <c r="G5" s="103"/>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20</v>
      </c>
      <c r="E7" s="59"/>
      <c r="F7" s="59"/>
      <c r="G7" s="59"/>
      <c r="H7" s="59"/>
      <c r="I7" s="59"/>
      <c r="Q7">
        <f t="shared" ref="Q7:Q14" si="0">COUNTA(D7)*5 +COUNTA(E7)*4+COUNTA(F7)*3+COUNTA(G7)*2+COUNTA(H7)*1</f>
        <v>5</v>
      </c>
    </row>
    <row r="8" spans="1:25" ht="12.75">
      <c r="B8" s="4">
        <v>2</v>
      </c>
      <c r="C8" s="58" t="s">
        <v>21</v>
      </c>
      <c r="D8" s="59" t="s">
        <v>20</v>
      </c>
      <c r="E8" s="60"/>
      <c r="F8" s="59"/>
      <c r="G8" s="59"/>
      <c r="H8" s="59"/>
      <c r="I8" s="59"/>
      <c r="Q8">
        <f t="shared" si="0"/>
        <v>5</v>
      </c>
    </row>
    <row r="9" spans="1:25" ht="12.75">
      <c r="B9" s="4">
        <v>3</v>
      </c>
      <c r="C9" s="58" t="s">
        <v>22</v>
      </c>
      <c r="D9" s="59"/>
      <c r="E9" s="59" t="s">
        <v>20</v>
      </c>
      <c r="F9" s="59"/>
      <c r="G9" s="59"/>
      <c r="H9" s="59"/>
      <c r="I9" s="59"/>
      <c r="Q9">
        <f t="shared" si="0"/>
        <v>4</v>
      </c>
    </row>
    <row r="10" spans="1:25" ht="12.75">
      <c r="B10" s="4">
        <v>4</v>
      </c>
      <c r="C10" s="58" t="s">
        <v>23</v>
      </c>
      <c r="D10" s="59" t="s">
        <v>20</v>
      </c>
      <c r="E10" s="59"/>
      <c r="F10" s="59"/>
      <c r="G10" s="59"/>
      <c r="H10" s="59"/>
      <c r="I10" s="59"/>
      <c r="J10" s="7"/>
      <c r="Q10">
        <f t="shared" si="0"/>
        <v>5</v>
      </c>
    </row>
    <row r="11" spans="1:25" ht="12.75">
      <c r="B11" s="4">
        <v>5</v>
      </c>
      <c r="C11" s="58" t="s">
        <v>24</v>
      </c>
      <c r="D11" s="59"/>
      <c r="E11" s="59" t="s">
        <v>20</v>
      </c>
      <c r="F11" s="59"/>
      <c r="G11" s="59"/>
      <c r="H11" s="59"/>
      <c r="I11" s="59"/>
      <c r="J11" s="7"/>
      <c r="Q11">
        <f t="shared" si="0"/>
        <v>4</v>
      </c>
    </row>
    <row r="12" spans="1:25" ht="12.75">
      <c r="B12" s="4">
        <v>6</v>
      </c>
      <c r="C12" s="58" t="s">
        <v>25</v>
      </c>
      <c r="D12" s="59" t="s">
        <v>20</v>
      </c>
      <c r="E12" s="59"/>
      <c r="F12" s="59"/>
      <c r="G12" s="59"/>
      <c r="H12" s="59"/>
      <c r="I12" s="59"/>
      <c r="J12" s="7"/>
      <c r="Q12">
        <f t="shared" si="0"/>
        <v>5</v>
      </c>
    </row>
    <row r="13" spans="1:25" ht="12.75">
      <c r="B13" s="4">
        <v>7</v>
      </c>
      <c r="C13" s="61" t="s">
        <v>26</v>
      </c>
      <c r="D13" s="59"/>
      <c r="E13" s="62" t="s">
        <v>20</v>
      </c>
      <c r="F13" s="63"/>
      <c r="G13" s="63"/>
      <c r="H13" s="63"/>
      <c r="I13" s="63"/>
      <c r="J13" s="7"/>
      <c r="Q13">
        <f t="shared" si="0"/>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2:17" ht="20.25">
      <c r="B17" s="100" t="s">
        <v>1</v>
      </c>
      <c r="C17" s="101"/>
      <c r="D17" s="84" t="s">
        <v>29</v>
      </c>
      <c r="E17" s="102"/>
      <c r="F17" s="102"/>
      <c r="G17" s="103"/>
      <c r="L17" s="57">
        <f>Q28</f>
        <v>5</v>
      </c>
    </row>
    <row r="18" spans="2:17" ht="23.25">
      <c r="B18" s="3" t="s">
        <v>0</v>
      </c>
      <c r="C18" s="3" t="s">
        <v>13</v>
      </c>
      <c r="D18" s="3" t="s">
        <v>14</v>
      </c>
      <c r="E18" s="3" t="s">
        <v>15</v>
      </c>
      <c r="F18" s="3" t="s">
        <v>16</v>
      </c>
      <c r="G18" s="3" t="s">
        <v>17</v>
      </c>
      <c r="H18" s="3" t="s">
        <v>18</v>
      </c>
      <c r="I18" s="3" t="s">
        <v>5</v>
      </c>
      <c r="J18" s="2"/>
      <c r="K18" s="2"/>
      <c r="L18" s="2"/>
      <c r="M18" s="2"/>
      <c r="N18" s="2"/>
      <c r="O18" s="2"/>
      <c r="P18" s="2"/>
      <c r="Q18" s="2"/>
    </row>
    <row r="19" spans="2:17" ht="12.75">
      <c r="B19" s="4">
        <v>1</v>
      </c>
      <c r="C19" s="58" t="s">
        <v>19</v>
      </c>
      <c r="D19" s="59" t="s">
        <v>20</v>
      </c>
      <c r="E19" s="59"/>
      <c r="F19" s="59"/>
      <c r="G19" s="59"/>
      <c r="H19" s="59"/>
      <c r="I19" s="59"/>
      <c r="Q19">
        <f t="shared" ref="Q19:Q25" si="1">COUNTA(D19)*5 +COUNTA(E19)*4+COUNTA(F19)*3+COUNTA(G19)*2+COUNTA(H19)*1</f>
        <v>5</v>
      </c>
    </row>
    <row r="20" spans="2:17" ht="12.75">
      <c r="B20" s="4">
        <v>2</v>
      </c>
      <c r="C20" s="58" t="s">
        <v>21</v>
      </c>
      <c r="D20" s="59" t="s">
        <v>20</v>
      </c>
      <c r="E20" s="60"/>
      <c r="F20" s="59"/>
      <c r="G20" s="59"/>
      <c r="H20" s="59"/>
      <c r="I20" s="59"/>
      <c r="Q20">
        <f t="shared" si="1"/>
        <v>5</v>
      </c>
    </row>
    <row r="21" spans="2:17" ht="12.75">
      <c r="B21" s="4">
        <v>3</v>
      </c>
      <c r="C21" s="58" t="s">
        <v>22</v>
      </c>
      <c r="D21" s="59" t="s">
        <v>20</v>
      </c>
      <c r="F21" s="59"/>
      <c r="G21" s="59"/>
      <c r="H21" s="59"/>
      <c r="I21" s="59"/>
      <c r="Q21">
        <f t="shared" si="1"/>
        <v>5</v>
      </c>
    </row>
    <row r="22" spans="2:17" ht="12.75">
      <c r="B22" s="4">
        <v>4</v>
      </c>
      <c r="C22" s="58" t="s">
        <v>23</v>
      </c>
      <c r="D22" s="59" t="s">
        <v>20</v>
      </c>
      <c r="E22" s="59"/>
      <c r="F22" s="59"/>
      <c r="G22" s="59"/>
      <c r="H22" s="59"/>
      <c r="I22" s="59"/>
      <c r="J22" s="7"/>
      <c r="Q22">
        <f t="shared" si="1"/>
        <v>5</v>
      </c>
    </row>
    <row r="23" spans="2:17" ht="12.75">
      <c r="B23" s="4">
        <v>5</v>
      </c>
      <c r="C23" s="58" t="s">
        <v>24</v>
      </c>
      <c r="D23" s="59" t="s">
        <v>20</v>
      </c>
      <c r="F23" s="59"/>
      <c r="G23" s="59"/>
      <c r="H23" s="59"/>
      <c r="I23" s="59"/>
      <c r="J23" s="7"/>
      <c r="Q23">
        <f t="shared" si="1"/>
        <v>5</v>
      </c>
    </row>
    <row r="24" spans="2:17" ht="12.75">
      <c r="B24" s="4">
        <v>6</v>
      </c>
      <c r="C24" s="58" t="s">
        <v>25</v>
      </c>
      <c r="D24" s="59" t="s">
        <v>20</v>
      </c>
      <c r="E24" s="59"/>
      <c r="F24" s="59"/>
      <c r="G24" s="59"/>
      <c r="H24" s="59"/>
      <c r="I24" s="59"/>
      <c r="J24" s="7"/>
      <c r="Q24">
        <f t="shared" si="1"/>
        <v>5</v>
      </c>
    </row>
    <row r="25" spans="2:17" ht="12.75">
      <c r="B25" s="4">
        <v>7</v>
      </c>
      <c r="C25" s="61" t="s">
        <v>26</v>
      </c>
      <c r="D25" s="62" t="s">
        <v>20</v>
      </c>
      <c r="F25" s="63"/>
      <c r="G25" s="63"/>
      <c r="H25" s="63"/>
      <c r="I25" s="63"/>
      <c r="J25" s="7"/>
      <c r="Q25">
        <f t="shared" si="1"/>
        <v>5</v>
      </c>
    </row>
    <row r="26" spans="2:17" ht="12.75">
      <c r="B26" s="4">
        <v>8</v>
      </c>
      <c r="C26" s="66" t="s">
        <v>27</v>
      </c>
      <c r="D26" s="76"/>
      <c r="E26" s="77"/>
      <c r="F26" s="77"/>
      <c r="G26" s="77"/>
      <c r="H26" s="77"/>
      <c r="I26" s="78"/>
      <c r="J26" s="7"/>
      <c r="Q26">
        <f>IF(COUNTA(D26) &gt;=1, 2, 5)</f>
        <v>5</v>
      </c>
    </row>
    <row r="27" spans="2:17" ht="12.75">
      <c r="B27" s="65">
        <v>9</v>
      </c>
      <c r="C27" s="67" t="s">
        <v>28</v>
      </c>
      <c r="D27" s="81"/>
      <c r="E27" s="104"/>
      <c r="F27" s="104"/>
      <c r="G27" s="104"/>
      <c r="H27" s="104"/>
      <c r="I27" s="104"/>
      <c r="J27" s="7"/>
    </row>
    <row r="28" spans="2:17" ht="12.75">
      <c r="B28" s="64"/>
      <c r="C28" s="22"/>
      <c r="D28" s="68"/>
      <c r="E28" s="69"/>
      <c r="F28" s="69"/>
      <c r="G28" s="69"/>
      <c r="H28" s="23"/>
      <c r="I28" s="23"/>
      <c r="J28" s="7"/>
      <c r="Q28">
        <f>IF(Q26&gt;0,AVERAGE(Q19:Q26),AVERAGE(Q19:Q25))</f>
        <v>5</v>
      </c>
    </row>
    <row r="29" spans="2:17" ht="20.25">
      <c r="B29" s="100" t="s">
        <v>1</v>
      </c>
      <c r="C29" s="101"/>
      <c r="D29" s="84" t="s">
        <v>30</v>
      </c>
      <c r="E29" s="102"/>
      <c r="F29" s="102"/>
      <c r="G29" s="103"/>
      <c r="L29" s="57">
        <f>Q40</f>
        <v>5</v>
      </c>
    </row>
    <row r="30" spans="2:17" ht="23.25">
      <c r="B30" s="3" t="s">
        <v>0</v>
      </c>
      <c r="C30" s="3" t="s">
        <v>13</v>
      </c>
      <c r="D30" s="3" t="s">
        <v>14</v>
      </c>
      <c r="E30" s="3" t="s">
        <v>15</v>
      </c>
      <c r="F30" s="3" t="s">
        <v>16</v>
      </c>
      <c r="G30" s="3" t="s">
        <v>17</v>
      </c>
      <c r="H30" s="3" t="s">
        <v>18</v>
      </c>
      <c r="I30" s="3" t="s">
        <v>5</v>
      </c>
      <c r="J30" s="2"/>
      <c r="K30" s="2"/>
      <c r="L30" s="2"/>
      <c r="M30" s="2"/>
      <c r="N30" s="2"/>
      <c r="O30" s="2"/>
      <c r="P30" s="2"/>
      <c r="Q30" s="2"/>
    </row>
    <row r="31" spans="2:17" ht="12.75">
      <c r="B31" s="4">
        <v>1</v>
      </c>
      <c r="C31" s="58" t="s">
        <v>19</v>
      </c>
      <c r="D31" s="59" t="s">
        <v>20</v>
      </c>
      <c r="E31" s="59"/>
      <c r="F31" s="59"/>
      <c r="G31" s="59"/>
      <c r="H31" s="59"/>
      <c r="I31" s="59"/>
      <c r="Q31">
        <f t="shared" ref="Q31:Q37" si="2">COUNTA(D31)*5 +COUNTA(E31)*4+COUNTA(F31)*3+COUNTA(G31)*2+COUNTA(H31)*1</f>
        <v>5</v>
      </c>
    </row>
    <row r="32" spans="2:17" ht="12.75">
      <c r="B32" s="4">
        <v>2</v>
      </c>
      <c r="C32" s="58" t="s">
        <v>21</v>
      </c>
      <c r="D32" s="59" t="s">
        <v>20</v>
      </c>
      <c r="E32" s="60"/>
      <c r="F32" s="59"/>
      <c r="G32" s="59"/>
      <c r="H32" s="59"/>
      <c r="I32" s="59"/>
      <c r="Q32">
        <f t="shared" si="2"/>
        <v>5</v>
      </c>
    </row>
    <row r="33" spans="2:17" ht="12.75">
      <c r="B33" s="4">
        <v>3</v>
      </c>
      <c r="C33" s="58" t="s">
        <v>22</v>
      </c>
      <c r="D33" s="59" t="s">
        <v>20</v>
      </c>
      <c r="F33" s="59"/>
      <c r="G33" s="59"/>
      <c r="H33" s="59"/>
      <c r="I33" s="59"/>
      <c r="Q33">
        <f t="shared" si="2"/>
        <v>5</v>
      </c>
    </row>
    <row r="34" spans="2:17" ht="12.75">
      <c r="B34" s="4">
        <v>4</v>
      </c>
      <c r="C34" s="58" t="s">
        <v>23</v>
      </c>
      <c r="D34" s="59" t="s">
        <v>20</v>
      </c>
      <c r="E34" s="59"/>
      <c r="F34" s="59"/>
      <c r="G34" s="59"/>
      <c r="H34" s="59"/>
      <c r="I34" s="59"/>
      <c r="J34" s="7"/>
      <c r="Q34">
        <f t="shared" si="2"/>
        <v>5</v>
      </c>
    </row>
    <row r="35" spans="2:17" ht="12.75">
      <c r="B35" s="4">
        <v>5</v>
      </c>
      <c r="C35" s="58" t="s">
        <v>24</v>
      </c>
      <c r="D35" s="59" t="s">
        <v>20</v>
      </c>
      <c r="F35" s="59"/>
      <c r="G35" s="59"/>
      <c r="H35" s="59"/>
      <c r="I35" s="59"/>
      <c r="J35" s="7"/>
      <c r="Q35">
        <f t="shared" si="2"/>
        <v>5</v>
      </c>
    </row>
    <row r="36" spans="2:17" ht="12.75">
      <c r="B36" s="4">
        <v>6</v>
      </c>
      <c r="C36" s="58" t="s">
        <v>25</v>
      </c>
      <c r="D36" s="59" t="s">
        <v>20</v>
      </c>
      <c r="E36" s="59"/>
      <c r="F36" s="59"/>
      <c r="G36" s="59"/>
      <c r="H36" s="59"/>
      <c r="I36" s="59"/>
      <c r="J36" s="7"/>
      <c r="Q36">
        <f t="shared" si="2"/>
        <v>5</v>
      </c>
    </row>
    <row r="37" spans="2:17" ht="12.75">
      <c r="B37" s="4">
        <v>7</v>
      </c>
      <c r="C37" s="61" t="s">
        <v>26</v>
      </c>
      <c r="D37" s="62" t="s">
        <v>20</v>
      </c>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64"/>
      <c r="C40" s="22"/>
      <c r="D40" s="68"/>
      <c r="E40" s="69"/>
      <c r="F40" s="69"/>
      <c r="G40" s="69"/>
      <c r="H40" s="23"/>
      <c r="I40" s="23"/>
      <c r="J40" s="7"/>
      <c r="Q40">
        <f>IF(Q38&gt;0,AVERAGE(Q31:Q38),AVERAGE(Q31:Q37))</f>
        <v>5</v>
      </c>
    </row>
    <row r="41" spans="2:17" ht="20.25">
      <c r="B41" s="100" t="s">
        <v>1</v>
      </c>
      <c r="C41" s="101"/>
      <c r="D41" s="75" t="s">
        <v>31</v>
      </c>
      <c r="E41" s="105"/>
      <c r="F41" s="105"/>
      <c r="G41" s="106"/>
      <c r="L41" s="57">
        <f>Q52</f>
        <v>5</v>
      </c>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20</v>
      </c>
      <c r="E43" s="59"/>
      <c r="F43" s="59"/>
      <c r="G43" s="59"/>
      <c r="H43" s="59"/>
      <c r="I43" s="59"/>
      <c r="Q43">
        <f t="shared" ref="Q43:Q49" si="3">COUNTA(D43)*5 +COUNTA(E43)*4+COUNTA(F43)*3+COUNTA(G43)*2+COUNTA(H43)*1</f>
        <v>5</v>
      </c>
    </row>
    <row r="44" spans="2:17" ht="12.75">
      <c r="B44" s="4">
        <v>2</v>
      </c>
      <c r="C44" s="58" t="s">
        <v>21</v>
      </c>
      <c r="D44" s="59" t="s">
        <v>20</v>
      </c>
      <c r="E44" s="60"/>
      <c r="F44" s="59"/>
      <c r="G44" s="59"/>
      <c r="H44" s="59"/>
      <c r="I44" s="59"/>
      <c r="Q44">
        <f t="shared" si="3"/>
        <v>5</v>
      </c>
    </row>
    <row r="45" spans="2:17" ht="12.75">
      <c r="B45" s="4">
        <v>3</v>
      </c>
      <c r="C45" s="58" t="s">
        <v>22</v>
      </c>
      <c r="D45" s="59" t="s">
        <v>20</v>
      </c>
      <c r="F45" s="59"/>
      <c r="G45" s="59"/>
      <c r="H45" s="59"/>
      <c r="I45" s="59"/>
      <c r="Q45">
        <f t="shared" si="3"/>
        <v>5</v>
      </c>
    </row>
    <row r="46" spans="2:17" ht="12.75">
      <c r="B46" s="4">
        <v>4</v>
      </c>
      <c r="C46" s="58" t="s">
        <v>23</v>
      </c>
      <c r="D46" s="59" t="s">
        <v>20</v>
      </c>
      <c r="E46" s="59"/>
      <c r="F46" s="59"/>
      <c r="G46" s="59"/>
      <c r="H46" s="59"/>
      <c r="I46" s="59"/>
      <c r="J46" s="7"/>
      <c r="Q46">
        <f t="shared" si="3"/>
        <v>5</v>
      </c>
    </row>
    <row r="47" spans="2:17" ht="12.75">
      <c r="B47" s="4">
        <v>5</v>
      </c>
      <c r="C47" s="58" t="s">
        <v>24</v>
      </c>
      <c r="D47" s="59" t="s">
        <v>20</v>
      </c>
      <c r="F47" s="59"/>
      <c r="G47" s="59"/>
      <c r="H47" s="59"/>
      <c r="I47" s="59"/>
      <c r="J47" s="7"/>
      <c r="Q47">
        <f t="shared" si="3"/>
        <v>5</v>
      </c>
    </row>
    <row r="48" spans="2:17" ht="12.75">
      <c r="B48" s="4">
        <v>6</v>
      </c>
      <c r="C48" s="58" t="s">
        <v>25</v>
      </c>
      <c r="D48" s="59" t="s">
        <v>20</v>
      </c>
      <c r="E48" s="59"/>
      <c r="F48" s="59"/>
      <c r="G48" s="59"/>
      <c r="H48" s="59"/>
      <c r="I48" s="59"/>
      <c r="J48" s="7"/>
      <c r="Q48">
        <f t="shared" si="3"/>
        <v>5</v>
      </c>
    </row>
    <row r="49" spans="2:17" ht="12.75">
      <c r="B49" s="4">
        <v>7</v>
      </c>
      <c r="C49" s="61" t="s">
        <v>26</v>
      </c>
      <c r="D49" s="62" t="s">
        <v>20</v>
      </c>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t="s">
        <v>32</v>
      </c>
      <c r="E51" s="104"/>
      <c r="F51" s="104"/>
      <c r="G51" s="104"/>
      <c r="H51" s="104"/>
      <c r="I51" s="104"/>
      <c r="J51" s="7"/>
    </row>
    <row r="52" spans="2:17" ht="12.75">
      <c r="B52" s="64"/>
      <c r="C52" s="22"/>
      <c r="D52" s="68"/>
      <c r="E52" s="69"/>
      <c r="F52" s="69"/>
      <c r="G52" s="69"/>
      <c r="H52" s="23"/>
      <c r="I52" s="23"/>
      <c r="J52" s="7"/>
      <c r="Q52">
        <f>IF(Q50&gt;0,AVERAGE(Q43:Q50),AVERAGE(Q43:Q49))</f>
        <v>5</v>
      </c>
    </row>
    <row r="53" spans="2:17" ht="20.25">
      <c r="B53" s="100" t="s">
        <v>1</v>
      </c>
      <c r="C53" s="101"/>
      <c r="D53" s="75" t="s">
        <v>33</v>
      </c>
      <c r="E53" s="105"/>
      <c r="F53" s="105"/>
      <c r="G53" s="106"/>
      <c r="L53" s="57">
        <f>Q64</f>
        <v>5</v>
      </c>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20</v>
      </c>
      <c r="E55" s="59"/>
      <c r="F55" s="59"/>
      <c r="G55" s="59"/>
      <c r="H55" s="59"/>
      <c r="I55" s="59"/>
      <c r="Q55">
        <f t="shared" ref="Q55:Q61" si="4">COUNTA(D55)*5 +COUNTA(E55)*4+COUNTA(F55)*3+COUNTA(G55)*2+COUNTA(H55)*1</f>
        <v>5</v>
      </c>
    </row>
    <row r="56" spans="2:17" ht="12.75">
      <c r="B56" s="4">
        <v>2</v>
      </c>
      <c r="C56" s="58" t="s">
        <v>21</v>
      </c>
      <c r="D56" s="59" t="s">
        <v>20</v>
      </c>
      <c r="E56" s="60"/>
      <c r="F56" s="59"/>
      <c r="G56" s="59"/>
      <c r="H56" s="59"/>
      <c r="I56" s="59"/>
      <c r="Q56">
        <f t="shared" si="4"/>
        <v>5</v>
      </c>
    </row>
    <row r="57" spans="2:17" ht="12.75">
      <c r="B57" s="4">
        <v>3</v>
      </c>
      <c r="C57" s="58" t="s">
        <v>22</v>
      </c>
      <c r="D57" s="59" t="s">
        <v>20</v>
      </c>
      <c r="F57" s="59"/>
      <c r="G57" s="59"/>
      <c r="H57" s="59"/>
      <c r="I57" s="59"/>
      <c r="Q57">
        <f t="shared" si="4"/>
        <v>5</v>
      </c>
    </row>
    <row r="58" spans="2:17" ht="12.75">
      <c r="B58" s="4">
        <v>4</v>
      </c>
      <c r="C58" s="58" t="s">
        <v>23</v>
      </c>
      <c r="D58" s="59" t="s">
        <v>20</v>
      </c>
      <c r="E58" s="59"/>
      <c r="F58" s="59"/>
      <c r="G58" s="59"/>
      <c r="H58" s="59"/>
      <c r="I58" s="59"/>
      <c r="J58" s="7"/>
      <c r="Q58">
        <f t="shared" si="4"/>
        <v>5</v>
      </c>
    </row>
    <row r="59" spans="2:17" ht="12.75">
      <c r="B59" s="4">
        <v>5</v>
      </c>
      <c r="C59" s="58" t="s">
        <v>24</v>
      </c>
      <c r="D59" s="59" t="s">
        <v>20</v>
      </c>
      <c r="F59" s="59"/>
      <c r="G59" s="59"/>
      <c r="H59" s="59"/>
      <c r="I59" s="59"/>
      <c r="J59" s="7"/>
      <c r="Q59">
        <f t="shared" si="4"/>
        <v>5</v>
      </c>
    </row>
    <row r="60" spans="2:17" ht="12.75">
      <c r="B60" s="4">
        <v>6</v>
      </c>
      <c r="C60" s="58" t="s">
        <v>25</v>
      </c>
      <c r="D60" s="59" t="s">
        <v>20</v>
      </c>
      <c r="E60" s="59"/>
      <c r="F60" s="59"/>
      <c r="G60" s="59"/>
      <c r="H60" s="59"/>
      <c r="I60" s="59"/>
      <c r="J60" s="7"/>
      <c r="Q60">
        <f t="shared" si="4"/>
        <v>5</v>
      </c>
    </row>
    <row r="61" spans="2:17" ht="12.75">
      <c r="B61" s="4">
        <v>7</v>
      </c>
      <c r="C61" s="61" t="s">
        <v>26</v>
      </c>
      <c r="D61" s="62" t="s">
        <v>20</v>
      </c>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64"/>
      <c r="C64" s="22"/>
      <c r="D64" s="68"/>
      <c r="E64" s="69"/>
      <c r="F64" s="69"/>
      <c r="G64" s="69"/>
      <c r="H64" s="23"/>
      <c r="I64" s="23"/>
      <c r="J64" s="7"/>
      <c r="Q64">
        <f>IF(Q62&gt;0,AVERAGE(Q55:Q62),AVERAGE(Q55:Q61))</f>
        <v>5</v>
      </c>
    </row>
    <row r="65" spans="2:17" ht="20.25">
      <c r="B65" s="100" t="s">
        <v>1</v>
      </c>
      <c r="C65" s="101"/>
      <c r="D65" s="75" t="s">
        <v>34</v>
      </c>
      <c r="E65" s="105"/>
      <c r="F65" s="105"/>
      <c r="G65" s="106"/>
      <c r="L65" s="57">
        <f>Q76</f>
        <v>5</v>
      </c>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20</v>
      </c>
      <c r="E67" s="59"/>
      <c r="F67" s="59"/>
      <c r="G67" s="59"/>
      <c r="H67" s="59"/>
      <c r="I67" s="59"/>
      <c r="Q67">
        <f t="shared" ref="Q67:Q73" si="5">COUNTA(D67)*5 +COUNTA(E67)*4+COUNTA(F67)*3+COUNTA(G67)*2+COUNTA(H67)*1</f>
        <v>5</v>
      </c>
    </row>
    <row r="68" spans="2:17" ht="12.75">
      <c r="B68" s="4">
        <v>2</v>
      </c>
      <c r="C68" s="58" t="s">
        <v>21</v>
      </c>
      <c r="D68" s="59" t="s">
        <v>20</v>
      </c>
      <c r="E68" s="60"/>
      <c r="F68" s="59"/>
      <c r="G68" s="59"/>
      <c r="H68" s="59"/>
      <c r="I68" s="59"/>
      <c r="Q68">
        <f t="shared" si="5"/>
        <v>5</v>
      </c>
    </row>
    <row r="69" spans="2:17" ht="12.75">
      <c r="B69" s="4">
        <v>3</v>
      </c>
      <c r="C69" s="58" t="s">
        <v>22</v>
      </c>
      <c r="D69" s="59" t="s">
        <v>20</v>
      </c>
      <c r="F69" s="59"/>
      <c r="G69" s="59"/>
      <c r="H69" s="59"/>
      <c r="I69" s="59"/>
      <c r="Q69">
        <f t="shared" si="5"/>
        <v>5</v>
      </c>
    </row>
    <row r="70" spans="2:17" ht="12.75">
      <c r="B70" s="4">
        <v>4</v>
      </c>
      <c r="C70" s="58" t="s">
        <v>23</v>
      </c>
      <c r="D70" s="59" t="s">
        <v>20</v>
      </c>
      <c r="E70" s="59"/>
      <c r="F70" s="59"/>
      <c r="G70" s="59"/>
      <c r="H70" s="59"/>
      <c r="I70" s="59"/>
      <c r="J70" s="7"/>
      <c r="Q70">
        <f t="shared" si="5"/>
        <v>5</v>
      </c>
    </row>
    <row r="71" spans="2:17" ht="12.75">
      <c r="B71" s="4">
        <v>5</v>
      </c>
      <c r="C71" s="58" t="s">
        <v>24</v>
      </c>
      <c r="D71" s="59" t="s">
        <v>20</v>
      </c>
      <c r="F71" s="59"/>
      <c r="G71" s="59"/>
      <c r="H71" s="59"/>
      <c r="I71" s="59"/>
      <c r="J71" s="7"/>
      <c r="Q71">
        <f t="shared" si="5"/>
        <v>5</v>
      </c>
    </row>
    <row r="72" spans="2:17" ht="12.75">
      <c r="B72" s="4">
        <v>6</v>
      </c>
      <c r="C72" s="58" t="s">
        <v>25</v>
      </c>
      <c r="D72" s="59" t="s">
        <v>20</v>
      </c>
      <c r="E72" s="59"/>
      <c r="F72" s="59"/>
      <c r="G72" s="59"/>
      <c r="H72" s="59"/>
      <c r="I72" s="59"/>
      <c r="J72" s="7"/>
      <c r="Q72">
        <f t="shared" si="5"/>
        <v>5</v>
      </c>
    </row>
    <row r="73" spans="2:17" ht="12.75">
      <c r="B73" s="4">
        <v>7</v>
      </c>
      <c r="C73" s="61" t="s">
        <v>26</v>
      </c>
      <c r="D73" s="62" t="s">
        <v>20</v>
      </c>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64"/>
      <c r="C76" s="22"/>
      <c r="D76" s="68"/>
      <c r="E76" s="69"/>
      <c r="F76" s="69"/>
      <c r="G76" s="69"/>
      <c r="H76" s="23"/>
      <c r="I76" s="23"/>
      <c r="J76" s="7"/>
      <c r="Q76">
        <f>IF(Q74&gt;0,AVERAGE(Q67:Q74),AVERAGE(Q67:Q73))</f>
        <v>5</v>
      </c>
    </row>
    <row r="77" spans="2:17" ht="20.25">
      <c r="B77" s="100" t="s">
        <v>1</v>
      </c>
      <c r="C77" s="101"/>
      <c r="D77" s="75" t="s">
        <v>35</v>
      </c>
      <c r="E77" s="105"/>
      <c r="F77" s="105"/>
      <c r="G77" s="106"/>
      <c r="L77" s="57">
        <f>Q88</f>
        <v>5</v>
      </c>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20</v>
      </c>
      <c r="E79" s="59"/>
      <c r="F79" s="59"/>
      <c r="G79" s="59"/>
      <c r="H79" s="59"/>
      <c r="I79" s="59"/>
      <c r="Q79">
        <f t="shared" ref="Q79:Q85" si="6">COUNTA(D79)*5 +COUNTA(E79)*4+COUNTA(F79)*3+COUNTA(G79)*2+COUNTA(H79)*1</f>
        <v>5</v>
      </c>
    </row>
    <row r="80" spans="2:17" ht="12.75">
      <c r="B80" s="4">
        <v>2</v>
      </c>
      <c r="C80" s="58" t="s">
        <v>21</v>
      </c>
      <c r="D80" s="59" t="s">
        <v>20</v>
      </c>
      <c r="E80" s="60"/>
      <c r="F80" s="59"/>
      <c r="G80" s="59"/>
      <c r="H80" s="59"/>
      <c r="I80" s="59"/>
      <c r="Q80">
        <f t="shared" si="6"/>
        <v>5</v>
      </c>
    </row>
    <row r="81" spans="2:17" ht="12.75">
      <c r="B81" s="4">
        <v>3</v>
      </c>
      <c r="C81" s="58" t="s">
        <v>22</v>
      </c>
      <c r="D81" s="59" t="s">
        <v>20</v>
      </c>
      <c r="F81" s="59"/>
      <c r="G81" s="59"/>
      <c r="H81" s="59"/>
      <c r="I81" s="59"/>
      <c r="Q81">
        <f t="shared" si="6"/>
        <v>5</v>
      </c>
    </row>
    <row r="82" spans="2:17" ht="12.75">
      <c r="B82" s="4">
        <v>4</v>
      </c>
      <c r="C82" s="58" t="s">
        <v>23</v>
      </c>
      <c r="D82" s="59" t="s">
        <v>20</v>
      </c>
      <c r="E82" s="59"/>
      <c r="F82" s="59"/>
      <c r="G82" s="59"/>
      <c r="H82" s="59"/>
      <c r="I82" s="59"/>
      <c r="J82" s="7"/>
      <c r="Q82">
        <f t="shared" si="6"/>
        <v>5</v>
      </c>
    </row>
    <row r="83" spans="2:17" ht="12.75">
      <c r="B83" s="4">
        <v>5</v>
      </c>
      <c r="C83" s="58" t="s">
        <v>24</v>
      </c>
      <c r="D83" s="59" t="s">
        <v>20</v>
      </c>
      <c r="F83" s="59"/>
      <c r="G83" s="59"/>
      <c r="H83" s="59"/>
      <c r="I83" s="59"/>
      <c r="J83" s="7"/>
      <c r="Q83">
        <f t="shared" si="6"/>
        <v>5</v>
      </c>
    </row>
    <row r="84" spans="2:17" ht="12.75">
      <c r="B84" s="4">
        <v>6</v>
      </c>
      <c r="C84" s="58" t="s">
        <v>25</v>
      </c>
      <c r="D84" s="59" t="s">
        <v>20</v>
      </c>
      <c r="E84" s="59"/>
      <c r="F84" s="59"/>
      <c r="G84" s="59"/>
      <c r="H84" s="59"/>
      <c r="I84" s="59"/>
      <c r="J84" s="7"/>
      <c r="Q84">
        <f t="shared" si="6"/>
        <v>5</v>
      </c>
    </row>
    <row r="85" spans="2:17" ht="12.75">
      <c r="B85" s="4">
        <v>7</v>
      </c>
      <c r="C85" s="61" t="s">
        <v>26</v>
      </c>
      <c r="D85" s="62" t="s">
        <v>20</v>
      </c>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64"/>
      <c r="C88" s="22"/>
      <c r="D88" s="68"/>
      <c r="E88" s="69"/>
      <c r="F88" s="69"/>
      <c r="G88" s="69"/>
      <c r="H88" s="23"/>
      <c r="I88" s="23"/>
      <c r="J88" s="7"/>
      <c r="Q88">
        <f>IF(Q86&gt;0,AVERAGE(Q79:Q86),AVERAGE(Q79:Q85))</f>
        <v>5</v>
      </c>
    </row>
    <row r="89" spans="2:17" ht="20.25">
      <c r="B89" s="100" t="s">
        <v>1</v>
      </c>
      <c r="C89" s="101"/>
      <c r="D89" s="75" t="s">
        <v>36</v>
      </c>
      <c r="E89" s="105"/>
      <c r="F89" s="105"/>
      <c r="G89" s="106"/>
      <c r="L89" s="57">
        <f>Q100</f>
        <v>5</v>
      </c>
    </row>
    <row r="90" spans="2:17" ht="23.25">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20</v>
      </c>
      <c r="E91" s="59"/>
      <c r="F91" s="59"/>
      <c r="G91" s="59"/>
      <c r="H91" s="59"/>
      <c r="I91" s="59"/>
      <c r="Q91">
        <f t="shared" ref="Q91:Q97" si="7">COUNTA(D91)*5 +COUNTA(E91)*4+COUNTA(F91)*3+COUNTA(G91)*2+COUNTA(H91)*1</f>
        <v>5</v>
      </c>
    </row>
    <row r="92" spans="2:17" ht="12.75">
      <c r="B92" s="4">
        <v>2</v>
      </c>
      <c r="C92" s="58" t="s">
        <v>21</v>
      </c>
      <c r="D92" s="59" t="s">
        <v>20</v>
      </c>
      <c r="E92" s="60"/>
      <c r="F92" s="59"/>
      <c r="G92" s="59"/>
      <c r="H92" s="59"/>
      <c r="I92" s="59"/>
      <c r="Q92">
        <f t="shared" si="7"/>
        <v>5</v>
      </c>
    </row>
    <row r="93" spans="2:17" ht="12.75">
      <c r="B93" s="4">
        <v>3</v>
      </c>
      <c r="C93" s="58" t="s">
        <v>22</v>
      </c>
      <c r="D93" s="59" t="s">
        <v>20</v>
      </c>
      <c r="F93" s="59"/>
      <c r="G93" s="59"/>
      <c r="H93" s="59"/>
      <c r="I93" s="59"/>
      <c r="Q93">
        <f t="shared" si="7"/>
        <v>5</v>
      </c>
    </row>
    <row r="94" spans="2:17" ht="12.75">
      <c r="B94" s="4">
        <v>4</v>
      </c>
      <c r="C94" s="58" t="s">
        <v>23</v>
      </c>
      <c r="D94" s="59" t="s">
        <v>20</v>
      </c>
      <c r="E94" s="59"/>
      <c r="F94" s="59"/>
      <c r="G94" s="59"/>
      <c r="H94" s="59"/>
      <c r="I94" s="59"/>
      <c r="J94" s="7"/>
      <c r="Q94">
        <f t="shared" si="7"/>
        <v>5</v>
      </c>
    </row>
    <row r="95" spans="2:17" ht="12.75">
      <c r="B95" s="4">
        <v>5</v>
      </c>
      <c r="C95" s="58" t="s">
        <v>24</v>
      </c>
      <c r="D95" s="59" t="s">
        <v>20</v>
      </c>
      <c r="F95" s="59"/>
      <c r="G95" s="59"/>
      <c r="H95" s="59"/>
      <c r="I95" s="59"/>
      <c r="J95" s="7"/>
      <c r="Q95">
        <f t="shared" si="7"/>
        <v>5</v>
      </c>
    </row>
    <row r="96" spans="2:17" ht="12.75">
      <c r="B96" s="4">
        <v>6</v>
      </c>
      <c r="C96" s="58" t="s">
        <v>25</v>
      </c>
      <c r="D96" s="59" t="s">
        <v>20</v>
      </c>
      <c r="E96" s="59"/>
      <c r="F96" s="59"/>
      <c r="G96" s="59"/>
      <c r="H96" s="59"/>
      <c r="I96" s="59"/>
      <c r="J96" s="7"/>
      <c r="Q96">
        <f t="shared" si="7"/>
        <v>5</v>
      </c>
    </row>
    <row r="97" spans="2:17" ht="12.75">
      <c r="B97" s="4">
        <v>7</v>
      </c>
      <c r="C97" s="61" t="s">
        <v>26</v>
      </c>
      <c r="D97" s="62" t="s">
        <v>20</v>
      </c>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t="s">
        <v>37</v>
      </c>
      <c r="E99" s="104"/>
      <c r="F99" s="104"/>
      <c r="G99" s="104"/>
      <c r="H99" s="104"/>
      <c r="I99" s="104"/>
      <c r="J99" s="7"/>
    </row>
    <row r="100" spans="2:17" ht="12.75">
      <c r="B100" s="64"/>
      <c r="C100" s="22"/>
      <c r="D100" s="68"/>
      <c r="E100" s="69"/>
      <c r="F100" s="69"/>
      <c r="G100" s="69"/>
      <c r="H100" s="23"/>
      <c r="I100" s="23"/>
      <c r="J100" s="7"/>
      <c r="Q100">
        <f>IF(Q98&gt;0,AVERAGE(Q91:Q98),AVERAGE(Q91:Q97))</f>
        <v>5</v>
      </c>
    </row>
    <row r="101" spans="2:17" ht="20.25">
      <c r="B101" s="100" t="s">
        <v>1</v>
      </c>
      <c r="C101" s="101"/>
      <c r="D101" s="75" t="s">
        <v>38</v>
      </c>
      <c r="E101" s="105"/>
      <c r="F101" s="105"/>
      <c r="G101" s="106"/>
      <c r="L101" s="57">
        <f>Q112</f>
        <v>5</v>
      </c>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20</v>
      </c>
      <c r="E103" s="59"/>
      <c r="F103" s="59"/>
      <c r="G103" s="59"/>
      <c r="H103" s="59"/>
      <c r="I103" s="59"/>
      <c r="Q103">
        <f t="shared" ref="Q103:Q109" si="8">COUNTA(D103)*5 +COUNTA(E103)*4+COUNTA(F103)*3+COUNTA(G103)*2+COUNTA(H103)*1</f>
        <v>5</v>
      </c>
    </row>
    <row r="104" spans="2:17" ht="12.75">
      <c r="B104" s="4">
        <v>2</v>
      </c>
      <c r="C104" s="58" t="s">
        <v>21</v>
      </c>
      <c r="D104" s="59" t="s">
        <v>20</v>
      </c>
      <c r="E104" s="60"/>
      <c r="F104" s="59"/>
      <c r="G104" s="59"/>
      <c r="H104" s="59"/>
      <c r="I104" s="59"/>
      <c r="Q104">
        <f t="shared" si="8"/>
        <v>5</v>
      </c>
    </row>
    <row r="105" spans="2:17" ht="12.75">
      <c r="B105" s="4">
        <v>3</v>
      </c>
      <c r="C105" s="58" t="s">
        <v>22</v>
      </c>
      <c r="D105" s="59" t="s">
        <v>20</v>
      </c>
      <c r="F105" s="59"/>
      <c r="G105" s="59"/>
      <c r="H105" s="59"/>
      <c r="I105" s="59"/>
      <c r="Q105">
        <f t="shared" si="8"/>
        <v>5</v>
      </c>
    </row>
    <row r="106" spans="2:17" ht="12.75">
      <c r="B106" s="4">
        <v>4</v>
      </c>
      <c r="C106" s="58" t="s">
        <v>23</v>
      </c>
      <c r="D106" s="59" t="s">
        <v>20</v>
      </c>
      <c r="E106" s="59"/>
      <c r="F106" s="59"/>
      <c r="G106" s="59"/>
      <c r="H106" s="59"/>
      <c r="I106" s="59"/>
      <c r="J106" s="7"/>
      <c r="Q106">
        <f t="shared" si="8"/>
        <v>5</v>
      </c>
    </row>
    <row r="107" spans="2:17" ht="12.75">
      <c r="B107" s="4">
        <v>5</v>
      </c>
      <c r="C107" s="58" t="s">
        <v>24</v>
      </c>
      <c r="D107" s="59" t="s">
        <v>20</v>
      </c>
      <c r="F107" s="59"/>
      <c r="G107" s="59"/>
      <c r="H107" s="59"/>
      <c r="I107" s="59"/>
      <c r="J107" s="7"/>
      <c r="Q107">
        <f t="shared" si="8"/>
        <v>5</v>
      </c>
    </row>
    <row r="108" spans="2:17" ht="12.75">
      <c r="B108" s="4">
        <v>6</v>
      </c>
      <c r="C108" s="58" t="s">
        <v>25</v>
      </c>
      <c r="D108" s="59" t="s">
        <v>20</v>
      </c>
      <c r="E108" s="59"/>
      <c r="F108" s="59"/>
      <c r="G108" s="59"/>
      <c r="H108" s="59"/>
      <c r="I108" s="59"/>
      <c r="J108" s="7"/>
      <c r="Q108">
        <f t="shared" si="8"/>
        <v>5</v>
      </c>
    </row>
    <row r="109" spans="2:17" ht="12.75">
      <c r="B109" s="4">
        <v>7</v>
      </c>
      <c r="C109" s="61" t="s">
        <v>26</v>
      </c>
      <c r="D109" s="62" t="s">
        <v>20</v>
      </c>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t="s">
        <v>39</v>
      </c>
      <c r="E111" s="104"/>
      <c r="F111" s="104"/>
      <c r="G111" s="104"/>
      <c r="H111" s="104"/>
      <c r="I111" s="104"/>
      <c r="J111" s="7"/>
    </row>
    <row r="112" spans="2:17" ht="12.75">
      <c r="B112" s="64"/>
      <c r="C112" s="22"/>
      <c r="D112" s="68"/>
      <c r="E112" s="69"/>
      <c r="F112" s="69"/>
      <c r="G112" s="69"/>
      <c r="H112" s="23"/>
      <c r="I112" s="23"/>
      <c r="J112" s="7"/>
      <c r="Q112">
        <f>IF(Q110&gt;0,AVERAGE(Q103:Q110),AVERAGE(Q103:Q109))</f>
        <v>5</v>
      </c>
    </row>
    <row r="113" spans="2:17" ht="20.25">
      <c r="B113" s="100" t="s">
        <v>1</v>
      </c>
      <c r="C113" s="101"/>
      <c r="D113" s="75" t="s">
        <v>40</v>
      </c>
      <c r="E113" s="105"/>
      <c r="F113" s="105"/>
      <c r="G113" s="106"/>
      <c r="L113" s="57">
        <f>Q124</f>
        <v>5</v>
      </c>
    </row>
    <row r="114" spans="2:17" ht="24">
      <c r="B114" s="3" t="s">
        <v>0</v>
      </c>
      <c r="C114" s="3" t="s">
        <v>13</v>
      </c>
      <c r="D114" s="3" t="s">
        <v>14</v>
      </c>
      <c r="E114" s="3" t="s">
        <v>15</v>
      </c>
      <c r="F114" s="3" t="s">
        <v>16</v>
      </c>
      <c r="G114" s="3" t="s">
        <v>17</v>
      </c>
      <c r="H114" s="3" t="s">
        <v>18</v>
      </c>
      <c r="I114" s="3" t="s">
        <v>5</v>
      </c>
      <c r="J114" s="2"/>
      <c r="K114" s="2"/>
      <c r="L114" s="2"/>
      <c r="M114" s="2"/>
      <c r="N114" s="2"/>
      <c r="O114" s="2"/>
      <c r="P114" s="2"/>
      <c r="Q114" s="2"/>
    </row>
    <row r="115" spans="2:17" ht="12.75">
      <c r="B115" s="4">
        <v>1</v>
      </c>
      <c r="C115" s="58" t="s">
        <v>19</v>
      </c>
      <c r="D115" s="59" t="s">
        <v>20</v>
      </c>
      <c r="E115" s="59"/>
      <c r="F115" s="59"/>
      <c r="G115" s="59"/>
      <c r="H115" s="59"/>
      <c r="I115" s="59"/>
      <c r="Q115">
        <f t="shared" ref="Q115:Q121" si="9">COUNTA(D115)*5 +COUNTA(E115)*4+COUNTA(F115)*3+COUNTA(G115)*2+COUNTA(H115)*1</f>
        <v>5</v>
      </c>
    </row>
    <row r="116" spans="2:17" ht="12.75">
      <c r="B116" s="4">
        <v>2</v>
      </c>
      <c r="C116" s="58" t="s">
        <v>21</v>
      </c>
      <c r="D116" s="59" t="s">
        <v>20</v>
      </c>
      <c r="E116" s="60"/>
      <c r="F116" s="59"/>
      <c r="G116" s="59"/>
      <c r="H116" s="59"/>
      <c r="I116" s="59"/>
      <c r="Q116">
        <f t="shared" si="9"/>
        <v>5</v>
      </c>
    </row>
    <row r="117" spans="2:17" ht="12.75">
      <c r="B117" s="4">
        <v>3</v>
      </c>
      <c r="C117" s="58" t="s">
        <v>22</v>
      </c>
      <c r="D117" s="59" t="s">
        <v>20</v>
      </c>
      <c r="F117" s="59"/>
      <c r="G117" s="59"/>
      <c r="H117" s="59"/>
      <c r="I117" s="59"/>
      <c r="Q117">
        <f t="shared" si="9"/>
        <v>5</v>
      </c>
    </row>
    <row r="118" spans="2:17" ht="12.75">
      <c r="B118" s="4">
        <v>4</v>
      </c>
      <c r="C118" s="58" t="s">
        <v>23</v>
      </c>
      <c r="D118" s="59" t="s">
        <v>20</v>
      </c>
      <c r="E118" s="59"/>
      <c r="F118" s="59"/>
      <c r="G118" s="59"/>
      <c r="H118" s="59"/>
      <c r="I118" s="59"/>
      <c r="J118" s="7"/>
      <c r="Q118">
        <f t="shared" si="9"/>
        <v>5</v>
      </c>
    </row>
    <row r="119" spans="2:17" ht="12.75">
      <c r="B119" s="4">
        <v>5</v>
      </c>
      <c r="C119" s="58" t="s">
        <v>24</v>
      </c>
      <c r="D119" s="59" t="s">
        <v>20</v>
      </c>
      <c r="F119" s="59"/>
      <c r="G119" s="59"/>
      <c r="H119" s="59"/>
      <c r="I119" s="59"/>
      <c r="J119" s="7"/>
      <c r="Q119">
        <f t="shared" si="9"/>
        <v>5</v>
      </c>
    </row>
    <row r="120" spans="2:17" ht="12.75">
      <c r="B120" s="4">
        <v>6</v>
      </c>
      <c r="C120" s="58" t="s">
        <v>25</v>
      </c>
      <c r="D120" s="59" t="s">
        <v>20</v>
      </c>
      <c r="E120" s="59"/>
      <c r="F120" s="59"/>
      <c r="G120" s="59"/>
      <c r="H120" s="59"/>
      <c r="I120" s="59"/>
      <c r="J120" s="7"/>
      <c r="Q120">
        <f t="shared" si="9"/>
        <v>5</v>
      </c>
    </row>
    <row r="121" spans="2:17" ht="12.75">
      <c r="B121" s="4">
        <v>7</v>
      </c>
      <c r="C121" s="61" t="s">
        <v>26</v>
      </c>
      <c r="D121" s="62" t="s">
        <v>20</v>
      </c>
      <c r="F121" s="63"/>
      <c r="G121" s="63"/>
      <c r="H121" s="63"/>
      <c r="I121" s="63"/>
      <c r="J121" s="7"/>
      <c r="Q121">
        <f t="shared" si="9"/>
        <v>5</v>
      </c>
    </row>
    <row r="122" spans="2:17" ht="12.75">
      <c r="B122" s="4">
        <v>8</v>
      </c>
      <c r="C122" s="66" t="s">
        <v>27</v>
      </c>
      <c r="D122" s="76"/>
      <c r="E122" s="77"/>
      <c r="F122" s="77"/>
      <c r="G122" s="77"/>
      <c r="H122" s="77"/>
      <c r="I122" s="78"/>
      <c r="J122" s="7"/>
      <c r="Q122">
        <f>IF(COUNTA(D122) &gt;=1, 2, 5)</f>
        <v>5</v>
      </c>
    </row>
    <row r="123" spans="2:17" ht="12.75">
      <c r="B123" s="65">
        <v>9</v>
      </c>
      <c r="C123" s="67" t="s">
        <v>28</v>
      </c>
      <c r="D123" s="81"/>
      <c r="E123" s="104"/>
      <c r="F123" s="104"/>
      <c r="G123" s="104"/>
      <c r="H123" s="104"/>
      <c r="I123" s="104"/>
      <c r="J123" s="7"/>
    </row>
    <row r="124" spans="2:17" ht="12.75">
      <c r="B124" s="64"/>
      <c r="C124" s="22"/>
      <c r="D124" s="68"/>
      <c r="E124" s="69"/>
      <c r="F124" s="69"/>
      <c r="G124" s="69"/>
      <c r="H124" s="23"/>
      <c r="I124" s="23"/>
      <c r="J124" s="7"/>
      <c r="Q124">
        <f>IF(Q122&gt;0,AVERAGE(Q115:Q122),AVERAGE(Q115:Q121))</f>
        <v>5</v>
      </c>
    </row>
    <row r="125" spans="2:17" ht="20.25">
      <c r="B125" s="100" t="s">
        <v>1</v>
      </c>
      <c r="C125" s="101"/>
      <c r="D125" s="75" t="s">
        <v>41</v>
      </c>
      <c r="E125" s="105"/>
      <c r="F125" s="105"/>
      <c r="G125" s="106"/>
      <c r="L125" s="57">
        <f>Q136</f>
        <v>5</v>
      </c>
    </row>
    <row r="126" spans="2:17" ht="24">
      <c r="B126" s="3" t="s">
        <v>0</v>
      </c>
      <c r="C126" s="3" t="s">
        <v>13</v>
      </c>
      <c r="D126" s="3" t="s">
        <v>14</v>
      </c>
      <c r="E126" s="3" t="s">
        <v>15</v>
      </c>
      <c r="F126" s="3" t="s">
        <v>16</v>
      </c>
      <c r="G126" s="3" t="s">
        <v>17</v>
      </c>
      <c r="H126" s="3" t="s">
        <v>18</v>
      </c>
      <c r="I126" s="3" t="s">
        <v>5</v>
      </c>
      <c r="J126" s="2"/>
      <c r="K126" s="2"/>
      <c r="L126" s="2"/>
      <c r="M126" s="2"/>
      <c r="N126" s="2"/>
      <c r="O126" s="2"/>
      <c r="P126" s="2"/>
      <c r="Q126" s="2"/>
    </row>
    <row r="127" spans="2:17" ht="12.75">
      <c r="B127" s="4">
        <v>1</v>
      </c>
      <c r="C127" s="58" t="s">
        <v>19</v>
      </c>
      <c r="D127" s="59" t="s">
        <v>20</v>
      </c>
      <c r="E127" s="59"/>
      <c r="F127" s="59"/>
      <c r="G127" s="59"/>
      <c r="H127" s="59"/>
      <c r="I127" s="59"/>
      <c r="Q127">
        <f t="shared" ref="Q127:Q133" si="10">COUNTA(D127)*5 +COUNTA(E127)*4+COUNTA(F127)*3+COUNTA(G127)*2+COUNTA(H127)*1</f>
        <v>5</v>
      </c>
    </row>
    <row r="128" spans="2:17" ht="12.75">
      <c r="B128" s="4">
        <v>2</v>
      </c>
      <c r="C128" s="58" t="s">
        <v>21</v>
      </c>
      <c r="D128" s="59" t="s">
        <v>20</v>
      </c>
      <c r="E128" s="60"/>
      <c r="F128" s="59"/>
      <c r="G128" s="59"/>
      <c r="H128" s="59"/>
      <c r="I128" s="59"/>
      <c r="Q128">
        <f t="shared" si="10"/>
        <v>5</v>
      </c>
    </row>
    <row r="129" spans="2:17" ht="12.75">
      <c r="B129" s="4">
        <v>3</v>
      </c>
      <c r="C129" s="58" t="s">
        <v>22</v>
      </c>
      <c r="D129" s="59" t="s">
        <v>20</v>
      </c>
      <c r="F129" s="59"/>
      <c r="G129" s="59"/>
      <c r="H129" s="59"/>
      <c r="I129" s="59"/>
      <c r="Q129">
        <f t="shared" si="10"/>
        <v>5</v>
      </c>
    </row>
    <row r="130" spans="2:17" ht="12.75">
      <c r="B130" s="4">
        <v>4</v>
      </c>
      <c r="C130" s="58" t="s">
        <v>23</v>
      </c>
      <c r="D130" s="59" t="s">
        <v>20</v>
      </c>
      <c r="E130" s="59"/>
      <c r="F130" s="59"/>
      <c r="G130" s="59"/>
      <c r="H130" s="59"/>
      <c r="I130" s="59"/>
      <c r="J130" s="7"/>
      <c r="Q130">
        <f t="shared" si="10"/>
        <v>5</v>
      </c>
    </row>
    <row r="131" spans="2:17" ht="12.75">
      <c r="B131" s="4">
        <v>5</v>
      </c>
      <c r="C131" s="58" t="s">
        <v>24</v>
      </c>
      <c r="D131" s="59" t="s">
        <v>20</v>
      </c>
      <c r="F131" s="59"/>
      <c r="G131" s="59"/>
      <c r="H131" s="59"/>
      <c r="I131" s="59"/>
      <c r="J131" s="7"/>
      <c r="Q131">
        <f t="shared" si="10"/>
        <v>5</v>
      </c>
    </row>
    <row r="132" spans="2:17" ht="12.75">
      <c r="B132" s="4">
        <v>6</v>
      </c>
      <c r="C132" s="58" t="s">
        <v>25</v>
      </c>
      <c r="D132" s="59" t="s">
        <v>20</v>
      </c>
      <c r="E132" s="59"/>
      <c r="F132" s="59"/>
      <c r="G132" s="59"/>
      <c r="H132" s="59"/>
      <c r="I132" s="59"/>
      <c r="J132" s="7"/>
      <c r="Q132">
        <f t="shared" si="10"/>
        <v>5</v>
      </c>
    </row>
    <row r="133" spans="2:17" ht="12.75">
      <c r="B133" s="4">
        <v>7</v>
      </c>
      <c r="C133" s="61" t="s">
        <v>26</v>
      </c>
      <c r="D133" s="62" t="s">
        <v>20</v>
      </c>
      <c r="F133" s="63"/>
      <c r="G133" s="63"/>
      <c r="H133" s="63"/>
      <c r="I133" s="63"/>
      <c r="J133" s="7"/>
      <c r="Q133">
        <f t="shared" si="10"/>
        <v>5</v>
      </c>
    </row>
    <row r="134" spans="2:17" ht="12.75">
      <c r="B134" s="4">
        <v>8</v>
      </c>
      <c r="C134" s="66" t="s">
        <v>27</v>
      </c>
      <c r="D134" s="76"/>
      <c r="E134" s="77"/>
      <c r="F134" s="77"/>
      <c r="G134" s="77"/>
      <c r="H134" s="77"/>
      <c r="I134" s="78"/>
      <c r="J134" s="7"/>
      <c r="Q134">
        <f>IF(COUNTA(D134) &gt;=1, 2, 5)</f>
        <v>5</v>
      </c>
    </row>
    <row r="135" spans="2:17" ht="12.75">
      <c r="B135" s="65">
        <v>9</v>
      </c>
      <c r="C135" s="67" t="s">
        <v>28</v>
      </c>
      <c r="D135" s="81"/>
      <c r="E135" s="104"/>
      <c r="F135" s="104"/>
      <c r="G135" s="104"/>
      <c r="H135" s="104"/>
      <c r="I135" s="104"/>
      <c r="J135" s="7"/>
    </row>
    <row r="136" spans="2:17" ht="12.75">
      <c r="B136" s="64"/>
      <c r="C136" s="22"/>
      <c r="D136" s="68"/>
      <c r="E136" s="69"/>
      <c r="F136" s="69"/>
      <c r="G136" s="69"/>
      <c r="H136" s="23"/>
      <c r="I136" s="23"/>
      <c r="J136" s="7"/>
      <c r="Q136">
        <f>IF(Q134&gt;0,AVERAGE(Q127:Q134),AVERAGE(Q127:Q133))</f>
        <v>5</v>
      </c>
    </row>
    <row r="137" spans="2:17" ht="20.25">
      <c r="B137" s="100" t="s">
        <v>1</v>
      </c>
      <c r="C137" s="101"/>
      <c r="D137" s="75" t="s">
        <v>42</v>
      </c>
      <c r="E137" s="105"/>
      <c r="F137" s="105"/>
      <c r="G137" s="106"/>
      <c r="L137" s="57">
        <f>Q148</f>
        <v>5</v>
      </c>
    </row>
    <row r="138" spans="2:17" ht="24">
      <c r="B138" s="3" t="s">
        <v>0</v>
      </c>
      <c r="C138" s="3" t="s">
        <v>13</v>
      </c>
      <c r="D138" s="3" t="s">
        <v>14</v>
      </c>
      <c r="E138" s="3" t="s">
        <v>15</v>
      </c>
      <c r="F138" s="3" t="s">
        <v>16</v>
      </c>
      <c r="G138" s="3" t="s">
        <v>17</v>
      </c>
      <c r="H138" s="3" t="s">
        <v>18</v>
      </c>
      <c r="I138" s="3" t="s">
        <v>5</v>
      </c>
      <c r="J138" s="2"/>
      <c r="K138" s="2"/>
      <c r="L138" s="2"/>
      <c r="M138" s="2"/>
      <c r="N138" s="2"/>
      <c r="O138" s="2"/>
      <c r="P138" s="2"/>
      <c r="Q138" s="2"/>
    </row>
    <row r="139" spans="2:17" ht="12.75">
      <c r="B139" s="4">
        <v>1</v>
      </c>
      <c r="C139" s="58" t="s">
        <v>19</v>
      </c>
      <c r="D139" s="59" t="s">
        <v>20</v>
      </c>
      <c r="E139" s="59"/>
      <c r="F139" s="59"/>
      <c r="G139" s="59"/>
      <c r="H139" s="59"/>
      <c r="I139" s="59"/>
      <c r="Q139">
        <f t="shared" ref="Q139:Q145" si="11">COUNTA(D139)*5 +COUNTA(E139)*4+COUNTA(F139)*3+COUNTA(G139)*2+COUNTA(H139)*1</f>
        <v>5</v>
      </c>
    </row>
    <row r="140" spans="2:17" ht="12.75">
      <c r="B140" s="4">
        <v>2</v>
      </c>
      <c r="C140" s="58" t="s">
        <v>21</v>
      </c>
      <c r="D140" s="59" t="s">
        <v>20</v>
      </c>
      <c r="E140" s="60"/>
      <c r="F140" s="59"/>
      <c r="G140" s="59"/>
      <c r="H140" s="59"/>
      <c r="I140" s="59"/>
      <c r="Q140">
        <f t="shared" si="11"/>
        <v>5</v>
      </c>
    </row>
    <row r="141" spans="2:17" ht="12.75">
      <c r="B141" s="4">
        <v>3</v>
      </c>
      <c r="C141" s="58" t="s">
        <v>22</v>
      </c>
      <c r="D141" s="59" t="s">
        <v>20</v>
      </c>
      <c r="F141" s="59"/>
      <c r="G141" s="59"/>
      <c r="H141" s="59"/>
      <c r="I141" s="59"/>
      <c r="Q141">
        <f t="shared" si="11"/>
        <v>5</v>
      </c>
    </row>
    <row r="142" spans="2:17" ht="12.75">
      <c r="B142" s="4">
        <v>4</v>
      </c>
      <c r="C142" s="58" t="s">
        <v>23</v>
      </c>
      <c r="D142" s="59" t="s">
        <v>20</v>
      </c>
      <c r="E142" s="59"/>
      <c r="F142" s="59"/>
      <c r="G142" s="59"/>
      <c r="H142" s="59"/>
      <c r="I142" s="59"/>
      <c r="J142" s="7"/>
      <c r="Q142">
        <f t="shared" si="11"/>
        <v>5</v>
      </c>
    </row>
    <row r="143" spans="2:17" ht="12.75">
      <c r="B143" s="4">
        <v>5</v>
      </c>
      <c r="C143" s="58" t="s">
        <v>24</v>
      </c>
      <c r="D143" s="59" t="s">
        <v>20</v>
      </c>
      <c r="F143" s="59"/>
      <c r="G143" s="59"/>
      <c r="H143" s="59"/>
      <c r="I143" s="59"/>
      <c r="J143" s="7"/>
      <c r="Q143">
        <f t="shared" si="11"/>
        <v>5</v>
      </c>
    </row>
    <row r="144" spans="2:17" ht="12.75">
      <c r="B144" s="4">
        <v>6</v>
      </c>
      <c r="C144" s="58" t="s">
        <v>25</v>
      </c>
      <c r="D144" s="59" t="s">
        <v>20</v>
      </c>
      <c r="E144" s="59"/>
      <c r="F144" s="59"/>
      <c r="G144" s="59"/>
      <c r="H144" s="59"/>
      <c r="I144" s="59"/>
      <c r="J144" s="7"/>
      <c r="Q144">
        <f t="shared" si="11"/>
        <v>5</v>
      </c>
    </row>
    <row r="145" spans="2:17" ht="12.75">
      <c r="B145" s="4">
        <v>7</v>
      </c>
      <c r="C145" s="61" t="s">
        <v>26</v>
      </c>
      <c r="D145" s="62" t="s">
        <v>20</v>
      </c>
      <c r="F145" s="63"/>
      <c r="G145" s="63"/>
      <c r="H145" s="63"/>
      <c r="I145" s="63"/>
      <c r="J145" s="7"/>
      <c r="Q145">
        <f t="shared" si="11"/>
        <v>5</v>
      </c>
    </row>
    <row r="146" spans="2:17" ht="12.75">
      <c r="B146" s="4">
        <v>8</v>
      </c>
      <c r="C146" s="66" t="s">
        <v>27</v>
      </c>
      <c r="D146" s="76"/>
      <c r="E146" s="77"/>
      <c r="F146" s="77"/>
      <c r="G146" s="77"/>
      <c r="H146" s="77"/>
      <c r="I146" s="78"/>
      <c r="J146" s="7"/>
      <c r="Q146">
        <f>IF(COUNTA(D146) &gt;=1, 2, 5)</f>
        <v>5</v>
      </c>
    </row>
    <row r="147" spans="2:17" ht="12.75">
      <c r="B147" s="65">
        <v>9</v>
      </c>
      <c r="C147" s="67" t="s">
        <v>28</v>
      </c>
      <c r="D147" s="81"/>
      <c r="E147" s="104"/>
      <c r="F147" s="104"/>
      <c r="G147" s="104"/>
      <c r="H147" s="104"/>
      <c r="I147" s="104"/>
      <c r="J147" s="7"/>
    </row>
    <row r="148" spans="2:17" ht="12.75">
      <c r="B148" s="64"/>
      <c r="C148" s="22"/>
      <c r="D148" s="68"/>
      <c r="E148" s="69"/>
      <c r="F148" s="69"/>
      <c r="G148" s="69"/>
      <c r="H148" s="23"/>
      <c r="I148" s="23"/>
      <c r="J148" s="7"/>
      <c r="Q148">
        <f>IF(Q146&gt;0,AVERAGE(Q139:Q146),AVERAGE(Q139:Q145))</f>
        <v>5</v>
      </c>
    </row>
    <row r="149" spans="2:17" ht="20.25">
      <c r="B149" s="100" t="s">
        <v>1</v>
      </c>
      <c r="C149" s="101"/>
      <c r="D149" s="74" t="s">
        <v>43</v>
      </c>
      <c r="E149" s="20"/>
      <c r="F149" s="20"/>
      <c r="G149" s="21"/>
      <c r="L149" s="57">
        <f>Q160</f>
        <v>5</v>
      </c>
    </row>
    <row r="150" spans="2:17" ht="24">
      <c r="B150" s="3" t="s">
        <v>0</v>
      </c>
      <c r="C150" s="3" t="s">
        <v>13</v>
      </c>
      <c r="D150" s="3" t="s">
        <v>14</v>
      </c>
      <c r="E150" s="3" t="s">
        <v>15</v>
      </c>
      <c r="F150" s="3" t="s">
        <v>16</v>
      </c>
      <c r="G150" s="3" t="s">
        <v>17</v>
      </c>
      <c r="H150" s="3" t="s">
        <v>18</v>
      </c>
      <c r="I150" s="3" t="s">
        <v>5</v>
      </c>
      <c r="J150" s="2"/>
      <c r="K150" s="2"/>
      <c r="L150" s="2"/>
      <c r="M150" s="2"/>
      <c r="N150" s="2"/>
      <c r="O150" s="2"/>
      <c r="P150" s="2"/>
      <c r="Q150" s="2"/>
    </row>
    <row r="151" spans="2:17" ht="12.75">
      <c r="B151" s="4">
        <v>1</v>
      </c>
      <c r="C151" s="58" t="s">
        <v>19</v>
      </c>
      <c r="D151" s="59" t="s">
        <v>20</v>
      </c>
      <c r="E151" s="59"/>
      <c r="F151" s="59"/>
      <c r="G151" s="59"/>
      <c r="H151" s="59"/>
      <c r="I151" s="59"/>
      <c r="Q151">
        <f t="shared" ref="Q151:Q157" si="12">COUNTA(D151)*5 +COUNTA(E151)*4+COUNTA(F151)*3+COUNTA(G151)*2+COUNTA(H151)*1</f>
        <v>5</v>
      </c>
    </row>
    <row r="152" spans="2:17" ht="12.75">
      <c r="B152" s="4">
        <v>2</v>
      </c>
      <c r="C152" s="58" t="s">
        <v>21</v>
      </c>
      <c r="D152" s="59" t="s">
        <v>20</v>
      </c>
      <c r="E152" s="60"/>
      <c r="F152" s="59"/>
      <c r="G152" s="59"/>
      <c r="H152" s="59"/>
      <c r="I152" s="59"/>
      <c r="Q152">
        <f t="shared" si="12"/>
        <v>5</v>
      </c>
    </row>
    <row r="153" spans="2:17" ht="12.75">
      <c r="B153" s="4">
        <v>3</v>
      </c>
      <c r="C153" s="58" t="s">
        <v>22</v>
      </c>
      <c r="D153" s="59" t="s">
        <v>20</v>
      </c>
      <c r="F153" s="59"/>
      <c r="G153" s="59"/>
      <c r="H153" s="59"/>
      <c r="I153" s="59"/>
      <c r="Q153">
        <f t="shared" si="12"/>
        <v>5</v>
      </c>
    </row>
    <row r="154" spans="2:17" ht="12.75">
      <c r="B154" s="4">
        <v>4</v>
      </c>
      <c r="C154" s="58" t="s">
        <v>23</v>
      </c>
      <c r="D154" s="59" t="s">
        <v>20</v>
      </c>
      <c r="E154" s="59"/>
      <c r="F154" s="59"/>
      <c r="G154" s="59"/>
      <c r="H154" s="59"/>
      <c r="I154" s="59"/>
      <c r="J154" s="7"/>
      <c r="Q154">
        <f t="shared" si="12"/>
        <v>5</v>
      </c>
    </row>
    <row r="155" spans="2:17" ht="12.75">
      <c r="B155" s="4">
        <v>5</v>
      </c>
      <c r="C155" s="58" t="s">
        <v>24</v>
      </c>
      <c r="D155" s="59" t="s">
        <v>20</v>
      </c>
      <c r="F155" s="59"/>
      <c r="G155" s="59"/>
      <c r="H155" s="59"/>
      <c r="I155" s="59"/>
      <c r="J155" s="7"/>
      <c r="Q155">
        <f t="shared" si="12"/>
        <v>5</v>
      </c>
    </row>
    <row r="156" spans="2:17" ht="12.75">
      <c r="B156" s="4">
        <v>6</v>
      </c>
      <c r="C156" s="58" t="s">
        <v>25</v>
      </c>
      <c r="D156" s="59" t="s">
        <v>20</v>
      </c>
      <c r="E156" s="59"/>
      <c r="F156" s="59"/>
      <c r="G156" s="59"/>
      <c r="H156" s="59"/>
      <c r="I156" s="59"/>
      <c r="J156" s="7"/>
      <c r="Q156">
        <f t="shared" si="12"/>
        <v>5</v>
      </c>
    </row>
    <row r="157" spans="2:17" ht="12.75">
      <c r="B157" s="4">
        <v>7</v>
      </c>
      <c r="C157" s="61" t="s">
        <v>26</v>
      </c>
      <c r="D157" s="62" t="s">
        <v>20</v>
      </c>
      <c r="F157" s="63"/>
      <c r="G157" s="63"/>
      <c r="H157" s="63"/>
      <c r="I157" s="63"/>
      <c r="J157" s="7"/>
      <c r="Q157">
        <f t="shared" si="12"/>
        <v>5</v>
      </c>
    </row>
    <row r="158" spans="2:17" ht="12.75">
      <c r="B158" s="4">
        <v>8</v>
      </c>
      <c r="C158" s="66" t="s">
        <v>27</v>
      </c>
      <c r="D158" s="76"/>
      <c r="E158" s="77"/>
      <c r="F158" s="77"/>
      <c r="G158" s="77"/>
      <c r="H158" s="77"/>
      <c r="I158" s="78"/>
      <c r="J158" s="7"/>
      <c r="Q158">
        <f>IF(COUNTA(D158) &gt;=1, 2, 5)</f>
        <v>5</v>
      </c>
    </row>
    <row r="159" spans="2:17" ht="12.75">
      <c r="B159" s="65">
        <v>9</v>
      </c>
      <c r="C159" s="67" t="s">
        <v>28</v>
      </c>
      <c r="D159" s="81"/>
      <c r="E159" s="104"/>
      <c r="F159" s="104"/>
      <c r="G159" s="104"/>
      <c r="H159" s="104"/>
      <c r="I159" s="104"/>
      <c r="J159" s="7"/>
    </row>
    <row r="160" spans="2:17" ht="12.75">
      <c r="B160" s="64"/>
      <c r="C160" s="22"/>
      <c r="D160" s="68"/>
      <c r="E160" s="69"/>
      <c r="F160" s="69"/>
      <c r="G160" s="69"/>
      <c r="H160" s="23"/>
      <c r="I160" s="23"/>
      <c r="J160" s="7"/>
      <c r="Q160">
        <f>IF(Q158&gt;0,AVERAGE(Q151:Q158),AVERAGE(Q151:Q157))</f>
        <v>5</v>
      </c>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sheetData>
  <mergeCells count="52">
    <mergeCell ref="B137:C137"/>
    <mergeCell ref="D137:G137"/>
    <mergeCell ref="D146:I146"/>
    <mergeCell ref="D147:I147"/>
    <mergeCell ref="B125:C125"/>
    <mergeCell ref="D125:G125"/>
    <mergeCell ref="D134:I134"/>
    <mergeCell ref="D135:I135"/>
    <mergeCell ref="B89:C89"/>
    <mergeCell ref="D89:G89"/>
    <mergeCell ref="D98:I98"/>
    <mergeCell ref="D99:I99"/>
    <mergeCell ref="B113:C113"/>
    <mergeCell ref="D113:G113"/>
    <mergeCell ref="D122:I122"/>
    <mergeCell ref="D123:I123"/>
    <mergeCell ref="B101:C101"/>
    <mergeCell ref="D101:G101"/>
    <mergeCell ref="D110:I110"/>
    <mergeCell ref="D111:I111"/>
    <mergeCell ref="D87:I87"/>
    <mergeCell ref="B65:C65"/>
    <mergeCell ref="D65:G65"/>
    <mergeCell ref="D74:I74"/>
    <mergeCell ref="D75:I75"/>
    <mergeCell ref="B77:C77"/>
    <mergeCell ref="D77:G77"/>
    <mergeCell ref="D26:I26"/>
    <mergeCell ref="D27:I27"/>
    <mergeCell ref="B41:C41"/>
    <mergeCell ref="D41:G41"/>
    <mergeCell ref="D86:I86"/>
    <mergeCell ref="B53:C53"/>
    <mergeCell ref="D53:G53"/>
    <mergeCell ref="D62:I62"/>
    <mergeCell ref="D63:I63"/>
    <mergeCell ref="B149:C149"/>
    <mergeCell ref="D158:I158"/>
    <mergeCell ref="D159:I159"/>
    <mergeCell ref="L4:L5"/>
    <mergeCell ref="B5:C5"/>
    <mergeCell ref="D5:G5"/>
    <mergeCell ref="D14:I14"/>
    <mergeCell ref="D15:I15"/>
    <mergeCell ref="D50:I50"/>
    <mergeCell ref="D51:I51"/>
    <mergeCell ref="B29:C29"/>
    <mergeCell ref="D29:G29"/>
    <mergeCell ref="D38:I38"/>
    <mergeCell ref="D39:I39"/>
    <mergeCell ref="B17:C17"/>
    <mergeCell ref="D17:G17"/>
  </mergeCells>
  <pageMargins left="0" right="0" top="0" bottom="0" header="0" footer="0"/>
  <pageSetup paperSize="8" fitToWidth="0" fitToHeight="0" orientation="landscape"/>
  <headerFooter>
    <oddFooter>&amp;R_x000D_&amp;1#&amp;"Calibri"&amp;8&amp;K000000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6E4C-2013-47AF-AA8B-1A299B4277E3}">
  <sheetPr>
    <outlinePr summaryBelow="0" summaryRight="0"/>
  </sheetPr>
  <dimension ref="A1:Y956"/>
  <sheetViews>
    <sheetView showGridLines="0" topLeftCell="A140" zoomScale="90" zoomScaleNormal="90" workbookViewId="0">
      <selection activeCell="D161" sqref="D161:G161"/>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c r="C2" s="39" t="s">
        <v>44</v>
      </c>
      <c r="D2" s="39" t="s">
        <v>12</v>
      </c>
    </row>
    <row r="3" spans="1:25" ht="12.75">
      <c r="B3" s="1"/>
    </row>
    <row r="4" spans="1:25" ht="12.75">
      <c r="B4" s="1"/>
      <c r="L4" s="82" t="s">
        <v>45</v>
      </c>
    </row>
    <row r="5" spans="1:25" ht="12.75">
      <c r="B5" s="100" t="s">
        <v>1</v>
      </c>
      <c r="C5" s="101"/>
      <c r="D5" s="75">
        <v>45754</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20</v>
      </c>
      <c r="E7" s="59"/>
      <c r="F7" s="59"/>
      <c r="G7" s="59"/>
      <c r="H7" s="59"/>
      <c r="I7" s="59"/>
      <c r="Q7">
        <f t="shared" ref="Q7:Q14" si="0">COUNTA(D7)*5 +COUNTA(E7)*4+COUNTA(F7)*3+COUNTA(G7)*2+COUNTA(H7)*1</f>
        <v>5</v>
      </c>
    </row>
    <row r="8" spans="1:25" ht="12.75">
      <c r="B8" s="4">
        <v>2</v>
      </c>
      <c r="C8" s="58" t="s">
        <v>21</v>
      </c>
      <c r="D8" s="59" t="s">
        <v>20</v>
      </c>
      <c r="E8" s="60"/>
      <c r="F8" s="59"/>
      <c r="G8" s="59"/>
      <c r="H8" s="59"/>
      <c r="I8" s="59"/>
      <c r="Q8">
        <f t="shared" si="0"/>
        <v>5</v>
      </c>
    </row>
    <row r="9" spans="1:25" ht="12.75">
      <c r="B9" s="4">
        <v>3</v>
      </c>
      <c r="C9" s="58" t="s">
        <v>22</v>
      </c>
      <c r="D9" s="59" t="s">
        <v>20</v>
      </c>
      <c r="E9" s="59"/>
      <c r="F9" s="59"/>
      <c r="G9" s="59"/>
      <c r="H9" s="59"/>
      <c r="I9" s="59"/>
      <c r="Q9">
        <f t="shared" si="0"/>
        <v>5</v>
      </c>
    </row>
    <row r="10" spans="1:25" ht="12.75">
      <c r="B10" s="4">
        <v>4</v>
      </c>
      <c r="C10" s="58" t="s">
        <v>23</v>
      </c>
      <c r="D10" s="59" t="s">
        <v>20</v>
      </c>
      <c r="E10" s="59"/>
      <c r="F10" s="59"/>
      <c r="G10" s="59"/>
      <c r="H10" s="59"/>
      <c r="I10" s="59"/>
      <c r="J10" s="7"/>
      <c r="Q10">
        <f t="shared" si="0"/>
        <v>5</v>
      </c>
    </row>
    <row r="11" spans="1:25" ht="12.75">
      <c r="B11" s="4">
        <v>5</v>
      </c>
      <c r="C11" s="58" t="s">
        <v>24</v>
      </c>
      <c r="D11" s="59" t="s">
        <v>20</v>
      </c>
      <c r="E11" s="59"/>
      <c r="F11" s="59"/>
      <c r="G11" s="59"/>
      <c r="H11" s="59"/>
      <c r="I11" s="59"/>
      <c r="J11" s="7"/>
      <c r="Q11">
        <f t="shared" si="0"/>
        <v>5</v>
      </c>
    </row>
    <row r="12" spans="1:25" ht="12.75">
      <c r="B12" s="4">
        <v>6</v>
      </c>
      <c r="C12" s="58" t="s">
        <v>25</v>
      </c>
      <c r="D12" s="59" t="s">
        <v>20</v>
      </c>
      <c r="E12" s="59"/>
      <c r="F12" s="59"/>
      <c r="G12" s="59"/>
      <c r="H12" s="59"/>
      <c r="I12" s="59"/>
      <c r="J12" s="7"/>
      <c r="Q12">
        <f t="shared" si="0"/>
        <v>5</v>
      </c>
    </row>
    <row r="13" spans="1:25" ht="12.75">
      <c r="B13" s="4">
        <v>7</v>
      </c>
      <c r="C13" s="61" t="s">
        <v>26</v>
      </c>
      <c r="D13" s="59" t="s">
        <v>20</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46</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2:17" ht="20.25">
      <c r="B17" s="100" t="s">
        <v>1</v>
      </c>
      <c r="C17" s="101"/>
      <c r="D17" s="75" t="s">
        <v>29</v>
      </c>
      <c r="E17" s="105"/>
      <c r="F17" s="105"/>
      <c r="G17" s="106"/>
      <c r="L17" s="57"/>
    </row>
    <row r="18" spans="2:17" ht="23.25">
      <c r="B18" s="3" t="s">
        <v>0</v>
      </c>
      <c r="C18" s="3" t="s">
        <v>13</v>
      </c>
      <c r="D18" s="3" t="s">
        <v>14</v>
      </c>
      <c r="E18" s="3" t="s">
        <v>15</v>
      </c>
      <c r="F18" s="3" t="s">
        <v>16</v>
      </c>
      <c r="G18" s="3" t="s">
        <v>17</v>
      </c>
      <c r="H18" s="3" t="s">
        <v>18</v>
      </c>
      <c r="I18" s="3" t="s">
        <v>5</v>
      </c>
      <c r="J18" s="2"/>
      <c r="K18" s="2"/>
      <c r="L18" s="2"/>
      <c r="M18" s="2"/>
      <c r="N18" s="2"/>
      <c r="O18" s="2"/>
      <c r="P18" s="2"/>
      <c r="Q18" s="2"/>
    </row>
    <row r="19" spans="2:17" ht="12.75">
      <c r="B19" s="4">
        <v>1</v>
      </c>
      <c r="C19" s="58" t="s">
        <v>19</v>
      </c>
      <c r="D19" s="59" t="s">
        <v>20</v>
      </c>
      <c r="E19" s="59"/>
      <c r="F19" s="59"/>
      <c r="G19" s="59"/>
      <c r="H19" s="59"/>
      <c r="I19" s="59"/>
      <c r="Q19">
        <f t="shared" ref="Q19:Q26" si="1">COUNTA(D19)*5 +COUNTA(E19)*4+COUNTA(F19)*3+COUNTA(G19)*2+COUNTA(H19)*1</f>
        <v>5</v>
      </c>
    </row>
    <row r="20" spans="2:17" ht="12.75">
      <c r="B20" s="4">
        <v>2</v>
      </c>
      <c r="C20" s="58" t="s">
        <v>21</v>
      </c>
      <c r="D20" s="59" t="s">
        <v>20</v>
      </c>
      <c r="E20" s="60"/>
      <c r="F20" s="59"/>
      <c r="G20" s="59"/>
      <c r="H20" s="59"/>
      <c r="I20" s="59"/>
      <c r="Q20">
        <f t="shared" si="1"/>
        <v>5</v>
      </c>
    </row>
    <row r="21" spans="2:17" ht="12.75">
      <c r="B21" s="4">
        <v>3</v>
      </c>
      <c r="C21" s="58" t="s">
        <v>22</v>
      </c>
      <c r="D21" s="59" t="s">
        <v>20</v>
      </c>
      <c r="E21" s="59"/>
      <c r="F21" s="59"/>
      <c r="G21" s="59"/>
      <c r="H21" s="59"/>
      <c r="I21" s="59"/>
      <c r="Q21">
        <f t="shared" si="1"/>
        <v>5</v>
      </c>
    </row>
    <row r="22" spans="2:17" ht="12.75">
      <c r="B22" s="4">
        <v>4</v>
      </c>
      <c r="C22" s="58" t="s">
        <v>23</v>
      </c>
      <c r="D22" s="59" t="s">
        <v>20</v>
      </c>
      <c r="E22" s="59"/>
      <c r="F22" s="59"/>
      <c r="G22" s="59"/>
      <c r="H22" s="59"/>
      <c r="I22" s="59"/>
      <c r="J22" s="7"/>
      <c r="Q22">
        <f t="shared" si="1"/>
        <v>5</v>
      </c>
    </row>
    <row r="23" spans="2:17" ht="12.75">
      <c r="B23" s="4">
        <v>5</v>
      </c>
      <c r="C23" s="58" t="s">
        <v>24</v>
      </c>
      <c r="D23" s="59" t="s">
        <v>20</v>
      </c>
      <c r="E23" s="59"/>
      <c r="F23" s="59"/>
      <c r="G23" s="59"/>
      <c r="H23" s="59"/>
      <c r="I23" s="59"/>
      <c r="J23" s="7"/>
      <c r="Q23">
        <f t="shared" si="1"/>
        <v>5</v>
      </c>
    </row>
    <row r="24" spans="2:17" ht="12.75">
      <c r="B24" s="4">
        <v>6</v>
      </c>
      <c r="C24" s="58" t="s">
        <v>25</v>
      </c>
      <c r="D24" s="59" t="s">
        <v>20</v>
      </c>
      <c r="E24" s="59"/>
      <c r="F24" s="59"/>
      <c r="G24" s="59"/>
      <c r="H24" s="59"/>
      <c r="I24" s="59"/>
      <c r="J24" s="7"/>
      <c r="Q24">
        <f t="shared" si="1"/>
        <v>5</v>
      </c>
    </row>
    <row r="25" spans="2:17" ht="12.75">
      <c r="B25" s="4">
        <v>7</v>
      </c>
      <c r="C25" s="61" t="s">
        <v>26</v>
      </c>
      <c r="D25" s="59" t="s">
        <v>20</v>
      </c>
      <c r="E25" s="62"/>
      <c r="F25" s="63"/>
      <c r="G25" s="63"/>
      <c r="H25" s="63"/>
      <c r="I25" s="63"/>
      <c r="J25" s="7"/>
      <c r="Q25">
        <f t="shared" si="1"/>
        <v>5</v>
      </c>
    </row>
    <row r="26" spans="2:17" ht="12.75">
      <c r="B26" s="4">
        <v>8</v>
      </c>
      <c r="C26" s="66" t="s">
        <v>27</v>
      </c>
      <c r="D26" s="76"/>
      <c r="E26" s="77"/>
      <c r="F26" s="77"/>
      <c r="G26" s="77"/>
      <c r="H26" s="77"/>
      <c r="I26" s="78"/>
      <c r="J26" s="7"/>
      <c r="Q26">
        <f>IF(COUNTA(D26) &gt;=1, 2, 5)</f>
        <v>5</v>
      </c>
    </row>
    <row r="27" spans="2:17" ht="12.75">
      <c r="B27" s="65">
        <v>9</v>
      </c>
      <c r="C27" s="67" t="s">
        <v>46</v>
      </c>
      <c r="D27" s="81"/>
      <c r="E27" s="104"/>
      <c r="F27" s="104"/>
      <c r="G27" s="104"/>
      <c r="H27" s="104"/>
      <c r="I27" s="104"/>
      <c r="J27" s="7"/>
    </row>
    <row r="28" spans="2:17" ht="12.75">
      <c r="B28" s="64"/>
      <c r="C28" s="22"/>
      <c r="D28" s="68"/>
      <c r="E28" s="69"/>
      <c r="F28" s="69"/>
      <c r="G28" s="69"/>
      <c r="H28" s="23"/>
      <c r="I28" s="23"/>
      <c r="J28" s="7"/>
      <c r="Q28">
        <f>IF(Q26&gt;0,AVERAGE(Q19:Q26),AVERAGE(Q19:Q25))</f>
        <v>5</v>
      </c>
    </row>
    <row r="29" spans="2:17" ht="20.25">
      <c r="B29" s="100" t="s">
        <v>1</v>
      </c>
      <c r="C29" s="101"/>
      <c r="D29" s="75" t="s">
        <v>30</v>
      </c>
      <c r="E29" s="105"/>
      <c r="F29" s="105"/>
      <c r="G29" s="106"/>
      <c r="L29" s="57"/>
    </row>
    <row r="30" spans="2:17" ht="23.25">
      <c r="B30" s="3" t="s">
        <v>0</v>
      </c>
      <c r="C30" s="3" t="s">
        <v>13</v>
      </c>
      <c r="D30" s="3" t="s">
        <v>14</v>
      </c>
      <c r="E30" s="3" t="s">
        <v>15</v>
      </c>
      <c r="F30" s="3" t="s">
        <v>16</v>
      </c>
      <c r="G30" s="3" t="s">
        <v>17</v>
      </c>
      <c r="H30" s="3" t="s">
        <v>18</v>
      </c>
      <c r="I30" s="3" t="s">
        <v>5</v>
      </c>
      <c r="J30" s="2"/>
      <c r="K30" s="2"/>
      <c r="L30" s="2"/>
      <c r="M30" s="2"/>
      <c r="N30" s="2"/>
      <c r="O30" s="2"/>
      <c r="P30" s="2"/>
      <c r="Q30" s="2"/>
    </row>
    <row r="31" spans="2:17" ht="12.75">
      <c r="B31" s="4">
        <v>1</v>
      </c>
      <c r="C31" s="58" t="s">
        <v>19</v>
      </c>
      <c r="D31" s="59" t="s">
        <v>20</v>
      </c>
      <c r="E31" s="59"/>
      <c r="F31" s="59"/>
      <c r="G31" s="59"/>
      <c r="H31" s="59"/>
      <c r="I31" s="59"/>
      <c r="Q31">
        <f t="shared" ref="Q31:Q38" si="2">COUNTA(D31)*5 +COUNTA(E31)*4+COUNTA(F31)*3+COUNTA(G31)*2+COUNTA(H31)*1</f>
        <v>5</v>
      </c>
    </row>
    <row r="32" spans="2:17" ht="12.75">
      <c r="B32" s="4">
        <v>2</v>
      </c>
      <c r="C32" s="58" t="s">
        <v>21</v>
      </c>
      <c r="D32" s="59" t="s">
        <v>20</v>
      </c>
      <c r="E32" s="60"/>
      <c r="F32" s="59"/>
      <c r="G32" s="59"/>
      <c r="H32" s="59"/>
      <c r="I32" s="59"/>
      <c r="Q32">
        <f t="shared" si="2"/>
        <v>5</v>
      </c>
    </row>
    <row r="33" spans="2:17" ht="12.75">
      <c r="B33" s="4">
        <v>3</v>
      </c>
      <c r="C33" s="58" t="s">
        <v>22</v>
      </c>
      <c r="D33" s="59" t="s">
        <v>20</v>
      </c>
      <c r="E33" s="59"/>
      <c r="F33" s="59"/>
      <c r="G33" s="59"/>
      <c r="H33" s="59"/>
      <c r="I33" s="59"/>
      <c r="Q33">
        <f t="shared" si="2"/>
        <v>5</v>
      </c>
    </row>
    <row r="34" spans="2:17" ht="12.75">
      <c r="B34" s="4">
        <v>4</v>
      </c>
      <c r="C34" s="58" t="s">
        <v>23</v>
      </c>
      <c r="D34" s="59" t="s">
        <v>20</v>
      </c>
      <c r="E34" s="59"/>
      <c r="F34" s="59"/>
      <c r="G34" s="59"/>
      <c r="H34" s="59"/>
      <c r="I34" s="59"/>
      <c r="J34" s="7"/>
      <c r="Q34">
        <f t="shared" si="2"/>
        <v>5</v>
      </c>
    </row>
    <row r="35" spans="2:17" ht="12.75">
      <c r="B35" s="4">
        <v>5</v>
      </c>
      <c r="C35" s="58" t="s">
        <v>24</v>
      </c>
      <c r="D35" s="59" t="s">
        <v>20</v>
      </c>
      <c r="E35" s="59"/>
      <c r="F35" s="59"/>
      <c r="G35" s="59"/>
      <c r="H35" s="59"/>
      <c r="I35" s="59"/>
      <c r="J35" s="7"/>
      <c r="Q35">
        <f t="shared" si="2"/>
        <v>5</v>
      </c>
    </row>
    <row r="36" spans="2:17" ht="12.75">
      <c r="B36" s="4">
        <v>6</v>
      </c>
      <c r="C36" s="58" t="s">
        <v>25</v>
      </c>
      <c r="D36" s="59" t="s">
        <v>20</v>
      </c>
      <c r="E36" s="59"/>
      <c r="F36" s="59"/>
      <c r="G36" s="59"/>
      <c r="H36" s="59"/>
      <c r="I36" s="59"/>
      <c r="J36" s="7"/>
      <c r="Q36">
        <f t="shared" si="2"/>
        <v>5</v>
      </c>
    </row>
    <row r="37" spans="2:17" ht="12.75">
      <c r="B37" s="4">
        <v>7</v>
      </c>
      <c r="C37" s="61" t="s">
        <v>26</v>
      </c>
      <c r="D37" s="59" t="s">
        <v>20</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46</v>
      </c>
      <c r="D39" s="81"/>
      <c r="E39" s="104"/>
      <c r="F39" s="104"/>
      <c r="G39" s="104"/>
      <c r="H39" s="104"/>
      <c r="I39" s="104"/>
      <c r="J39" s="7"/>
    </row>
    <row r="40" spans="2:17" ht="12.75">
      <c r="B40" s="64"/>
      <c r="C40" s="22"/>
      <c r="D40" s="68"/>
      <c r="E40" s="69"/>
      <c r="F40" s="69"/>
      <c r="G40" s="69"/>
      <c r="H40" s="23"/>
      <c r="I40" s="23"/>
      <c r="J40" s="7"/>
      <c r="Q40">
        <f>IF(Q38&gt;0,AVERAGE(Q31:Q38),AVERAGE(Q31:Q37))</f>
        <v>5</v>
      </c>
    </row>
    <row r="41" spans="2:17" ht="20.25">
      <c r="B41" s="100" t="s">
        <v>1</v>
      </c>
      <c r="C41" s="101"/>
      <c r="D41" s="75" t="s">
        <v>31</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20</v>
      </c>
      <c r="E43" s="59"/>
      <c r="F43" s="59"/>
      <c r="G43" s="59"/>
      <c r="H43" s="59"/>
      <c r="I43" s="59"/>
      <c r="Q43">
        <f t="shared" ref="Q43:Q50" si="3">COUNTA(D43)*5 +COUNTA(E43)*4+COUNTA(F43)*3+COUNTA(G43)*2+COUNTA(H43)*1</f>
        <v>5</v>
      </c>
    </row>
    <row r="44" spans="2:17" ht="12.75">
      <c r="B44" s="4">
        <v>2</v>
      </c>
      <c r="C44" s="58" t="s">
        <v>21</v>
      </c>
      <c r="D44" s="59" t="s">
        <v>20</v>
      </c>
      <c r="E44" s="60"/>
      <c r="F44" s="59"/>
      <c r="G44" s="59"/>
      <c r="H44" s="59"/>
      <c r="I44" s="59"/>
      <c r="Q44">
        <f t="shared" si="3"/>
        <v>5</v>
      </c>
    </row>
    <row r="45" spans="2:17" ht="12.75">
      <c r="B45" s="4">
        <v>3</v>
      </c>
      <c r="C45" s="58" t="s">
        <v>22</v>
      </c>
      <c r="D45" s="59" t="s">
        <v>20</v>
      </c>
      <c r="E45" s="59"/>
      <c r="F45" s="59"/>
      <c r="G45" s="59"/>
      <c r="H45" s="59"/>
      <c r="I45" s="59"/>
      <c r="Q45">
        <f t="shared" si="3"/>
        <v>5</v>
      </c>
    </row>
    <row r="46" spans="2:17" ht="12.75">
      <c r="B46" s="4">
        <v>4</v>
      </c>
      <c r="C46" s="58" t="s">
        <v>23</v>
      </c>
      <c r="D46" s="59" t="s">
        <v>20</v>
      </c>
      <c r="E46" s="59"/>
      <c r="F46" s="59"/>
      <c r="G46" s="59"/>
      <c r="H46" s="59"/>
      <c r="I46" s="59"/>
      <c r="J46" s="7"/>
      <c r="Q46">
        <f t="shared" si="3"/>
        <v>5</v>
      </c>
    </row>
    <row r="47" spans="2:17" ht="12.75">
      <c r="B47" s="4">
        <v>5</v>
      </c>
      <c r="C47" s="58" t="s">
        <v>24</v>
      </c>
      <c r="D47" s="59" t="s">
        <v>20</v>
      </c>
      <c r="E47" s="59"/>
      <c r="F47" s="59"/>
      <c r="G47" s="59"/>
      <c r="H47" s="59"/>
      <c r="I47" s="59"/>
      <c r="J47" s="7"/>
      <c r="Q47">
        <f t="shared" si="3"/>
        <v>5</v>
      </c>
    </row>
    <row r="48" spans="2:17" ht="12.75">
      <c r="B48" s="4">
        <v>6</v>
      </c>
      <c r="C48" s="58" t="s">
        <v>25</v>
      </c>
      <c r="D48" s="59" t="s">
        <v>20</v>
      </c>
      <c r="E48" s="59"/>
      <c r="F48" s="59"/>
      <c r="G48" s="59"/>
      <c r="H48" s="59"/>
      <c r="I48" s="59"/>
      <c r="J48" s="7"/>
      <c r="Q48">
        <f t="shared" si="3"/>
        <v>5</v>
      </c>
    </row>
    <row r="49" spans="2:17" ht="12.75">
      <c r="B49" s="4">
        <v>7</v>
      </c>
      <c r="C49" s="61" t="s">
        <v>26</v>
      </c>
      <c r="D49" s="59" t="s">
        <v>20</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46</v>
      </c>
      <c r="D51" s="81"/>
      <c r="E51" s="104"/>
      <c r="F51" s="104"/>
      <c r="G51" s="104"/>
      <c r="H51" s="104"/>
      <c r="I51" s="104"/>
      <c r="J51" s="7"/>
    </row>
    <row r="52" spans="2:17" ht="12.75">
      <c r="B52" s="64"/>
      <c r="C52" s="22"/>
      <c r="D52" s="68"/>
      <c r="E52" s="69"/>
      <c r="F52" s="69"/>
      <c r="G52" s="69"/>
      <c r="H52" s="23"/>
      <c r="I52" s="23"/>
      <c r="J52" s="7"/>
      <c r="Q52">
        <f>IF(Q50&gt;0,AVERAGE(Q43:Q50),AVERAGE(Q43:Q49))</f>
        <v>5</v>
      </c>
    </row>
    <row r="53" spans="2:17" ht="20.25">
      <c r="B53" s="100" t="s">
        <v>1</v>
      </c>
      <c r="C53" s="101"/>
      <c r="D53" s="75" t="s">
        <v>33</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20</v>
      </c>
      <c r="E55" s="59"/>
      <c r="F55" s="59"/>
      <c r="G55" s="59"/>
      <c r="H55" s="59"/>
      <c r="I55" s="59"/>
      <c r="Q55">
        <f t="shared" ref="Q55:Q62" si="4">COUNTA(D55)*5 +COUNTA(E55)*4+COUNTA(F55)*3+COUNTA(G55)*2+COUNTA(H55)*1</f>
        <v>5</v>
      </c>
    </row>
    <row r="56" spans="2:17" ht="12.75">
      <c r="B56" s="4">
        <v>2</v>
      </c>
      <c r="C56" s="58" t="s">
        <v>21</v>
      </c>
      <c r="D56" s="59" t="s">
        <v>20</v>
      </c>
      <c r="E56" s="60"/>
      <c r="F56" s="59"/>
      <c r="G56" s="59"/>
      <c r="H56" s="59"/>
      <c r="I56" s="59"/>
      <c r="Q56">
        <f t="shared" si="4"/>
        <v>5</v>
      </c>
    </row>
    <row r="57" spans="2:17" ht="12.75">
      <c r="B57" s="4">
        <v>3</v>
      </c>
      <c r="C57" s="58" t="s">
        <v>22</v>
      </c>
      <c r="D57" s="59" t="s">
        <v>20</v>
      </c>
      <c r="E57" s="59"/>
      <c r="F57" s="59"/>
      <c r="G57" s="59"/>
      <c r="H57" s="59"/>
      <c r="I57" s="59"/>
      <c r="Q57">
        <f t="shared" si="4"/>
        <v>5</v>
      </c>
    </row>
    <row r="58" spans="2:17" ht="12.75">
      <c r="B58" s="4">
        <v>4</v>
      </c>
      <c r="C58" s="58" t="s">
        <v>23</v>
      </c>
      <c r="D58" s="59" t="s">
        <v>20</v>
      </c>
      <c r="E58" s="59"/>
      <c r="F58" s="59"/>
      <c r="G58" s="59"/>
      <c r="H58" s="59"/>
      <c r="I58" s="59"/>
      <c r="J58" s="7"/>
      <c r="Q58">
        <f t="shared" si="4"/>
        <v>5</v>
      </c>
    </row>
    <row r="59" spans="2:17" ht="12.75">
      <c r="B59" s="4">
        <v>5</v>
      </c>
      <c r="C59" s="58" t="s">
        <v>24</v>
      </c>
      <c r="D59" s="59" t="s">
        <v>20</v>
      </c>
      <c r="E59" s="59"/>
      <c r="F59" s="59"/>
      <c r="G59" s="59"/>
      <c r="H59" s="59"/>
      <c r="I59" s="59"/>
      <c r="J59" s="7"/>
      <c r="Q59">
        <f t="shared" si="4"/>
        <v>5</v>
      </c>
    </row>
    <row r="60" spans="2:17" ht="12.75">
      <c r="B60" s="4">
        <v>6</v>
      </c>
      <c r="C60" s="58" t="s">
        <v>25</v>
      </c>
      <c r="D60" s="59" t="s">
        <v>20</v>
      </c>
      <c r="E60" s="59"/>
      <c r="F60" s="59"/>
      <c r="G60" s="59"/>
      <c r="H60" s="59"/>
      <c r="I60" s="59"/>
      <c r="J60" s="7"/>
      <c r="Q60">
        <f t="shared" si="4"/>
        <v>5</v>
      </c>
    </row>
    <row r="61" spans="2:17" ht="12.75">
      <c r="B61" s="4">
        <v>7</v>
      </c>
      <c r="C61" s="61" t="s">
        <v>26</v>
      </c>
      <c r="D61" s="59" t="s">
        <v>20</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46</v>
      </c>
      <c r="D63" s="81"/>
      <c r="E63" s="104"/>
      <c r="F63" s="104"/>
      <c r="G63" s="104"/>
      <c r="H63" s="104"/>
      <c r="I63" s="104"/>
      <c r="J63" s="7"/>
    </row>
    <row r="64" spans="2:17" ht="12.75">
      <c r="B64" s="64"/>
      <c r="C64" s="22"/>
      <c r="D64" s="68"/>
      <c r="E64" s="69"/>
      <c r="F64" s="69"/>
      <c r="G64" s="69"/>
      <c r="H64" s="23"/>
      <c r="I64" s="23"/>
      <c r="J64" s="7"/>
      <c r="Q64">
        <f>IF(Q62&gt;0,AVERAGE(Q55:Q62),AVERAGE(Q55:Q61))</f>
        <v>5</v>
      </c>
    </row>
    <row r="65" spans="2:17" ht="20.25">
      <c r="B65" s="100" t="s">
        <v>1</v>
      </c>
      <c r="C65" s="101"/>
      <c r="D65" s="75" t="s">
        <v>34</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20</v>
      </c>
      <c r="E67" s="59"/>
      <c r="F67" s="59"/>
      <c r="G67" s="59"/>
      <c r="H67" s="59"/>
      <c r="I67" s="59"/>
      <c r="Q67">
        <f t="shared" ref="Q67:Q74" si="5">COUNTA(D67)*5 +COUNTA(E67)*4+COUNTA(F67)*3+COUNTA(G67)*2+COUNTA(H67)*1</f>
        <v>5</v>
      </c>
    </row>
    <row r="68" spans="2:17" ht="12.75">
      <c r="B68" s="4">
        <v>2</v>
      </c>
      <c r="C68" s="58" t="s">
        <v>21</v>
      </c>
      <c r="D68" s="59" t="s">
        <v>20</v>
      </c>
      <c r="E68" s="60"/>
      <c r="F68" s="59"/>
      <c r="G68" s="59"/>
      <c r="H68" s="59"/>
      <c r="I68" s="59"/>
      <c r="Q68">
        <f t="shared" si="5"/>
        <v>5</v>
      </c>
    </row>
    <row r="69" spans="2:17" ht="12.75">
      <c r="B69" s="4">
        <v>3</v>
      </c>
      <c r="C69" s="58" t="s">
        <v>22</v>
      </c>
      <c r="D69" s="59" t="s">
        <v>20</v>
      </c>
      <c r="E69" s="59"/>
      <c r="F69" s="59"/>
      <c r="G69" s="59"/>
      <c r="H69" s="59"/>
      <c r="I69" s="59"/>
      <c r="Q69">
        <f t="shared" si="5"/>
        <v>5</v>
      </c>
    </row>
    <row r="70" spans="2:17" ht="12.75">
      <c r="B70" s="4">
        <v>4</v>
      </c>
      <c r="C70" s="58" t="s">
        <v>23</v>
      </c>
      <c r="D70" s="59" t="s">
        <v>20</v>
      </c>
      <c r="E70" s="59"/>
      <c r="F70" s="59"/>
      <c r="G70" s="59"/>
      <c r="H70" s="59"/>
      <c r="I70" s="59"/>
      <c r="J70" s="7"/>
      <c r="Q70">
        <f t="shared" si="5"/>
        <v>5</v>
      </c>
    </row>
    <row r="71" spans="2:17" ht="12.75">
      <c r="B71" s="4">
        <v>5</v>
      </c>
      <c r="C71" s="58" t="s">
        <v>24</v>
      </c>
      <c r="D71" s="59" t="s">
        <v>20</v>
      </c>
      <c r="E71" s="59"/>
      <c r="F71" s="59"/>
      <c r="G71" s="59"/>
      <c r="H71" s="59"/>
      <c r="I71" s="59"/>
      <c r="J71" s="7"/>
      <c r="Q71">
        <f t="shared" si="5"/>
        <v>5</v>
      </c>
    </row>
    <row r="72" spans="2:17" ht="12.75">
      <c r="B72" s="4">
        <v>6</v>
      </c>
      <c r="C72" s="58" t="s">
        <v>25</v>
      </c>
      <c r="D72" s="59" t="s">
        <v>20</v>
      </c>
      <c r="E72" s="59"/>
      <c r="F72" s="59"/>
      <c r="G72" s="59"/>
      <c r="H72" s="59"/>
      <c r="I72" s="59"/>
      <c r="J72" s="7"/>
      <c r="Q72">
        <f t="shared" si="5"/>
        <v>5</v>
      </c>
    </row>
    <row r="73" spans="2:17" ht="12.75">
      <c r="B73" s="4">
        <v>7</v>
      </c>
      <c r="C73" s="61" t="s">
        <v>26</v>
      </c>
      <c r="D73" s="59" t="s">
        <v>20</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46</v>
      </c>
      <c r="D75" s="81"/>
      <c r="E75" s="104"/>
      <c r="F75" s="104"/>
      <c r="G75" s="104"/>
      <c r="H75" s="104"/>
      <c r="I75" s="104"/>
      <c r="J75" s="7"/>
    </row>
    <row r="76" spans="2:17" ht="12.75">
      <c r="B76" s="64"/>
      <c r="C76" s="22"/>
      <c r="D76" s="68"/>
      <c r="E76" s="69"/>
      <c r="F76" s="69"/>
      <c r="G76" s="69"/>
      <c r="H76" s="23"/>
      <c r="I76" s="23"/>
      <c r="J76" s="7"/>
      <c r="Q76">
        <f>IF(Q74&gt;0,AVERAGE(Q67:Q74),AVERAGE(Q67:Q73))</f>
        <v>5</v>
      </c>
    </row>
    <row r="77" spans="2:17" ht="20.25">
      <c r="B77" s="100" t="s">
        <v>1</v>
      </c>
      <c r="C77" s="101"/>
      <c r="D77" s="75" t="s">
        <v>35</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20</v>
      </c>
      <c r="E79" s="59"/>
      <c r="F79" s="59"/>
      <c r="G79" s="59"/>
      <c r="H79" s="59"/>
      <c r="I79" s="59"/>
      <c r="Q79">
        <f t="shared" ref="Q79:Q85" si="6">COUNTA(D79)*5 +COUNTA(E79)*4+COUNTA(F79)*3+COUNTA(G79)*2+COUNTA(H79)*1</f>
        <v>5</v>
      </c>
    </row>
    <row r="80" spans="2:17" ht="12.75">
      <c r="B80" s="4">
        <v>2</v>
      </c>
      <c r="C80" s="58" t="s">
        <v>21</v>
      </c>
      <c r="D80" s="59" t="s">
        <v>20</v>
      </c>
      <c r="E80" s="60"/>
      <c r="F80" s="59"/>
      <c r="G80" s="59"/>
      <c r="H80" s="59"/>
      <c r="I80" s="59"/>
      <c r="Q80">
        <f t="shared" si="6"/>
        <v>5</v>
      </c>
    </row>
    <row r="81" spans="2:17" ht="12.75">
      <c r="B81" s="4">
        <v>3</v>
      </c>
      <c r="C81" s="58" t="s">
        <v>22</v>
      </c>
      <c r="D81" s="59" t="s">
        <v>20</v>
      </c>
      <c r="F81" s="59"/>
      <c r="G81" s="59"/>
      <c r="H81" s="59"/>
      <c r="I81" s="59"/>
      <c r="Q81">
        <f t="shared" si="6"/>
        <v>5</v>
      </c>
    </row>
    <row r="82" spans="2:17" ht="12.75">
      <c r="B82" s="4">
        <v>4</v>
      </c>
      <c r="C82" s="58" t="s">
        <v>23</v>
      </c>
      <c r="D82" s="59" t="s">
        <v>20</v>
      </c>
      <c r="E82" s="59"/>
      <c r="F82" s="59"/>
      <c r="G82" s="59"/>
      <c r="H82" s="59"/>
      <c r="I82" s="59"/>
      <c r="J82" s="7"/>
      <c r="Q82">
        <f t="shared" si="6"/>
        <v>5</v>
      </c>
    </row>
    <row r="83" spans="2:17" ht="12.75">
      <c r="B83" s="4">
        <v>5</v>
      </c>
      <c r="C83" s="58" t="s">
        <v>24</v>
      </c>
      <c r="D83" s="59" t="s">
        <v>20</v>
      </c>
      <c r="F83" s="59"/>
      <c r="G83" s="59"/>
      <c r="H83" s="59"/>
      <c r="I83" s="59"/>
      <c r="J83" s="7"/>
      <c r="Q83">
        <f t="shared" si="6"/>
        <v>5</v>
      </c>
    </row>
    <row r="84" spans="2:17" ht="12.75">
      <c r="B84" s="4">
        <v>6</v>
      </c>
      <c r="C84" s="58" t="s">
        <v>25</v>
      </c>
      <c r="D84" s="59" t="s">
        <v>20</v>
      </c>
      <c r="E84" s="59"/>
      <c r="F84" s="59"/>
      <c r="G84" s="59"/>
      <c r="H84" s="59"/>
      <c r="I84" s="59"/>
      <c r="J84" s="7"/>
      <c r="Q84">
        <f t="shared" si="6"/>
        <v>5</v>
      </c>
    </row>
    <row r="85" spans="2:17" ht="12.75">
      <c r="B85" s="4">
        <v>7</v>
      </c>
      <c r="C85" s="61" t="s">
        <v>26</v>
      </c>
      <c r="D85" s="62" t="s">
        <v>20</v>
      </c>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64"/>
      <c r="C88" s="22"/>
      <c r="D88" s="68"/>
      <c r="E88" s="69"/>
      <c r="F88" s="69"/>
      <c r="G88" s="69"/>
      <c r="H88" s="23"/>
      <c r="I88" s="23"/>
      <c r="J88" s="7"/>
      <c r="Q88">
        <f>IF(Q86&gt;0,AVERAGE(Q79:Q86),AVERAGE(Q79:Q85))</f>
        <v>5</v>
      </c>
    </row>
    <row r="89" spans="2:17" ht="20.25">
      <c r="B89" s="100" t="s">
        <v>1</v>
      </c>
      <c r="C89" s="101"/>
      <c r="D89" s="75" t="s">
        <v>36</v>
      </c>
      <c r="E89" s="105"/>
      <c r="F89" s="105"/>
      <c r="G89" s="106"/>
      <c r="L89" s="57"/>
    </row>
    <row r="90" spans="2:17" ht="23.25">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20</v>
      </c>
      <c r="E91" s="59"/>
      <c r="F91" s="59"/>
      <c r="G91" s="59"/>
      <c r="H91" s="59"/>
      <c r="I91" s="59"/>
      <c r="Q91">
        <f t="shared" ref="Q91:Q97" si="7">COUNTA(D91)*5 +COUNTA(E91)*4+COUNTA(F91)*3+COUNTA(G91)*2+COUNTA(H91)*1</f>
        <v>5</v>
      </c>
    </row>
    <row r="92" spans="2:17" ht="12.75">
      <c r="B92" s="4">
        <v>2</v>
      </c>
      <c r="C92" s="58" t="s">
        <v>21</v>
      </c>
      <c r="D92" s="59" t="s">
        <v>20</v>
      </c>
      <c r="E92" s="60"/>
      <c r="F92" s="59"/>
      <c r="G92" s="59"/>
      <c r="H92" s="59"/>
      <c r="I92" s="59"/>
      <c r="Q92">
        <f t="shared" si="7"/>
        <v>5</v>
      </c>
    </row>
    <row r="93" spans="2:17" ht="12.75">
      <c r="B93" s="4">
        <v>3</v>
      </c>
      <c r="C93" s="58" t="s">
        <v>22</v>
      </c>
      <c r="D93" s="59" t="s">
        <v>20</v>
      </c>
      <c r="F93" s="59"/>
      <c r="G93" s="59"/>
      <c r="H93" s="59"/>
      <c r="I93" s="59"/>
      <c r="Q93">
        <f t="shared" si="7"/>
        <v>5</v>
      </c>
    </row>
    <row r="94" spans="2:17" ht="12.75">
      <c r="B94" s="4">
        <v>4</v>
      </c>
      <c r="C94" s="58" t="s">
        <v>23</v>
      </c>
      <c r="D94" s="59" t="s">
        <v>20</v>
      </c>
      <c r="E94" s="59"/>
      <c r="F94" s="59"/>
      <c r="G94" s="59"/>
      <c r="H94" s="59"/>
      <c r="I94" s="59"/>
      <c r="J94" s="7"/>
      <c r="Q94">
        <f t="shared" si="7"/>
        <v>5</v>
      </c>
    </row>
    <row r="95" spans="2:17" ht="12.75">
      <c r="B95" s="4">
        <v>5</v>
      </c>
      <c r="C95" s="58" t="s">
        <v>24</v>
      </c>
      <c r="D95" s="59" t="s">
        <v>20</v>
      </c>
      <c r="F95" s="59"/>
      <c r="G95" s="59"/>
      <c r="H95" s="59"/>
      <c r="I95" s="59"/>
      <c r="J95" s="7"/>
      <c r="Q95">
        <f t="shared" si="7"/>
        <v>5</v>
      </c>
    </row>
    <row r="96" spans="2:17" ht="12.75">
      <c r="B96" s="4">
        <v>6</v>
      </c>
      <c r="C96" s="58" t="s">
        <v>25</v>
      </c>
      <c r="D96" s="59" t="s">
        <v>20</v>
      </c>
      <c r="E96" s="59"/>
      <c r="F96" s="59"/>
      <c r="G96" s="59"/>
      <c r="H96" s="59"/>
      <c r="I96" s="59"/>
      <c r="J96" s="7"/>
      <c r="Q96">
        <f t="shared" si="7"/>
        <v>5</v>
      </c>
    </row>
    <row r="97" spans="2:17" ht="12.75">
      <c r="B97" s="4">
        <v>7</v>
      </c>
      <c r="C97" s="61" t="s">
        <v>26</v>
      </c>
      <c r="D97" s="62" t="s">
        <v>20</v>
      </c>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64"/>
      <c r="C100" s="22"/>
      <c r="D100" s="68"/>
      <c r="E100" s="69"/>
      <c r="F100" s="69"/>
      <c r="G100" s="69"/>
      <c r="H100" s="23"/>
      <c r="I100" s="23"/>
      <c r="J100" s="7"/>
      <c r="Q100">
        <f>IF(Q98&gt;0,AVERAGE(Q91:Q98),AVERAGE(Q91:Q97))</f>
        <v>5</v>
      </c>
    </row>
    <row r="101" spans="2:17" ht="20.25">
      <c r="B101" s="100" t="s">
        <v>1</v>
      </c>
      <c r="C101" s="101"/>
      <c r="D101" s="75" t="s">
        <v>38</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20</v>
      </c>
      <c r="E103" s="59"/>
      <c r="F103" s="59"/>
      <c r="G103" s="59"/>
      <c r="H103" s="59"/>
      <c r="I103" s="59"/>
      <c r="Q103">
        <f t="shared" ref="Q103:Q109" si="8">COUNTA(D103)*5 +COUNTA(E103)*4+COUNTA(F103)*3+COUNTA(G103)*2+COUNTA(H103)*1</f>
        <v>5</v>
      </c>
    </row>
    <row r="104" spans="2:17" ht="12.75">
      <c r="B104" s="4">
        <v>2</v>
      </c>
      <c r="C104" s="58" t="s">
        <v>21</v>
      </c>
      <c r="D104" s="59" t="s">
        <v>20</v>
      </c>
      <c r="E104" s="60"/>
      <c r="F104" s="59"/>
      <c r="G104" s="59"/>
      <c r="H104" s="59"/>
      <c r="I104" s="59"/>
      <c r="Q104">
        <f t="shared" si="8"/>
        <v>5</v>
      </c>
    </row>
    <row r="105" spans="2:17" ht="12.75">
      <c r="B105" s="4">
        <v>3</v>
      </c>
      <c r="C105" s="58" t="s">
        <v>22</v>
      </c>
      <c r="D105" s="59" t="s">
        <v>20</v>
      </c>
      <c r="F105" s="59"/>
      <c r="G105" s="59"/>
      <c r="H105" s="59"/>
      <c r="I105" s="59"/>
      <c r="Q105">
        <f t="shared" si="8"/>
        <v>5</v>
      </c>
    </row>
    <row r="106" spans="2:17" ht="12.75">
      <c r="B106" s="4">
        <v>4</v>
      </c>
      <c r="C106" s="58" t="s">
        <v>23</v>
      </c>
      <c r="D106" s="59" t="s">
        <v>20</v>
      </c>
      <c r="E106" s="59"/>
      <c r="F106" s="59"/>
      <c r="G106" s="59"/>
      <c r="H106" s="59"/>
      <c r="I106" s="59"/>
      <c r="J106" s="7"/>
      <c r="Q106">
        <f t="shared" si="8"/>
        <v>5</v>
      </c>
    </row>
    <row r="107" spans="2:17" ht="12.75">
      <c r="B107" s="4">
        <v>5</v>
      </c>
      <c r="C107" s="58" t="s">
        <v>24</v>
      </c>
      <c r="D107" s="59" t="s">
        <v>20</v>
      </c>
      <c r="F107" s="59"/>
      <c r="G107" s="59"/>
      <c r="H107" s="59"/>
      <c r="I107" s="59"/>
      <c r="J107" s="7"/>
      <c r="Q107">
        <f t="shared" si="8"/>
        <v>5</v>
      </c>
    </row>
    <row r="108" spans="2:17" ht="12.75">
      <c r="B108" s="4">
        <v>6</v>
      </c>
      <c r="C108" s="58" t="s">
        <v>25</v>
      </c>
      <c r="D108" s="59" t="s">
        <v>20</v>
      </c>
      <c r="E108" s="59"/>
      <c r="F108" s="59"/>
      <c r="G108" s="59"/>
      <c r="H108" s="59"/>
      <c r="I108" s="59"/>
      <c r="J108" s="7"/>
      <c r="Q108">
        <f t="shared" si="8"/>
        <v>5</v>
      </c>
    </row>
    <row r="109" spans="2:17" ht="12.75">
      <c r="B109" s="4">
        <v>7</v>
      </c>
      <c r="C109" s="61" t="s">
        <v>26</v>
      </c>
      <c r="D109" s="62" t="s">
        <v>20</v>
      </c>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64"/>
      <c r="C112" s="22"/>
      <c r="D112" s="68"/>
      <c r="E112" s="69"/>
      <c r="F112" s="69"/>
      <c r="G112" s="69"/>
      <c r="H112" s="23"/>
      <c r="I112" s="23"/>
      <c r="J112" s="7"/>
      <c r="Q112">
        <f>IF(Q110&gt;0,AVERAGE(Q103:Q110),AVERAGE(Q103:Q109))</f>
        <v>5</v>
      </c>
    </row>
    <row r="113" spans="2:17" ht="20.25">
      <c r="B113" s="100" t="s">
        <v>1</v>
      </c>
      <c r="C113" s="101"/>
      <c r="D113" s="75" t="s">
        <v>40</v>
      </c>
      <c r="E113" s="105"/>
      <c r="F113" s="105"/>
      <c r="G113" s="106"/>
      <c r="L113" s="57"/>
    </row>
    <row r="114" spans="2:17" ht="24">
      <c r="B114" s="3" t="s">
        <v>0</v>
      </c>
      <c r="C114" s="3" t="s">
        <v>13</v>
      </c>
      <c r="D114" s="3" t="s">
        <v>14</v>
      </c>
      <c r="E114" s="3" t="s">
        <v>15</v>
      </c>
      <c r="F114" s="3" t="s">
        <v>16</v>
      </c>
      <c r="G114" s="3" t="s">
        <v>17</v>
      </c>
      <c r="H114" s="3" t="s">
        <v>18</v>
      </c>
      <c r="I114" s="3" t="s">
        <v>5</v>
      </c>
      <c r="J114" s="2"/>
      <c r="K114" s="2"/>
      <c r="L114" s="2"/>
      <c r="M114" s="2"/>
      <c r="N114" s="2"/>
      <c r="O114" s="2"/>
      <c r="P114" s="2"/>
      <c r="Q114" s="2"/>
    </row>
    <row r="115" spans="2:17" ht="12.75">
      <c r="B115" s="4">
        <v>1</v>
      </c>
      <c r="C115" s="58" t="s">
        <v>19</v>
      </c>
      <c r="D115" s="59" t="s">
        <v>20</v>
      </c>
      <c r="E115" s="59"/>
      <c r="F115" s="59"/>
      <c r="G115" s="59"/>
      <c r="H115" s="59"/>
      <c r="I115" s="59"/>
      <c r="Q115">
        <f t="shared" ref="Q115:Q121" si="9">COUNTA(D115)*5 +COUNTA(E115)*4+COUNTA(F115)*3+COUNTA(G115)*2+COUNTA(H115)*1</f>
        <v>5</v>
      </c>
    </row>
    <row r="116" spans="2:17" ht="12.75">
      <c r="B116" s="4">
        <v>2</v>
      </c>
      <c r="C116" s="58" t="s">
        <v>21</v>
      </c>
      <c r="D116" s="59" t="s">
        <v>20</v>
      </c>
      <c r="E116" s="60"/>
      <c r="F116" s="59"/>
      <c r="G116" s="59"/>
      <c r="H116" s="59"/>
      <c r="I116" s="59"/>
      <c r="Q116">
        <f t="shared" si="9"/>
        <v>5</v>
      </c>
    </row>
    <row r="117" spans="2:17" ht="12.75">
      <c r="B117" s="4">
        <v>3</v>
      </c>
      <c r="C117" s="58" t="s">
        <v>22</v>
      </c>
      <c r="D117" s="59" t="s">
        <v>20</v>
      </c>
      <c r="F117" s="59"/>
      <c r="G117" s="59"/>
      <c r="H117" s="59"/>
      <c r="I117" s="59"/>
      <c r="Q117">
        <f t="shared" si="9"/>
        <v>5</v>
      </c>
    </row>
    <row r="118" spans="2:17" ht="12.75">
      <c r="B118" s="4">
        <v>4</v>
      </c>
      <c r="C118" s="58" t="s">
        <v>23</v>
      </c>
      <c r="D118" s="59" t="s">
        <v>20</v>
      </c>
      <c r="E118" s="59"/>
      <c r="F118" s="59"/>
      <c r="G118" s="59"/>
      <c r="H118" s="59"/>
      <c r="I118" s="59"/>
      <c r="J118" s="7"/>
      <c r="Q118">
        <f t="shared" si="9"/>
        <v>5</v>
      </c>
    </row>
    <row r="119" spans="2:17" ht="12.75">
      <c r="B119" s="4">
        <v>5</v>
      </c>
      <c r="C119" s="58" t="s">
        <v>24</v>
      </c>
      <c r="D119" s="59" t="s">
        <v>20</v>
      </c>
      <c r="F119" s="59"/>
      <c r="G119" s="59"/>
      <c r="H119" s="59"/>
      <c r="I119" s="59"/>
      <c r="J119" s="7"/>
      <c r="Q119">
        <f t="shared" si="9"/>
        <v>5</v>
      </c>
    </row>
    <row r="120" spans="2:17" ht="12.75">
      <c r="B120" s="4">
        <v>6</v>
      </c>
      <c r="C120" s="58" t="s">
        <v>25</v>
      </c>
      <c r="D120" s="59" t="s">
        <v>20</v>
      </c>
      <c r="E120" s="59"/>
      <c r="F120" s="59"/>
      <c r="G120" s="59"/>
      <c r="H120" s="59"/>
      <c r="I120" s="59"/>
      <c r="J120" s="7"/>
      <c r="Q120">
        <f t="shared" si="9"/>
        <v>5</v>
      </c>
    </row>
    <row r="121" spans="2:17" ht="12.75">
      <c r="B121" s="4">
        <v>7</v>
      </c>
      <c r="C121" s="61" t="s">
        <v>26</v>
      </c>
      <c r="D121" s="62" t="s">
        <v>20</v>
      </c>
      <c r="F121" s="63"/>
      <c r="G121" s="63"/>
      <c r="H121" s="63"/>
      <c r="I121" s="63"/>
      <c r="J121" s="7"/>
      <c r="Q121">
        <f t="shared" si="9"/>
        <v>5</v>
      </c>
    </row>
    <row r="122" spans="2:17" ht="12.75">
      <c r="B122" s="4">
        <v>8</v>
      </c>
      <c r="C122" s="66" t="s">
        <v>27</v>
      </c>
      <c r="D122" s="76"/>
      <c r="E122" s="77"/>
      <c r="F122" s="77"/>
      <c r="G122" s="77"/>
      <c r="H122" s="77"/>
      <c r="I122" s="78"/>
      <c r="J122" s="7"/>
      <c r="Q122">
        <f>IF(COUNTA(D122) &gt;=1, 2, 5)</f>
        <v>5</v>
      </c>
    </row>
    <row r="123" spans="2:17" ht="12.75">
      <c r="B123" s="65">
        <v>9</v>
      </c>
      <c r="C123" s="67" t="s">
        <v>28</v>
      </c>
      <c r="D123" s="81"/>
      <c r="E123" s="104"/>
      <c r="F123" s="104"/>
      <c r="G123" s="104"/>
      <c r="H123" s="104"/>
      <c r="I123" s="104"/>
      <c r="J123" s="7"/>
    </row>
    <row r="124" spans="2:17" ht="12.75">
      <c r="B124" s="64"/>
      <c r="C124" s="22"/>
      <c r="D124" s="68"/>
      <c r="E124" s="69"/>
      <c r="F124" s="69"/>
      <c r="G124" s="69"/>
      <c r="H124" s="23"/>
      <c r="I124" s="23"/>
      <c r="J124" s="7"/>
      <c r="Q124">
        <f>IF(Q122&gt;0,AVERAGE(Q115:Q122),AVERAGE(Q115:Q121))</f>
        <v>5</v>
      </c>
    </row>
    <row r="125" spans="2:17" ht="20.25">
      <c r="B125" s="100" t="s">
        <v>1</v>
      </c>
      <c r="C125" s="101"/>
      <c r="D125" s="75" t="s">
        <v>41</v>
      </c>
      <c r="E125" s="105"/>
      <c r="F125" s="105"/>
      <c r="G125" s="106"/>
      <c r="L125" s="57"/>
    </row>
    <row r="126" spans="2:17" ht="24">
      <c r="B126" s="3" t="s">
        <v>0</v>
      </c>
      <c r="C126" s="3" t="s">
        <v>13</v>
      </c>
      <c r="D126" s="3" t="s">
        <v>14</v>
      </c>
      <c r="E126" s="3" t="s">
        <v>15</v>
      </c>
      <c r="F126" s="3" t="s">
        <v>16</v>
      </c>
      <c r="G126" s="3" t="s">
        <v>17</v>
      </c>
      <c r="H126" s="3" t="s">
        <v>18</v>
      </c>
      <c r="I126" s="3" t="s">
        <v>5</v>
      </c>
      <c r="J126" s="2"/>
      <c r="K126" s="2"/>
      <c r="L126" s="2"/>
      <c r="M126" s="2"/>
      <c r="N126" s="2"/>
      <c r="O126" s="2"/>
      <c r="P126" s="2"/>
      <c r="Q126" s="2"/>
    </row>
    <row r="127" spans="2:17" ht="12.75">
      <c r="B127" s="4">
        <v>1</v>
      </c>
      <c r="C127" s="58" t="s">
        <v>19</v>
      </c>
      <c r="D127" s="59" t="s">
        <v>20</v>
      </c>
      <c r="E127" s="59"/>
      <c r="F127" s="59"/>
      <c r="G127" s="59"/>
      <c r="H127" s="59"/>
      <c r="I127" s="59"/>
      <c r="Q127">
        <f t="shared" ref="Q127:Q133" si="10">COUNTA(D127)*5 +COUNTA(E127)*4+COUNTA(F127)*3+COUNTA(G127)*2+COUNTA(H127)*1</f>
        <v>5</v>
      </c>
    </row>
    <row r="128" spans="2:17" ht="12.75">
      <c r="B128" s="4">
        <v>2</v>
      </c>
      <c r="C128" s="58" t="s">
        <v>21</v>
      </c>
      <c r="D128" s="59" t="s">
        <v>20</v>
      </c>
      <c r="E128" s="60"/>
      <c r="F128" s="59"/>
      <c r="G128" s="59"/>
      <c r="H128" s="59"/>
      <c r="I128" s="59"/>
      <c r="Q128">
        <f t="shared" si="10"/>
        <v>5</v>
      </c>
    </row>
    <row r="129" spans="2:17" ht="12.75">
      <c r="B129" s="4">
        <v>3</v>
      </c>
      <c r="C129" s="58" t="s">
        <v>22</v>
      </c>
      <c r="D129" s="59" t="s">
        <v>20</v>
      </c>
      <c r="F129" s="59"/>
      <c r="G129" s="59"/>
      <c r="H129" s="59"/>
      <c r="I129" s="59"/>
      <c r="Q129">
        <f t="shared" si="10"/>
        <v>5</v>
      </c>
    </row>
    <row r="130" spans="2:17" ht="12.75">
      <c r="B130" s="4">
        <v>4</v>
      </c>
      <c r="C130" s="58" t="s">
        <v>23</v>
      </c>
      <c r="D130" s="59" t="s">
        <v>20</v>
      </c>
      <c r="E130" s="59"/>
      <c r="F130" s="59"/>
      <c r="G130" s="59"/>
      <c r="H130" s="59"/>
      <c r="I130" s="59"/>
      <c r="J130" s="7"/>
      <c r="Q130">
        <f t="shared" si="10"/>
        <v>5</v>
      </c>
    </row>
    <row r="131" spans="2:17" ht="12.75">
      <c r="B131" s="4">
        <v>5</v>
      </c>
      <c r="C131" s="58" t="s">
        <v>24</v>
      </c>
      <c r="D131" s="59" t="s">
        <v>20</v>
      </c>
      <c r="F131" s="59"/>
      <c r="G131" s="59"/>
      <c r="H131" s="59"/>
      <c r="I131" s="59"/>
      <c r="J131" s="7"/>
      <c r="Q131">
        <f t="shared" si="10"/>
        <v>5</v>
      </c>
    </row>
    <row r="132" spans="2:17" ht="12.75">
      <c r="B132" s="4">
        <v>6</v>
      </c>
      <c r="C132" s="58" t="s">
        <v>25</v>
      </c>
      <c r="D132" s="59" t="s">
        <v>20</v>
      </c>
      <c r="E132" s="59"/>
      <c r="F132" s="59"/>
      <c r="G132" s="59"/>
      <c r="H132" s="59"/>
      <c r="I132" s="59"/>
      <c r="J132" s="7"/>
      <c r="Q132">
        <f t="shared" si="10"/>
        <v>5</v>
      </c>
    </row>
    <row r="133" spans="2:17" ht="12.75">
      <c r="B133" s="4">
        <v>7</v>
      </c>
      <c r="C133" s="61" t="s">
        <v>26</v>
      </c>
      <c r="D133" s="62" t="s">
        <v>20</v>
      </c>
      <c r="F133" s="63"/>
      <c r="G133" s="63"/>
      <c r="H133" s="63"/>
      <c r="I133" s="63"/>
      <c r="J133" s="7"/>
      <c r="Q133">
        <f t="shared" si="10"/>
        <v>5</v>
      </c>
    </row>
    <row r="134" spans="2:17" ht="12.75">
      <c r="B134" s="4">
        <v>8</v>
      </c>
      <c r="C134" s="66" t="s">
        <v>27</v>
      </c>
      <c r="D134" s="76"/>
      <c r="E134" s="77"/>
      <c r="F134" s="77"/>
      <c r="G134" s="77"/>
      <c r="H134" s="77"/>
      <c r="I134" s="78"/>
      <c r="J134" s="7"/>
      <c r="Q134">
        <f>IF(COUNTA(D134) &gt;=1, 2, 5)</f>
        <v>5</v>
      </c>
    </row>
    <row r="135" spans="2:17" ht="12.75">
      <c r="B135" s="65">
        <v>9</v>
      </c>
      <c r="C135" s="67" t="s">
        <v>28</v>
      </c>
      <c r="D135" s="81"/>
      <c r="E135" s="104"/>
      <c r="F135" s="104"/>
      <c r="G135" s="104"/>
      <c r="H135" s="104"/>
      <c r="I135" s="104"/>
      <c r="J135" s="7"/>
    </row>
    <row r="136" spans="2:17" ht="12.75">
      <c r="B136" s="64"/>
      <c r="C136" s="22"/>
      <c r="D136" s="68"/>
      <c r="E136" s="69"/>
      <c r="F136" s="69"/>
      <c r="G136" s="69"/>
      <c r="H136" s="23"/>
      <c r="I136" s="23"/>
      <c r="J136" s="7"/>
      <c r="Q136">
        <f>IF(Q134&gt;0,AVERAGE(Q127:Q134),AVERAGE(Q127:Q133))</f>
        <v>5</v>
      </c>
    </row>
    <row r="137" spans="2:17" ht="20.25">
      <c r="B137" s="100" t="s">
        <v>1</v>
      </c>
      <c r="C137" s="101"/>
      <c r="D137" s="75" t="s">
        <v>42</v>
      </c>
      <c r="E137" s="105"/>
      <c r="F137" s="105"/>
      <c r="G137" s="106"/>
      <c r="L137" s="57"/>
    </row>
    <row r="138" spans="2:17" ht="24">
      <c r="B138" s="3" t="s">
        <v>0</v>
      </c>
      <c r="C138" s="3" t="s">
        <v>13</v>
      </c>
      <c r="D138" s="3" t="s">
        <v>14</v>
      </c>
      <c r="E138" s="3" t="s">
        <v>15</v>
      </c>
      <c r="F138" s="3" t="s">
        <v>16</v>
      </c>
      <c r="G138" s="3" t="s">
        <v>17</v>
      </c>
      <c r="H138" s="3" t="s">
        <v>18</v>
      </c>
      <c r="I138" s="3" t="s">
        <v>5</v>
      </c>
      <c r="J138" s="2"/>
      <c r="K138" s="2"/>
      <c r="L138" s="2"/>
      <c r="M138" s="2"/>
      <c r="N138" s="2"/>
      <c r="O138" s="2"/>
      <c r="P138" s="2"/>
      <c r="Q138" s="2"/>
    </row>
    <row r="139" spans="2:17" ht="12.75">
      <c r="B139" s="4">
        <v>1</v>
      </c>
      <c r="C139" s="58" t="s">
        <v>19</v>
      </c>
      <c r="D139" s="59" t="s">
        <v>20</v>
      </c>
      <c r="E139" s="59"/>
      <c r="F139" s="59"/>
      <c r="G139" s="59"/>
      <c r="H139" s="59"/>
      <c r="I139" s="59"/>
      <c r="Q139">
        <f t="shared" ref="Q139:Q145" si="11">COUNTA(D139)*5 +COUNTA(E139)*4+COUNTA(F139)*3+COUNTA(G139)*2+COUNTA(H139)*1</f>
        <v>5</v>
      </c>
    </row>
    <row r="140" spans="2:17" ht="12.75">
      <c r="B140" s="4">
        <v>2</v>
      </c>
      <c r="C140" s="58" t="s">
        <v>21</v>
      </c>
      <c r="D140" s="59" t="s">
        <v>20</v>
      </c>
      <c r="E140" s="60"/>
      <c r="F140" s="59"/>
      <c r="G140" s="59"/>
      <c r="H140" s="59"/>
      <c r="I140" s="59"/>
      <c r="Q140">
        <f t="shared" si="11"/>
        <v>5</v>
      </c>
    </row>
    <row r="141" spans="2:17" ht="12.75">
      <c r="B141" s="4">
        <v>3</v>
      </c>
      <c r="C141" s="58" t="s">
        <v>22</v>
      </c>
      <c r="D141" s="59" t="s">
        <v>20</v>
      </c>
      <c r="F141" s="59"/>
      <c r="G141" s="59"/>
      <c r="H141" s="59"/>
      <c r="I141" s="59"/>
      <c r="Q141">
        <f t="shared" si="11"/>
        <v>5</v>
      </c>
    </row>
    <row r="142" spans="2:17" ht="12.75">
      <c r="B142" s="4">
        <v>4</v>
      </c>
      <c r="C142" s="58" t="s">
        <v>23</v>
      </c>
      <c r="D142" s="59" t="s">
        <v>20</v>
      </c>
      <c r="E142" s="59"/>
      <c r="F142" s="59"/>
      <c r="G142" s="59"/>
      <c r="H142" s="59"/>
      <c r="I142" s="59"/>
      <c r="J142" s="7"/>
      <c r="Q142">
        <f t="shared" si="11"/>
        <v>5</v>
      </c>
    </row>
    <row r="143" spans="2:17" ht="12.75">
      <c r="B143" s="4">
        <v>5</v>
      </c>
      <c r="C143" s="58" t="s">
        <v>24</v>
      </c>
      <c r="D143" s="59" t="s">
        <v>20</v>
      </c>
      <c r="F143" s="59"/>
      <c r="G143" s="59"/>
      <c r="H143" s="59"/>
      <c r="I143" s="59"/>
      <c r="J143" s="7"/>
      <c r="Q143">
        <f t="shared" si="11"/>
        <v>5</v>
      </c>
    </row>
    <row r="144" spans="2:17" ht="12.75">
      <c r="B144" s="4">
        <v>6</v>
      </c>
      <c r="C144" s="58" t="s">
        <v>25</v>
      </c>
      <c r="D144" s="59" t="s">
        <v>20</v>
      </c>
      <c r="E144" s="59"/>
      <c r="F144" s="59"/>
      <c r="G144" s="59"/>
      <c r="H144" s="59"/>
      <c r="I144" s="59"/>
      <c r="J144" s="7"/>
      <c r="Q144">
        <f t="shared" si="11"/>
        <v>5</v>
      </c>
    </row>
    <row r="145" spans="2:17" ht="12.75">
      <c r="B145" s="4">
        <v>7</v>
      </c>
      <c r="C145" s="61" t="s">
        <v>26</v>
      </c>
      <c r="D145" s="62" t="s">
        <v>20</v>
      </c>
      <c r="F145" s="63"/>
      <c r="G145" s="63"/>
      <c r="H145" s="63"/>
      <c r="I145" s="63"/>
      <c r="J145" s="7"/>
      <c r="Q145">
        <f t="shared" si="11"/>
        <v>5</v>
      </c>
    </row>
    <row r="146" spans="2:17" ht="12.75">
      <c r="B146" s="4">
        <v>8</v>
      </c>
      <c r="C146" s="66" t="s">
        <v>27</v>
      </c>
      <c r="D146" s="76"/>
      <c r="E146" s="77"/>
      <c r="F146" s="77"/>
      <c r="G146" s="77"/>
      <c r="H146" s="77"/>
      <c r="I146" s="78"/>
      <c r="J146" s="7"/>
      <c r="Q146">
        <f>IF(COUNTA(D146) &gt;=1, 2, 5)</f>
        <v>5</v>
      </c>
    </row>
    <row r="147" spans="2:17" ht="12.75">
      <c r="B147" s="65">
        <v>9</v>
      </c>
      <c r="C147" s="67" t="s">
        <v>28</v>
      </c>
      <c r="D147" s="81"/>
      <c r="E147" s="104"/>
      <c r="F147" s="104"/>
      <c r="G147" s="104"/>
      <c r="H147" s="104"/>
      <c r="I147" s="104"/>
      <c r="J147" s="7"/>
    </row>
    <row r="148" spans="2:17" ht="12.75">
      <c r="B148" s="64"/>
      <c r="C148" s="22"/>
      <c r="D148" s="68"/>
      <c r="E148" s="69"/>
      <c r="F148" s="69"/>
      <c r="G148" s="69"/>
      <c r="H148" s="23"/>
      <c r="I148" s="23"/>
      <c r="J148" s="7"/>
      <c r="Q148">
        <f>IF(Q146&gt;0,AVERAGE(Q139:Q146),AVERAGE(Q139:Q145))</f>
        <v>5</v>
      </c>
    </row>
    <row r="149" spans="2:17" ht="20.25">
      <c r="B149" s="100" t="s">
        <v>1</v>
      </c>
      <c r="C149" s="101"/>
      <c r="D149" s="75" t="s">
        <v>42</v>
      </c>
      <c r="E149" s="105"/>
      <c r="F149" s="105"/>
      <c r="G149" s="106"/>
      <c r="L149" s="57"/>
    </row>
    <row r="150" spans="2:17" ht="24">
      <c r="B150" s="3" t="s">
        <v>0</v>
      </c>
      <c r="C150" s="3" t="s">
        <v>13</v>
      </c>
      <c r="D150" s="3" t="s">
        <v>14</v>
      </c>
      <c r="E150" s="3" t="s">
        <v>15</v>
      </c>
      <c r="F150" s="3" t="s">
        <v>16</v>
      </c>
      <c r="G150" s="3" t="s">
        <v>17</v>
      </c>
      <c r="H150" s="3" t="s">
        <v>18</v>
      </c>
      <c r="I150" s="3" t="s">
        <v>5</v>
      </c>
      <c r="J150" s="2"/>
      <c r="K150" s="2"/>
      <c r="L150" s="2"/>
      <c r="M150" s="2"/>
      <c r="N150" s="2"/>
      <c r="O150" s="2"/>
      <c r="P150" s="2"/>
      <c r="Q150" s="2"/>
    </row>
    <row r="151" spans="2:17" ht="12.75">
      <c r="B151" s="4">
        <v>1</v>
      </c>
      <c r="C151" s="58" t="s">
        <v>19</v>
      </c>
      <c r="D151" s="59" t="s">
        <v>20</v>
      </c>
      <c r="E151" s="59"/>
      <c r="F151" s="59"/>
      <c r="G151" s="59"/>
      <c r="H151" s="59"/>
      <c r="I151" s="59"/>
      <c r="Q151">
        <f t="shared" ref="Q151:Q157" si="12">COUNTA(D151)*5 +COUNTA(E151)*4+COUNTA(F151)*3+COUNTA(G151)*2+COUNTA(H151)*1</f>
        <v>5</v>
      </c>
    </row>
    <row r="152" spans="2:17" ht="12.75">
      <c r="B152" s="4">
        <v>2</v>
      </c>
      <c r="C152" s="58" t="s">
        <v>21</v>
      </c>
      <c r="D152" s="59" t="s">
        <v>20</v>
      </c>
      <c r="E152" s="60"/>
      <c r="F152" s="59"/>
      <c r="G152" s="59"/>
      <c r="H152" s="59"/>
      <c r="I152" s="59"/>
      <c r="Q152">
        <f t="shared" si="12"/>
        <v>5</v>
      </c>
    </row>
    <row r="153" spans="2:17" ht="12.75">
      <c r="B153" s="4">
        <v>3</v>
      </c>
      <c r="C153" s="58" t="s">
        <v>22</v>
      </c>
      <c r="D153" s="59" t="s">
        <v>20</v>
      </c>
      <c r="F153" s="59"/>
      <c r="G153" s="59"/>
      <c r="H153" s="59"/>
      <c r="I153" s="59"/>
      <c r="Q153">
        <f t="shared" si="12"/>
        <v>5</v>
      </c>
    </row>
    <row r="154" spans="2:17" ht="12.75">
      <c r="B154" s="4">
        <v>4</v>
      </c>
      <c r="C154" s="58" t="s">
        <v>23</v>
      </c>
      <c r="D154" s="59" t="s">
        <v>20</v>
      </c>
      <c r="E154" s="59"/>
      <c r="F154" s="59"/>
      <c r="G154" s="59"/>
      <c r="H154" s="59"/>
      <c r="I154" s="59"/>
      <c r="J154" s="7"/>
      <c r="Q154">
        <f t="shared" si="12"/>
        <v>5</v>
      </c>
    </row>
    <row r="155" spans="2:17" ht="12.75">
      <c r="B155" s="4">
        <v>5</v>
      </c>
      <c r="C155" s="58" t="s">
        <v>24</v>
      </c>
      <c r="D155" s="59" t="s">
        <v>20</v>
      </c>
      <c r="F155" s="59"/>
      <c r="G155" s="59"/>
      <c r="H155" s="59"/>
      <c r="I155" s="59"/>
      <c r="J155" s="7"/>
      <c r="Q155">
        <f t="shared" si="12"/>
        <v>5</v>
      </c>
    </row>
    <row r="156" spans="2:17" ht="12.75">
      <c r="B156" s="4">
        <v>6</v>
      </c>
      <c r="C156" s="58" t="s">
        <v>25</v>
      </c>
      <c r="D156" s="59" t="s">
        <v>20</v>
      </c>
      <c r="E156" s="59"/>
      <c r="F156" s="59"/>
      <c r="G156" s="59"/>
      <c r="H156" s="59"/>
      <c r="I156" s="59"/>
      <c r="J156" s="7"/>
      <c r="Q156">
        <f t="shared" si="12"/>
        <v>5</v>
      </c>
    </row>
    <row r="157" spans="2:17" ht="12.75">
      <c r="B157" s="4">
        <v>7</v>
      </c>
      <c r="C157" s="61" t="s">
        <v>26</v>
      </c>
      <c r="D157" s="62" t="s">
        <v>20</v>
      </c>
      <c r="F157" s="63"/>
      <c r="G157" s="63"/>
      <c r="H157" s="63"/>
      <c r="I157" s="63"/>
      <c r="J157" s="7"/>
      <c r="Q157">
        <f t="shared" si="12"/>
        <v>5</v>
      </c>
    </row>
    <row r="158" spans="2:17" ht="12.75">
      <c r="B158" s="4">
        <v>8</v>
      </c>
      <c r="C158" s="66" t="s">
        <v>27</v>
      </c>
      <c r="D158" s="76"/>
      <c r="E158" s="77"/>
      <c r="F158" s="77"/>
      <c r="G158" s="77"/>
      <c r="H158" s="77"/>
      <c r="I158" s="78"/>
      <c r="J158" s="7"/>
      <c r="Q158">
        <f>IF(COUNTA(D158) &gt;=1, 2, 5)</f>
        <v>5</v>
      </c>
    </row>
    <row r="159" spans="2:17" ht="12.75">
      <c r="B159" s="65">
        <v>9</v>
      </c>
      <c r="C159" s="67" t="s">
        <v>28</v>
      </c>
      <c r="D159" s="81"/>
      <c r="E159" s="104"/>
      <c r="F159" s="104"/>
      <c r="G159" s="104"/>
      <c r="H159" s="104"/>
      <c r="I159" s="104"/>
      <c r="J159" s="7"/>
    </row>
    <row r="160" spans="2:17" ht="12.75">
      <c r="B160" s="64"/>
      <c r="C160" s="22"/>
      <c r="D160" s="68"/>
      <c r="E160" s="69"/>
      <c r="F160" s="69"/>
      <c r="G160" s="69"/>
      <c r="H160" s="23"/>
      <c r="I160" s="23"/>
      <c r="J160" s="7"/>
      <c r="Q160">
        <f>IF(Q158&gt;0,AVERAGE(Q151:Q158),AVERAGE(Q151:Q157))</f>
        <v>5</v>
      </c>
    </row>
    <row r="161" spans="2:17" ht="20.25">
      <c r="B161" s="100" t="s">
        <v>1</v>
      </c>
      <c r="C161" s="101"/>
      <c r="D161" s="75" t="s">
        <v>43</v>
      </c>
      <c r="E161" s="105"/>
      <c r="F161" s="105"/>
      <c r="G161" s="106"/>
      <c r="L161" s="57"/>
    </row>
    <row r="162" spans="2:17" ht="24">
      <c r="B162" s="3" t="s">
        <v>0</v>
      </c>
      <c r="C162" s="3" t="s">
        <v>13</v>
      </c>
      <c r="D162" s="3" t="s">
        <v>14</v>
      </c>
      <c r="E162" s="3" t="s">
        <v>15</v>
      </c>
      <c r="F162" s="3" t="s">
        <v>16</v>
      </c>
      <c r="G162" s="3" t="s">
        <v>17</v>
      </c>
      <c r="H162" s="3" t="s">
        <v>18</v>
      </c>
      <c r="I162" s="3" t="s">
        <v>5</v>
      </c>
      <c r="J162" s="2"/>
      <c r="K162" s="2"/>
      <c r="L162" s="2"/>
      <c r="M162" s="2"/>
      <c r="N162" s="2"/>
      <c r="O162" s="2"/>
      <c r="P162" s="2"/>
      <c r="Q162" s="2"/>
    </row>
    <row r="163" spans="2:17" ht="12.75">
      <c r="B163" s="4">
        <v>1</v>
      </c>
      <c r="C163" s="58" t="s">
        <v>19</v>
      </c>
      <c r="D163" s="59" t="s">
        <v>20</v>
      </c>
      <c r="E163" s="59"/>
      <c r="F163" s="59"/>
      <c r="G163" s="59"/>
      <c r="H163" s="59"/>
      <c r="I163" s="59"/>
      <c r="Q163">
        <f t="shared" ref="Q163:Q169" si="13">COUNTA(D163)*5 +COUNTA(E163)*4+COUNTA(F163)*3+COUNTA(G163)*2+COUNTA(H163)*1</f>
        <v>5</v>
      </c>
    </row>
    <row r="164" spans="2:17" ht="12.75">
      <c r="B164" s="4">
        <v>2</v>
      </c>
      <c r="C164" s="58" t="s">
        <v>21</v>
      </c>
      <c r="D164" s="59" t="s">
        <v>20</v>
      </c>
      <c r="E164" s="60"/>
      <c r="F164" s="59"/>
      <c r="G164" s="59"/>
      <c r="H164" s="59"/>
      <c r="I164" s="59"/>
      <c r="Q164">
        <f t="shared" si="13"/>
        <v>5</v>
      </c>
    </row>
    <row r="165" spans="2:17" ht="12.75">
      <c r="B165" s="4">
        <v>3</v>
      </c>
      <c r="C165" s="58" t="s">
        <v>22</v>
      </c>
      <c r="D165" s="59" t="s">
        <v>20</v>
      </c>
      <c r="F165" s="59"/>
      <c r="G165" s="59"/>
      <c r="H165" s="59"/>
      <c r="I165" s="59"/>
      <c r="Q165">
        <f t="shared" si="13"/>
        <v>5</v>
      </c>
    </row>
    <row r="166" spans="2:17" ht="12.75">
      <c r="B166" s="4">
        <v>4</v>
      </c>
      <c r="C166" s="58" t="s">
        <v>23</v>
      </c>
      <c r="D166" s="59" t="s">
        <v>20</v>
      </c>
      <c r="E166" s="59"/>
      <c r="F166" s="59"/>
      <c r="G166" s="59"/>
      <c r="H166" s="59"/>
      <c r="I166" s="59"/>
      <c r="J166" s="7"/>
      <c r="Q166">
        <f t="shared" si="13"/>
        <v>5</v>
      </c>
    </row>
    <row r="167" spans="2:17" ht="12.75">
      <c r="B167" s="4">
        <v>5</v>
      </c>
      <c r="C167" s="58" t="s">
        <v>24</v>
      </c>
      <c r="D167" s="59" t="s">
        <v>20</v>
      </c>
      <c r="F167" s="59"/>
      <c r="G167" s="59"/>
      <c r="H167" s="59"/>
      <c r="I167" s="59"/>
      <c r="J167" s="7"/>
      <c r="Q167">
        <f t="shared" si="13"/>
        <v>5</v>
      </c>
    </row>
    <row r="168" spans="2:17" ht="12.75">
      <c r="B168" s="4">
        <v>6</v>
      </c>
      <c r="C168" s="58" t="s">
        <v>25</v>
      </c>
      <c r="D168" s="59" t="s">
        <v>20</v>
      </c>
      <c r="E168" s="59"/>
      <c r="F168" s="59"/>
      <c r="G168" s="59"/>
      <c r="H168" s="59"/>
      <c r="I168" s="59"/>
      <c r="J168" s="7"/>
      <c r="Q168">
        <f t="shared" si="13"/>
        <v>5</v>
      </c>
    </row>
    <row r="169" spans="2:17" ht="12.75">
      <c r="B169" s="4">
        <v>7</v>
      </c>
      <c r="C169" s="61" t="s">
        <v>26</v>
      </c>
      <c r="D169" s="62" t="s">
        <v>20</v>
      </c>
      <c r="F169" s="63"/>
      <c r="G169" s="63"/>
      <c r="H169" s="63"/>
      <c r="I169" s="63"/>
      <c r="J169" s="7"/>
      <c r="Q169">
        <f t="shared" si="13"/>
        <v>5</v>
      </c>
    </row>
    <row r="170" spans="2:17" ht="12.75">
      <c r="B170" s="4">
        <v>8</v>
      </c>
      <c r="C170" s="66" t="s">
        <v>27</v>
      </c>
      <c r="D170" s="76"/>
      <c r="E170" s="77"/>
      <c r="F170" s="77"/>
      <c r="G170" s="77"/>
      <c r="H170" s="77"/>
      <c r="I170" s="78"/>
      <c r="J170" s="7"/>
      <c r="Q170">
        <f>IF(COUNTA(D170) &gt;=1, 2, 5)</f>
        <v>5</v>
      </c>
    </row>
    <row r="171" spans="2:17" ht="12.75">
      <c r="B171" s="65">
        <v>9</v>
      </c>
      <c r="C171" s="67" t="s">
        <v>28</v>
      </c>
      <c r="D171" s="81"/>
      <c r="E171" s="104"/>
      <c r="F171" s="104"/>
      <c r="G171" s="104"/>
      <c r="H171" s="104"/>
      <c r="I171" s="104"/>
      <c r="J171" s="7"/>
    </row>
    <row r="172" spans="2:17" ht="12.75">
      <c r="B172" s="64"/>
      <c r="C172" s="22"/>
      <c r="D172" s="68"/>
      <c r="E172" s="69"/>
      <c r="F172" s="69"/>
      <c r="G172" s="69"/>
      <c r="H172" s="23"/>
      <c r="I172" s="23"/>
      <c r="J172" s="7"/>
      <c r="Q172">
        <f>IF(Q170&gt;0,AVERAGE(Q163:Q170),AVERAGE(Q163:Q169))</f>
        <v>5</v>
      </c>
    </row>
    <row r="173" spans="2:17" ht="12.75">
      <c r="B173" s="1"/>
    </row>
    <row r="174" spans="2:17" ht="12.75">
      <c r="B174" s="1"/>
    </row>
    <row r="175" spans="2:17" ht="12.75">
      <c r="B175" s="1"/>
    </row>
    <row r="176" spans="2:17"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sheetData>
  <mergeCells count="57">
    <mergeCell ref="B137:C137"/>
    <mergeCell ref="D137:G137"/>
    <mergeCell ref="D146:I146"/>
    <mergeCell ref="D147:I147"/>
    <mergeCell ref="B125:C125"/>
    <mergeCell ref="D125:G125"/>
    <mergeCell ref="D134:I134"/>
    <mergeCell ref="D135:I135"/>
    <mergeCell ref="B89:C89"/>
    <mergeCell ref="D89:G89"/>
    <mergeCell ref="D98:I98"/>
    <mergeCell ref="D99:I99"/>
    <mergeCell ref="B113:C113"/>
    <mergeCell ref="D113:G113"/>
    <mergeCell ref="D122:I122"/>
    <mergeCell ref="D123:I123"/>
    <mergeCell ref="B101:C101"/>
    <mergeCell ref="D101:G101"/>
    <mergeCell ref="D110:I110"/>
    <mergeCell ref="D111:I111"/>
    <mergeCell ref="B53:C53"/>
    <mergeCell ref="D53:G53"/>
    <mergeCell ref="D62:I62"/>
    <mergeCell ref="D63:I63"/>
    <mergeCell ref="B77:C77"/>
    <mergeCell ref="D77:G77"/>
    <mergeCell ref="D86:I86"/>
    <mergeCell ref="D87:I87"/>
    <mergeCell ref="B65:C65"/>
    <mergeCell ref="D65:G65"/>
    <mergeCell ref="D74:I74"/>
    <mergeCell ref="D75:I75"/>
    <mergeCell ref="B17:C17"/>
    <mergeCell ref="D17:G17"/>
    <mergeCell ref="D26:I26"/>
    <mergeCell ref="D27:I27"/>
    <mergeCell ref="B41:C41"/>
    <mergeCell ref="D41:G41"/>
    <mergeCell ref="D50:I50"/>
    <mergeCell ref="D51:I51"/>
    <mergeCell ref="B29:C29"/>
    <mergeCell ref="D29:G29"/>
    <mergeCell ref="D38:I38"/>
    <mergeCell ref="D39:I39"/>
    <mergeCell ref="L4:L5"/>
    <mergeCell ref="B5:C5"/>
    <mergeCell ref="D5:G5"/>
    <mergeCell ref="D14:I14"/>
    <mergeCell ref="D15:I15"/>
    <mergeCell ref="D170:I170"/>
    <mergeCell ref="D171:I171"/>
    <mergeCell ref="B149:C149"/>
    <mergeCell ref="D149:G149"/>
    <mergeCell ref="D158:I158"/>
    <mergeCell ref="D159:I159"/>
    <mergeCell ref="B161:C161"/>
    <mergeCell ref="D161:G161"/>
  </mergeCells>
  <pageMargins left="0" right="0" top="0" bottom="0" header="0" footer="0"/>
  <pageSetup paperSize="8" fitToWidth="0" fitToHeight="0" orientation="landscape"/>
  <headerFooter>
    <oddFooter>&amp;R_x000D_&amp;1#&amp;"Calibri"&amp;8&amp;K000000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61CEA-59E3-44AE-BCBF-9D94F1BB21BA}">
  <dimension ref="B3:F12"/>
  <sheetViews>
    <sheetView showGridLines="0" workbookViewId="0">
      <selection activeCell="E17" sqref="E17"/>
    </sheetView>
  </sheetViews>
  <sheetFormatPr defaultRowHeight="12.75"/>
  <cols>
    <col min="2" max="2" width="31.7109375" customWidth="1"/>
    <col min="3" max="3" width="25.28515625" customWidth="1"/>
    <col min="6" max="6" width="13" customWidth="1"/>
  </cols>
  <sheetData>
    <row r="3" spans="2:6">
      <c r="C3" s="41"/>
      <c r="D3" s="42" t="s">
        <v>47</v>
      </c>
      <c r="E3" s="43"/>
      <c r="F3" s="44" t="s">
        <v>48</v>
      </c>
    </row>
    <row r="4" spans="2:6">
      <c r="C4" s="41"/>
      <c r="D4" s="49" t="s">
        <v>49</v>
      </c>
      <c r="F4" s="45" t="s">
        <v>50</v>
      </c>
    </row>
    <row r="5" spans="2:6">
      <c r="C5" s="41"/>
      <c r="D5" s="46" t="s">
        <v>51</v>
      </c>
      <c r="E5" s="47"/>
      <c r="F5" s="48" t="s">
        <v>52</v>
      </c>
    </row>
    <row r="6" spans="2:6">
      <c r="C6" s="41"/>
    </row>
    <row r="7" spans="2:6" ht="15">
      <c r="B7" s="55" t="s">
        <v>53</v>
      </c>
      <c r="C7" s="56" t="s">
        <v>54</v>
      </c>
    </row>
    <row r="8" spans="2:6">
      <c r="B8" s="53" t="s">
        <v>55</v>
      </c>
      <c r="C8" s="54" t="e">
        <f>BOH!#REF!</f>
        <v>#REF!</v>
      </c>
    </row>
    <row r="9" spans="2:6">
      <c r="B9" s="53" t="s">
        <v>56</v>
      </c>
      <c r="C9" s="54">
        <f>'&lt;Project-2&gt;'!M6</f>
        <v>2.706666666666667</v>
      </c>
    </row>
    <row r="10" spans="2:6">
      <c r="C10" s="41"/>
    </row>
    <row r="11" spans="2:6" s="52" customFormat="1" ht="24.75" customHeight="1">
      <c r="B11" s="50" t="s">
        <v>57</v>
      </c>
      <c r="C11" s="51" t="e">
        <f>AVERAGE(C8:C9)</f>
        <v>#REF!</v>
      </c>
    </row>
    <row r="12" spans="2:6">
      <c r="C12" s="41"/>
    </row>
  </sheetData>
  <conditionalFormatting sqref="C8:C9">
    <cfRule type="cellIs" dxfId="17" priority="4" operator="greaterThan">
      <formula>4</formula>
    </cfRule>
    <cfRule type="cellIs" dxfId="16" priority="5" operator="between">
      <formula>2.1</formula>
      <formula>4</formula>
    </cfRule>
    <cfRule type="cellIs" dxfId="15" priority="6" operator="lessThanOrEqual">
      <formula>2</formula>
    </cfRule>
  </conditionalFormatting>
  <conditionalFormatting sqref="C11">
    <cfRule type="cellIs" dxfId="14" priority="3" operator="greaterThan">
      <formula>4</formula>
    </cfRule>
  </conditionalFormatting>
  <conditionalFormatting sqref="C11">
    <cfRule type="cellIs" dxfId="13" priority="2" operator="between">
      <formula>2</formula>
      <formula>4</formula>
    </cfRule>
  </conditionalFormatting>
  <conditionalFormatting sqref="C11">
    <cfRule type="cellIs" dxfId="1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348B-7F5B-4D6B-BB7E-E4405EB8BD33}">
  <sheetPr>
    <outlinePr summaryBelow="0" summaryRight="0"/>
  </sheetPr>
  <dimension ref="A1:Y967"/>
  <sheetViews>
    <sheetView showGridLines="0" topLeftCell="A106" zoomScale="90" zoomScaleNormal="90" workbookViewId="0">
      <selection activeCell="K137" sqref="K137"/>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row>
    <row r="3" spans="1:25" ht="12.75">
      <c r="B3" s="1"/>
    </row>
    <row r="4" spans="1:25" ht="12.75">
      <c r="B4" s="1"/>
      <c r="L4" s="82" t="s">
        <v>45</v>
      </c>
    </row>
    <row r="5" spans="1:25" ht="12.75">
      <c r="B5" s="100" t="s">
        <v>1</v>
      </c>
      <c r="C5" s="101"/>
      <c r="D5" s="75" t="s">
        <v>58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Q7">
        <f t="shared" ref="Q7:Q14" si="0">COUNTA(D7)*5 +COUNTA(E7)*4+COUNTA(F7)*3+COUNTA(G7)*2+COUNTA(H7)*1</f>
        <v>5</v>
      </c>
    </row>
    <row r="8" spans="1:25" ht="12.75">
      <c r="B8" s="4">
        <v>2</v>
      </c>
      <c r="C8" s="58" t="s">
        <v>21</v>
      </c>
      <c r="D8" s="59" t="s">
        <v>59</v>
      </c>
      <c r="E8" s="60"/>
      <c r="F8" s="59"/>
      <c r="G8" s="59"/>
      <c r="H8" s="59"/>
      <c r="I8" s="59"/>
      <c r="Q8">
        <f t="shared" si="0"/>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t="s">
        <v>59</v>
      </c>
      <c r="E11" s="59"/>
      <c r="F11" s="59"/>
      <c r="G11" s="59"/>
      <c r="H11" s="59"/>
      <c r="I11" s="59"/>
      <c r="J11" s="7"/>
      <c r="Q11">
        <f t="shared" si="0"/>
        <v>5</v>
      </c>
    </row>
    <row r="12" spans="1:25" ht="12.75">
      <c r="B12" s="4">
        <v>6</v>
      </c>
      <c r="C12" s="58" t="s">
        <v>25</v>
      </c>
      <c r="D12" s="59" t="s">
        <v>59</v>
      </c>
      <c r="E12" s="59"/>
      <c r="F12" s="59"/>
      <c r="G12" s="59"/>
      <c r="H12" s="59"/>
      <c r="I12" s="59"/>
      <c r="J12" s="7"/>
      <c r="Q12">
        <f t="shared" si="0"/>
        <v>5</v>
      </c>
    </row>
    <row r="13" spans="1:25" ht="12.75">
      <c r="B13" s="4">
        <v>7</v>
      </c>
      <c r="C13" s="61" t="s">
        <v>26</v>
      </c>
      <c r="D13" s="59" t="s">
        <v>59</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1:25" ht="15" customHeight="1">
      <c r="B17" s="100" t="s">
        <v>1</v>
      </c>
      <c r="C17" s="101"/>
      <c r="D17" s="75" t="s">
        <v>60</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59</v>
      </c>
      <c r="E19" s="59"/>
      <c r="F19" s="59"/>
      <c r="G19" s="59"/>
      <c r="H19" s="59"/>
      <c r="I19" s="59"/>
      <c r="Q19">
        <f t="shared" ref="Q19:Q26" si="1">COUNTA(D19)*5 +COUNTA(E19)*4+COUNTA(F19)*3+COUNTA(G19)*2+COUNTA(H19)*1</f>
        <v>5</v>
      </c>
    </row>
    <row r="20" spans="1:25" ht="12.75">
      <c r="B20" s="4">
        <v>2</v>
      </c>
      <c r="C20" s="58" t="s">
        <v>21</v>
      </c>
      <c r="D20" s="59" t="s">
        <v>59</v>
      </c>
      <c r="E20" s="60"/>
      <c r="F20" s="59"/>
      <c r="G20" s="59"/>
      <c r="H20" s="59"/>
      <c r="I20" s="59"/>
      <c r="Q20">
        <f t="shared" si="1"/>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t="s">
        <v>59</v>
      </c>
      <c r="E23" s="59"/>
      <c r="F23" s="59"/>
      <c r="G23" s="59"/>
      <c r="H23" s="59"/>
      <c r="I23" s="59"/>
      <c r="J23" s="7"/>
      <c r="Q23">
        <f t="shared" si="1"/>
        <v>5</v>
      </c>
    </row>
    <row r="24" spans="1:25" ht="12.75">
      <c r="B24" s="4">
        <v>6</v>
      </c>
      <c r="C24" s="58" t="s">
        <v>25</v>
      </c>
      <c r="D24" s="59" t="s">
        <v>59</v>
      </c>
      <c r="E24" s="59"/>
      <c r="F24" s="59"/>
      <c r="G24" s="59"/>
      <c r="H24" s="59"/>
      <c r="I24" s="59"/>
      <c r="J24" s="7"/>
      <c r="Q24">
        <f t="shared" si="1"/>
        <v>5</v>
      </c>
    </row>
    <row r="25" spans="1:25" ht="12.75">
      <c r="B25" s="4">
        <v>7</v>
      </c>
      <c r="C25" s="61" t="s">
        <v>26</v>
      </c>
      <c r="D25" s="59" t="s">
        <v>59</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5</v>
      </c>
    </row>
    <row r="29" spans="1:25" ht="20.25">
      <c r="B29" s="100" t="s">
        <v>1</v>
      </c>
      <c r="C29" s="101"/>
      <c r="D29" s="75" t="s">
        <v>61</v>
      </c>
      <c r="E29" s="105"/>
      <c r="F29" s="105"/>
      <c r="G29" s="106"/>
      <c r="L29" s="57"/>
    </row>
    <row r="30" spans="1:25" ht="23.25">
      <c r="B30" s="3" t="s">
        <v>0</v>
      </c>
      <c r="C30" s="3" t="s">
        <v>13</v>
      </c>
      <c r="D30" s="3" t="s">
        <v>14</v>
      </c>
      <c r="E30" s="3" t="s">
        <v>15</v>
      </c>
      <c r="F30" s="3" t="s">
        <v>16</v>
      </c>
      <c r="G30" s="3" t="s">
        <v>17</v>
      </c>
      <c r="H30" s="3" t="s">
        <v>18</v>
      </c>
      <c r="I30" s="3" t="s">
        <v>5</v>
      </c>
      <c r="J30" s="2"/>
      <c r="K30" s="2"/>
      <c r="L30" s="2"/>
      <c r="M30" s="2"/>
      <c r="N30" s="2"/>
      <c r="O30" s="2"/>
      <c r="P30" s="2"/>
      <c r="Q30" s="2"/>
    </row>
    <row r="31" spans="1:25" ht="12.75">
      <c r="B31" s="4">
        <v>1</v>
      </c>
      <c r="C31" s="58" t="s">
        <v>19</v>
      </c>
      <c r="D31" s="59" t="s">
        <v>59</v>
      </c>
      <c r="E31" s="59"/>
      <c r="F31" s="59"/>
      <c r="G31" s="59"/>
      <c r="H31" s="59"/>
      <c r="I31" s="59"/>
      <c r="Q31">
        <f t="shared" ref="Q31:Q38" si="2">COUNTA(D31)*5 +COUNTA(E31)*4+COUNTA(F31)*3+COUNTA(G31)*2+COUNTA(H31)*1</f>
        <v>5</v>
      </c>
    </row>
    <row r="32" spans="1:25" ht="12.75">
      <c r="B32" s="4">
        <v>2</v>
      </c>
      <c r="C32" s="58" t="s">
        <v>21</v>
      </c>
      <c r="D32" s="59" t="s">
        <v>59</v>
      </c>
      <c r="E32" s="60"/>
      <c r="F32" s="59"/>
      <c r="G32" s="59"/>
      <c r="H32" s="59"/>
      <c r="I32" s="59"/>
      <c r="Q32">
        <f t="shared" si="2"/>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t="s">
        <v>59</v>
      </c>
      <c r="E35" s="59"/>
      <c r="F35" s="59"/>
      <c r="G35" s="59"/>
      <c r="H35" s="59"/>
      <c r="I35" s="59"/>
      <c r="J35" s="7"/>
      <c r="Q35">
        <f t="shared" si="2"/>
        <v>5</v>
      </c>
    </row>
    <row r="36" spans="2:17" ht="12.75">
      <c r="B36" s="4">
        <v>6</v>
      </c>
      <c r="C36" s="58" t="s">
        <v>25</v>
      </c>
      <c r="D36" s="59" t="s">
        <v>59</v>
      </c>
      <c r="E36" s="59"/>
      <c r="F36" s="59"/>
      <c r="G36" s="59"/>
      <c r="H36" s="59"/>
      <c r="I36" s="59"/>
      <c r="J36" s="7"/>
      <c r="Q36">
        <f t="shared" si="2"/>
        <v>5</v>
      </c>
    </row>
    <row r="37" spans="2:17" ht="12.75">
      <c r="B37" s="4">
        <v>7</v>
      </c>
      <c r="C37" s="61" t="s">
        <v>26</v>
      </c>
      <c r="D37" s="59" t="s">
        <v>59</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5</v>
      </c>
    </row>
    <row r="41" spans="2:17" ht="20.25">
      <c r="B41" s="100" t="s">
        <v>1</v>
      </c>
      <c r="C41" s="101"/>
      <c r="D41" s="75" t="s">
        <v>62</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59</v>
      </c>
      <c r="E43" s="59"/>
      <c r="F43" s="59"/>
      <c r="G43" s="59"/>
      <c r="H43" s="59"/>
      <c r="I43" s="59"/>
      <c r="Q43">
        <f t="shared" ref="Q43:Q50" si="3">COUNTA(D43)*5 +COUNTA(E43)*4+COUNTA(F43)*3+COUNTA(G43)*2+COUNTA(H43)*1</f>
        <v>5</v>
      </c>
    </row>
    <row r="44" spans="2:17" ht="12.75">
      <c r="B44" s="4">
        <v>2</v>
      </c>
      <c r="C44" s="58" t="s">
        <v>21</v>
      </c>
      <c r="D44" s="59" t="s">
        <v>59</v>
      </c>
      <c r="E44" s="60"/>
      <c r="F44" s="59"/>
      <c r="G44" s="59"/>
      <c r="H44" s="59"/>
      <c r="I44" s="59"/>
      <c r="Q44">
        <f t="shared" si="3"/>
        <v>5</v>
      </c>
    </row>
    <row r="45" spans="2:17" ht="12.75">
      <c r="B45" s="4">
        <v>3</v>
      </c>
      <c r="C45" s="58" t="s">
        <v>22</v>
      </c>
      <c r="D45" s="59" t="s">
        <v>59</v>
      </c>
      <c r="E45" s="59"/>
      <c r="F45" s="59"/>
      <c r="G45" s="59"/>
      <c r="H45" s="59"/>
      <c r="I45" s="59"/>
      <c r="Q45">
        <f t="shared" si="3"/>
        <v>5</v>
      </c>
    </row>
    <row r="46" spans="2:17" ht="12.75">
      <c r="B46" s="4">
        <v>4</v>
      </c>
      <c r="C46" s="58" t="s">
        <v>23</v>
      </c>
      <c r="D46" s="59" t="s">
        <v>59</v>
      </c>
      <c r="E46" s="59"/>
      <c r="F46" s="59"/>
      <c r="G46" s="59"/>
      <c r="H46" s="59"/>
      <c r="I46" s="59"/>
      <c r="J46" s="7"/>
      <c r="Q46">
        <f t="shared" si="3"/>
        <v>5</v>
      </c>
    </row>
    <row r="47" spans="2:17" ht="12.75">
      <c r="B47" s="4">
        <v>5</v>
      </c>
      <c r="C47" s="58" t="s">
        <v>24</v>
      </c>
      <c r="D47" s="59" t="s">
        <v>59</v>
      </c>
      <c r="E47" s="59"/>
      <c r="F47" s="59"/>
      <c r="G47" s="59"/>
      <c r="H47" s="59"/>
      <c r="I47" s="59"/>
      <c r="J47" s="7"/>
      <c r="Q47">
        <f t="shared" si="3"/>
        <v>5</v>
      </c>
    </row>
    <row r="48" spans="2:17" ht="12.75">
      <c r="B48" s="4">
        <v>6</v>
      </c>
      <c r="C48" s="58" t="s">
        <v>25</v>
      </c>
      <c r="D48" s="59" t="s">
        <v>59</v>
      </c>
      <c r="E48" s="59"/>
      <c r="F48" s="59"/>
      <c r="G48" s="59"/>
      <c r="H48" s="59"/>
      <c r="I48" s="59"/>
      <c r="J48" s="7"/>
      <c r="Q48">
        <f t="shared" si="3"/>
        <v>5</v>
      </c>
    </row>
    <row r="49" spans="2:17" ht="12.75">
      <c r="B49" s="4">
        <v>7</v>
      </c>
      <c r="C49" s="61" t="s">
        <v>26</v>
      </c>
      <c r="D49" s="59" t="s">
        <v>59</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c r="Q52">
        <f>IF(Q50&gt;0,AVERAGE(Q43:Q50),AVERAGE(Q43:Q49))</f>
        <v>5</v>
      </c>
    </row>
    <row r="53" spans="2:17" ht="20.25">
      <c r="B53" s="100" t="s">
        <v>1</v>
      </c>
      <c r="C53" s="101"/>
      <c r="D53" s="75" t="s">
        <v>63</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59</v>
      </c>
      <c r="E55" s="59"/>
      <c r="F55" s="59"/>
      <c r="G55" s="59"/>
      <c r="H55" s="59"/>
      <c r="I55" s="59"/>
      <c r="Q55">
        <f t="shared" ref="Q55:Q62" si="4">COUNTA(D55)*5 +COUNTA(E55)*4+COUNTA(F55)*3+COUNTA(G55)*2+COUNTA(H55)*1</f>
        <v>5</v>
      </c>
    </row>
    <row r="56" spans="2:17" ht="12.75">
      <c r="B56" s="4">
        <v>2</v>
      </c>
      <c r="C56" s="58" t="s">
        <v>21</v>
      </c>
      <c r="D56" s="59" t="s">
        <v>59</v>
      </c>
      <c r="E56" s="60"/>
      <c r="F56" s="59"/>
      <c r="G56" s="59"/>
      <c r="H56" s="59"/>
      <c r="I56" s="59"/>
      <c r="Q56">
        <f t="shared" si="4"/>
        <v>5</v>
      </c>
    </row>
    <row r="57" spans="2:17" ht="12.75">
      <c r="B57" s="4">
        <v>3</v>
      </c>
      <c r="C57" s="58" t="s">
        <v>22</v>
      </c>
      <c r="D57" s="59" t="s">
        <v>59</v>
      </c>
      <c r="E57" s="59"/>
      <c r="F57" s="59"/>
      <c r="G57" s="59"/>
      <c r="H57" s="59"/>
      <c r="I57" s="59"/>
      <c r="Q57">
        <f t="shared" si="4"/>
        <v>5</v>
      </c>
    </row>
    <row r="58" spans="2:17" ht="12.75">
      <c r="B58" s="4">
        <v>4</v>
      </c>
      <c r="C58" s="58" t="s">
        <v>23</v>
      </c>
      <c r="D58" s="59" t="s">
        <v>59</v>
      </c>
      <c r="E58" s="59"/>
      <c r="F58" s="59"/>
      <c r="G58" s="59"/>
      <c r="H58" s="59"/>
      <c r="I58" s="59"/>
      <c r="J58" s="7"/>
      <c r="Q58">
        <f t="shared" si="4"/>
        <v>5</v>
      </c>
    </row>
    <row r="59" spans="2:17" ht="12.75">
      <c r="B59" s="4">
        <v>5</v>
      </c>
      <c r="C59" s="58" t="s">
        <v>24</v>
      </c>
      <c r="D59" s="59" t="s">
        <v>59</v>
      </c>
      <c r="E59" s="59"/>
      <c r="F59" s="59"/>
      <c r="G59" s="59"/>
      <c r="H59" s="59"/>
      <c r="I59" s="59"/>
      <c r="J59" s="7"/>
      <c r="Q59">
        <f t="shared" si="4"/>
        <v>5</v>
      </c>
    </row>
    <row r="60" spans="2:17" ht="12.75">
      <c r="B60" s="4">
        <v>6</v>
      </c>
      <c r="C60" s="58" t="s">
        <v>25</v>
      </c>
      <c r="D60" s="59" t="s">
        <v>59</v>
      </c>
      <c r="E60" s="59"/>
      <c r="F60" s="59"/>
      <c r="G60" s="59"/>
      <c r="H60" s="59"/>
      <c r="I60" s="59"/>
      <c r="J60" s="7"/>
      <c r="Q60">
        <f t="shared" si="4"/>
        <v>5</v>
      </c>
    </row>
    <row r="61" spans="2:17" ht="12.75">
      <c r="B61" s="4">
        <v>7</v>
      </c>
      <c r="C61" s="61" t="s">
        <v>26</v>
      </c>
      <c r="D61" s="59" t="s">
        <v>59</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5</v>
      </c>
    </row>
    <row r="65" spans="2:17" ht="20.25">
      <c r="B65" s="100" t="s">
        <v>1</v>
      </c>
      <c r="C65" s="101"/>
      <c r="D65" s="75" t="s">
        <v>36</v>
      </c>
      <c r="E65" s="105"/>
      <c r="F65" s="105"/>
      <c r="G65" s="106"/>
      <c r="L65" s="57"/>
    </row>
    <row r="66" spans="2:17" ht="24">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59</v>
      </c>
      <c r="E67" s="59"/>
      <c r="F67" s="59"/>
      <c r="G67" s="59"/>
      <c r="H67" s="59"/>
      <c r="I67" s="59"/>
      <c r="Q67">
        <f t="shared" ref="Q67:Q74" si="5">COUNTA(D67)*5 +COUNTA(E67)*4+COUNTA(F67)*3+COUNTA(G67)*2+COUNTA(H67)*1</f>
        <v>5</v>
      </c>
    </row>
    <row r="68" spans="2:17" ht="12.75">
      <c r="B68" s="4">
        <v>2</v>
      </c>
      <c r="C68" s="58" t="s">
        <v>21</v>
      </c>
      <c r="D68" s="59" t="s">
        <v>59</v>
      </c>
      <c r="E68" s="60"/>
      <c r="F68" s="59"/>
      <c r="G68" s="59"/>
      <c r="H68" s="59"/>
      <c r="I68" s="59"/>
      <c r="Q68">
        <f t="shared" si="5"/>
        <v>5</v>
      </c>
    </row>
    <row r="69" spans="2:17" ht="12.75">
      <c r="B69" s="4">
        <v>3</v>
      </c>
      <c r="C69" s="58" t="s">
        <v>22</v>
      </c>
      <c r="D69" s="59" t="s">
        <v>59</v>
      </c>
      <c r="E69" s="59"/>
      <c r="F69" s="59"/>
      <c r="G69" s="59"/>
      <c r="H69" s="59"/>
      <c r="I69" s="59"/>
      <c r="Q69">
        <f t="shared" si="5"/>
        <v>5</v>
      </c>
    </row>
    <row r="70" spans="2:17" ht="12.75">
      <c r="B70" s="4">
        <v>4</v>
      </c>
      <c r="C70" s="58" t="s">
        <v>23</v>
      </c>
      <c r="D70" s="59" t="s">
        <v>59</v>
      </c>
      <c r="E70" s="59"/>
      <c r="F70" s="59"/>
      <c r="G70" s="59"/>
      <c r="H70" s="59"/>
      <c r="I70" s="59"/>
      <c r="J70" s="7"/>
      <c r="Q70">
        <f t="shared" si="5"/>
        <v>5</v>
      </c>
    </row>
    <row r="71" spans="2:17" ht="12.75">
      <c r="B71" s="4">
        <v>5</v>
      </c>
      <c r="C71" s="58" t="s">
        <v>24</v>
      </c>
      <c r="D71" s="59" t="s">
        <v>59</v>
      </c>
      <c r="E71" s="59"/>
      <c r="F71" s="59"/>
      <c r="G71" s="59"/>
      <c r="H71" s="59"/>
      <c r="I71" s="59"/>
      <c r="J71" s="7"/>
      <c r="Q71">
        <f t="shared" si="5"/>
        <v>5</v>
      </c>
    </row>
    <row r="72" spans="2:17" ht="12.75">
      <c r="B72" s="4">
        <v>6</v>
      </c>
      <c r="C72" s="58" t="s">
        <v>25</v>
      </c>
      <c r="D72" s="59" t="s">
        <v>59</v>
      </c>
      <c r="E72" s="59"/>
      <c r="F72" s="59"/>
      <c r="G72" s="59"/>
      <c r="H72" s="59"/>
      <c r="I72" s="59"/>
      <c r="J72" s="7"/>
      <c r="Q72">
        <f t="shared" si="5"/>
        <v>5</v>
      </c>
    </row>
    <row r="73" spans="2:17" ht="12.75">
      <c r="B73" s="4">
        <v>7</v>
      </c>
      <c r="C73" s="61" t="s">
        <v>26</v>
      </c>
      <c r="D73" s="59" t="s">
        <v>59</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5</v>
      </c>
    </row>
    <row r="77" spans="2:17" ht="20.25">
      <c r="B77" s="100" t="s">
        <v>1</v>
      </c>
      <c r="C77" s="101"/>
      <c r="D77" s="75" t="s">
        <v>38</v>
      </c>
      <c r="E77" s="105"/>
      <c r="F77" s="105"/>
      <c r="G77" s="106"/>
      <c r="L77" s="57"/>
    </row>
    <row r="78" spans="2:17" ht="24">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59</v>
      </c>
      <c r="E79" s="59"/>
      <c r="F79" s="59"/>
      <c r="G79" s="59"/>
      <c r="H79" s="59"/>
      <c r="I79" s="59"/>
      <c r="Q79">
        <f t="shared" ref="Q79:Q86" si="6">COUNTA(D79)*5 +COUNTA(E79)*4+COUNTA(F79)*3+COUNTA(G79)*2+COUNTA(H79)*1</f>
        <v>5</v>
      </c>
    </row>
    <row r="80" spans="2:17" ht="12.75">
      <c r="B80" s="4">
        <v>2</v>
      </c>
      <c r="C80" s="58" t="s">
        <v>21</v>
      </c>
      <c r="D80" s="59" t="s">
        <v>59</v>
      </c>
      <c r="E80" s="60"/>
      <c r="F80" s="59"/>
      <c r="G80" s="59"/>
      <c r="H80" s="59"/>
      <c r="I80" s="59"/>
      <c r="Q80">
        <f t="shared" si="6"/>
        <v>5</v>
      </c>
    </row>
    <row r="81" spans="2:17" ht="12.75">
      <c r="B81" s="4">
        <v>3</v>
      </c>
      <c r="C81" s="58" t="s">
        <v>22</v>
      </c>
      <c r="D81" s="59" t="s">
        <v>59</v>
      </c>
      <c r="E81" s="59"/>
      <c r="F81" s="59"/>
      <c r="G81" s="59"/>
      <c r="H81" s="59"/>
      <c r="I81" s="59"/>
      <c r="Q81">
        <f t="shared" si="6"/>
        <v>5</v>
      </c>
    </row>
    <row r="82" spans="2:17" ht="12.75">
      <c r="B82" s="4">
        <v>4</v>
      </c>
      <c r="C82" s="58" t="s">
        <v>23</v>
      </c>
      <c r="D82" s="59" t="s">
        <v>59</v>
      </c>
      <c r="E82" s="59"/>
      <c r="F82" s="59"/>
      <c r="G82" s="59"/>
      <c r="H82" s="59"/>
      <c r="I82" s="59"/>
      <c r="J82" s="7"/>
      <c r="Q82">
        <f t="shared" si="6"/>
        <v>5</v>
      </c>
    </row>
    <row r="83" spans="2:17" ht="12.75">
      <c r="B83" s="4">
        <v>5</v>
      </c>
      <c r="C83" s="58" t="s">
        <v>24</v>
      </c>
      <c r="D83" s="59" t="s">
        <v>59</v>
      </c>
      <c r="E83" s="59"/>
      <c r="F83" s="59"/>
      <c r="G83" s="59"/>
      <c r="H83" s="59"/>
      <c r="I83" s="59"/>
      <c r="J83" s="7"/>
      <c r="Q83">
        <f t="shared" si="6"/>
        <v>5</v>
      </c>
    </row>
    <row r="84" spans="2:17" ht="12.75">
      <c r="B84" s="4">
        <v>6</v>
      </c>
      <c r="C84" s="58" t="s">
        <v>25</v>
      </c>
      <c r="D84" s="59" t="s">
        <v>59</v>
      </c>
      <c r="E84" s="59"/>
      <c r="F84" s="59"/>
      <c r="G84" s="59"/>
      <c r="H84" s="59"/>
      <c r="I84" s="59"/>
      <c r="J84" s="7"/>
      <c r="Q84">
        <f t="shared" si="6"/>
        <v>5</v>
      </c>
    </row>
    <row r="85" spans="2:17" ht="12.75">
      <c r="B85" s="4">
        <v>7</v>
      </c>
      <c r="C85" s="61" t="s">
        <v>26</v>
      </c>
      <c r="D85" s="59" t="s">
        <v>59</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5</v>
      </c>
    </row>
    <row r="89" spans="2:17" ht="20.25">
      <c r="B89" s="100" t="s">
        <v>1</v>
      </c>
      <c r="C89" s="101"/>
      <c r="D89" s="75" t="s">
        <v>40</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59</v>
      </c>
      <c r="E91" s="59"/>
      <c r="F91" s="59"/>
      <c r="G91" s="59"/>
      <c r="H91" s="59"/>
      <c r="I91" s="59"/>
      <c r="Q91">
        <f t="shared" ref="Q91:Q98" si="7">COUNTA(D91)*5 +COUNTA(E91)*4+COUNTA(F91)*3+COUNTA(G91)*2+COUNTA(H91)*1</f>
        <v>5</v>
      </c>
    </row>
    <row r="92" spans="2:17" ht="12.75">
      <c r="B92" s="4">
        <v>2</v>
      </c>
      <c r="C92" s="58" t="s">
        <v>21</v>
      </c>
      <c r="D92" s="59" t="s">
        <v>59</v>
      </c>
      <c r="E92" s="60"/>
      <c r="F92" s="59"/>
      <c r="G92" s="59"/>
      <c r="H92" s="59"/>
      <c r="I92" s="59"/>
      <c r="Q92">
        <f t="shared" si="7"/>
        <v>5</v>
      </c>
    </row>
    <row r="93" spans="2:17" ht="12.75">
      <c r="B93" s="4">
        <v>3</v>
      </c>
      <c r="C93" s="58" t="s">
        <v>22</v>
      </c>
      <c r="D93" s="59" t="s">
        <v>59</v>
      </c>
      <c r="E93" s="59"/>
      <c r="F93" s="59"/>
      <c r="G93" s="59"/>
      <c r="H93" s="59"/>
      <c r="I93" s="59"/>
      <c r="Q93">
        <f t="shared" si="7"/>
        <v>5</v>
      </c>
    </row>
    <row r="94" spans="2:17" ht="12.75">
      <c r="B94" s="4">
        <v>4</v>
      </c>
      <c r="C94" s="58" t="s">
        <v>23</v>
      </c>
      <c r="D94" s="59" t="s">
        <v>59</v>
      </c>
      <c r="E94" s="59"/>
      <c r="F94" s="59"/>
      <c r="G94" s="59"/>
      <c r="H94" s="59"/>
      <c r="I94" s="59"/>
      <c r="J94" s="7"/>
      <c r="Q94">
        <f t="shared" si="7"/>
        <v>5</v>
      </c>
    </row>
    <row r="95" spans="2:17" ht="12.75">
      <c r="B95" s="4">
        <v>5</v>
      </c>
      <c r="C95" s="58" t="s">
        <v>24</v>
      </c>
      <c r="D95" s="59" t="s">
        <v>59</v>
      </c>
      <c r="E95" s="59"/>
      <c r="F95" s="59"/>
      <c r="G95" s="59"/>
      <c r="H95" s="59"/>
      <c r="I95" s="59"/>
      <c r="J95" s="7"/>
      <c r="Q95">
        <f t="shared" si="7"/>
        <v>5</v>
      </c>
    </row>
    <row r="96" spans="2:17" ht="12.75">
      <c r="B96" s="4">
        <v>6</v>
      </c>
      <c r="C96" s="58" t="s">
        <v>25</v>
      </c>
      <c r="D96" s="59" t="s">
        <v>59</v>
      </c>
      <c r="E96" s="59"/>
      <c r="F96" s="59"/>
      <c r="G96" s="59"/>
      <c r="H96" s="59"/>
      <c r="I96" s="59"/>
      <c r="J96" s="7"/>
      <c r="Q96">
        <f t="shared" si="7"/>
        <v>5</v>
      </c>
    </row>
    <row r="97" spans="2:17" ht="12.75">
      <c r="B97" s="4">
        <v>7</v>
      </c>
      <c r="C97" s="61" t="s">
        <v>26</v>
      </c>
      <c r="D97" s="59" t="s">
        <v>59</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5</v>
      </c>
    </row>
    <row r="101" spans="2:17" ht="20.25">
      <c r="B101" s="100" t="s">
        <v>1</v>
      </c>
      <c r="C101" s="101"/>
      <c r="D101" s="75" t="s">
        <v>41</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59</v>
      </c>
      <c r="E103" s="59"/>
      <c r="F103" s="59"/>
      <c r="G103" s="59"/>
      <c r="H103" s="59"/>
      <c r="I103" s="59"/>
      <c r="Q103">
        <f t="shared" ref="Q103:Q110" si="8">COUNTA(D103)*5 +COUNTA(E103)*4+COUNTA(F103)*3+COUNTA(G103)*2+COUNTA(H103)*1</f>
        <v>5</v>
      </c>
    </row>
    <row r="104" spans="2:17" ht="12.75">
      <c r="B104" s="4">
        <v>2</v>
      </c>
      <c r="C104" s="58" t="s">
        <v>21</v>
      </c>
      <c r="D104" s="59" t="s">
        <v>59</v>
      </c>
      <c r="E104" s="60"/>
      <c r="F104" s="59"/>
      <c r="G104" s="59"/>
      <c r="H104" s="59"/>
      <c r="I104" s="59"/>
      <c r="Q104">
        <f t="shared" si="8"/>
        <v>5</v>
      </c>
    </row>
    <row r="105" spans="2:17" ht="12.75">
      <c r="B105" s="4">
        <v>3</v>
      </c>
      <c r="C105" s="58" t="s">
        <v>22</v>
      </c>
      <c r="D105" s="59" t="s">
        <v>59</v>
      </c>
      <c r="E105" s="59"/>
      <c r="F105" s="59"/>
      <c r="G105" s="59"/>
      <c r="H105" s="59"/>
      <c r="I105" s="59"/>
      <c r="Q105">
        <f t="shared" si="8"/>
        <v>5</v>
      </c>
    </row>
    <row r="106" spans="2:17" ht="12.75">
      <c r="B106" s="4">
        <v>4</v>
      </c>
      <c r="C106" s="58" t="s">
        <v>23</v>
      </c>
      <c r="D106" s="59" t="s">
        <v>59</v>
      </c>
      <c r="E106" s="59"/>
      <c r="F106" s="59"/>
      <c r="G106" s="59"/>
      <c r="H106" s="59"/>
      <c r="I106" s="59"/>
      <c r="J106" s="7"/>
      <c r="Q106">
        <f t="shared" si="8"/>
        <v>5</v>
      </c>
    </row>
    <row r="107" spans="2:17" ht="12.75">
      <c r="B107" s="4">
        <v>5</v>
      </c>
      <c r="C107" s="58" t="s">
        <v>24</v>
      </c>
      <c r="D107" s="59" t="s">
        <v>59</v>
      </c>
      <c r="E107" s="59"/>
      <c r="F107" s="59"/>
      <c r="G107" s="59"/>
      <c r="H107" s="59"/>
      <c r="I107" s="59"/>
      <c r="J107" s="7"/>
      <c r="Q107">
        <f t="shared" si="8"/>
        <v>5</v>
      </c>
    </row>
    <row r="108" spans="2:17" ht="12.75">
      <c r="B108" s="4">
        <v>6</v>
      </c>
      <c r="C108" s="58" t="s">
        <v>25</v>
      </c>
      <c r="D108" s="59" t="s">
        <v>59</v>
      </c>
      <c r="E108" s="59"/>
      <c r="F108" s="59"/>
      <c r="G108" s="59"/>
      <c r="H108" s="59"/>
      <c r="I108" s="59"/>
      <c r="J108" s="7"/>
      <c r="Q108">
        <f t="shared" si="8"/>
        <v>5</v>
      </c>
    </row>
    <row r="109" spans="2:17" ht="12.75">
      <c r="B109" s="4">
        <v>7</v>
      </c>
      <c r="C109" s="61" t="s">
        <v>26</v>
      </c>
      <c r="D109" s="59" t="s">
        <v>59</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1"/>
      <c r="Q112">
        <f>IF(Q110&gt;0,AVERAGE(Q103:Q110),AVERAGE(Q103:Q109))</f>
        <v>5</v>
      </c>
    </row>
    <row r="113" spans="2:17" ht="20.25">
      <c r="B113" s="100" t="s">
        <v>1</v>
      </c>
      <c r="C113" s="101"/>
      <c r="D113" s="75" t="s">
        <v>42</v>
      </c>
      <c r="E113" s="105"/>
      <c r="F113" s="105"/>
      <c r="G113" s="106"/>
      <c r="L113" s="57"/>
    </row>
    <row r="114" spans="2:17" ht="24">
      <c r="B114" s="3" t="s">
        <v>0</v>
      </c>
      <c r="C114" s="3" t="s">
        <v>13</v>
      </c>
      <c r="D114" s="3" t="s">
        <v>14</v>
      </c>
      <c r="E114" s="3" t="s">
        <v>15</v>
      </c>
      <c r="F114" s="3" t="s">
        <v>16</v>
      </c>
      <c r="G114" s="3" t="s">
        <v>17</v>
      </c>
      <c r="H114" s="3" t="s">
        <v>18</v>
      </c>
      <c r="I114" s="3" t="s">
        <v>5</v>
      </c>
      <c r="J114" s="2"/>
      <c r="K114" s="2"/>
      <c r="L114" s="2"/>
      <c r="M114" s="2"/>
      <c r="N114" s="2"/>
      <c r="O114" s="2"/>
      <c r="P114" s="2"/>
      <c r="Q114" s="2"/>
    </row>
    <row r="115" spans="2:17" ht="12.75">
      <c r="B115" s="4">
        <v>1</v>
      </c>
      <c r="C115" s="58" t="s">
        <v>19</v>
      </c>
      <c r="D115" s="59" t="s">
        <v>59</v>
      </c>
      <c r="E115" s="59"/>
      <c r="F115" s="59"/>
      <c r="G115" s="59"/>
      <c r="H115" s="59"/>
      <c r="I115" s="59"/>
      <c r="Q115">
        <f t="shared" ref="Q115:Q122" si="9">COUNTA(D115)*5 +COUNTA(E115)*4+COUNTA(F115)*3+COUNTA(G115)*2+COUNTA(H115)*1</f>
        <v>5</v>
      </c>
    </row>
    <row r="116" spans="2:17" ht="12.75">
      <c r="B116" s="4">
        <v>2</v>
      </c>
      <c r="C116" s="58" t="s">
        <v>21</v>
      </c>
      <c r="D116" s="59" t="s">
        <v>59</v>
      </c>
      <c r="E116" s="60"/>
      <c r="F116" s="59"/>
      <c r="G116" s="59"/>
      <c r="H116" s="59"/>
      <c r="I116" s="59"/>
      <c r="Q116">
        <f t="shared" si="9"/>
        <v>5</v>
      </c>
    </row>
    <row r="117" spans="2:17" ht="12.75">
      <c r="B117" s="4">
        <v>3</v>
      </c>
      <c r="C117" s="58" t="s">
        <v>22</v>
      </c>
      <c r="D117" s="59" t="s">
        <v>59</v>
      </c>
      <c r="E117" s="59"/>
      <c r="F117" s="59"/>
      <c r="G117" s="59"/>
      <c r="H117" s="59"/>
      <c r="I117" s="59"/>
      <c r="Q117">
        <f t="shared" si="9"/>
        <v>5</v>
      </c>
    </row>
    <row r="118" spans="2:17" ht="12.75">
      <c r="B118" s="4">
        <v>4</v>
      </c>
      <c r="C118" s="58" t="s">
        <v>23</v>
      </c>
      <c r="D118" s="59" t="s">
        <v>59</v>
      </c>
      <c r="E118" s="59"/>
      <c r="F118" s="59"/>
      <c r="G118" s="59"/>
      <c r="H118" s="59"/>
      <c r="I118" s="59"/>
      <c r="J118" s="7"/>
      <c r="Q118">
        <f t="shared" si="9"/>
        <v>5</v>
      </c>
    </row>
    <row r="119" spans="2:17" ht="12.75">
      <c r="B119" s="4">
        <v>5</v>
      </c>
      <c r="C119" s="58" t="s">
        <v>24</v>
      </c>
      <c r="D119" s="59" t="s">
        <v>59</v>
      </c>
      <c r="E119" s="59"/>
      <c r="F119" s="59"/>
      <c r="G119" s="59"/>
      <c r="H119" s="59"/>
      <c r="I119" s="59"/>
      <c r="J119" s="7"/>
      <c r="Q119">
        <f t="shared" si="9"/>
        <v>5</v>
      </c>
    </row>
    <row r="120" spans="2:17" ht="12.75">
      <c r="B120" s="4">
        <v>6</v>
      </c>
      <c r="C120" s="58" t="s">
        <v>25</v>
      </c>
      <c r="D120" s="59" t="s">
        <v>59</v>
      </c>
      <c r="E120" s="59"/>
      <c r="F120" s="59"/>
      <c r="G120" s="59"/>
      <c r="H120" s="59"/>
      <c r="I120" s="59"/>
      <c r="J120" s="7"/>
      <c r="Q120">
        <f t="shared" si="9"/>
        <v>5</v>
      </c>
    </row>
    <row r="121" spans="2:17" ht="12.75">
      <c r="B121" s="4">
        <v>7</v>
      </c>
      <c r="C121" s="61" t="s">
        <v>26</v>
      </c>
      <c r="D121" s="59" t="s">
        <v>59</v>
      </c>
      <c r="E121" s="62"/>
      <c r="F121" s="63"/>
      <c r="G121" s="63"/>
      <c r="H121" s="63"/>
      <c r="I121" s="63"/>
      <c r="J121" s="7"/>
      <c r="Q121">
        <f t="shared" si="9"/>
        <v>5</v>
      </c>
    </row>
    <row r="122" spans="2:17" ht="12.75">
      <c r="B122" s="4">
        <v>8</v>
      </c>
      <c r="C122" s="66" t="s">
        <v>27</v>
      </c>
      <c r="D122" s="76"/>
      <c r="E122" s="77"/>
      <c r="F122" s="77"/>
      <c r="G122" s="77"/>
      <c r="H122" s="77"/>
      <c r="I122" s="78"/>
      <c r="J122" s="7"/>
      <c r="Q122">
        <f>IF(COUNTA(D122) &gt;=1, 2, 5)</f>
        <v>5</v>
      </c>
    </row>
    <row r="123" spans="2:17" ht="12.75">
      <c r="B123" s="65">
        <v>9</v>
      </c>
      <c r="C123" s="67" t="s">
        <v>28</v>
      </c>
      <c r="D123" s="81"/>
      <c r="E123" s="104"/>
      <c r="F123" s="104"/>
      <c r="G123" s="104"/>
      <c r="H123" s="104"/>
      <c r="I123" s="104"/>
      <c r="J123" s="7"/>
    </row>
    <row r="124" spans="2:17" ht="20.25">
      <c r="B124" s="100" t="s">
        <v>1</v>
      </c>
      <c r="C124" s="101"/>
      <c r="D124" s="75" t="s">
        <v>43</v>
      </c>
      <c r="E124" s="105"/>
      <c r="F124" s="105"/>
      <c r="G124" s="106"/>
      <c r="L124" s="57"/>
    </row>
    <row r="125" spans="2:17" ht="24">
      <c r="B125" s="3" t="s">
        <v>0</v>
      </c>
      <c r="C125" s="3" t="s">
        <v>13</v>
      </c>
      <c r="D125" s="3" t="s">
        <v>14</v>
      </c>
      <c r="E125" s="3" t="s">
        <v>15</v>
      </c>
      <c r="F125" s="3" t="s">
        <v>16</v>
      </c>
      <c r="G125" s="3" t="s">
        <v>17</v>
      </c>
      <c r="H125" s="3" t="s">
        <v>18</v>
      </c>
      <c r="I125" s="3" t="s">
        <v>5</v>
      </c>
      <c r="J125" s="2"/>
      <c r="K125" s="2"/>
      <c r="L125" s="2"/>
      <c r="M125" s="2"/>
      <c r="N125" s="2"/>
      <c r="O125" s="2"/>
      <c r="P125" s="2"/>
      <c r="Q125" s="2"/>
    </row>
    <row r="126" spans="2:17" ht="12.75">
      <c r="B126" s="4">
        <v>1</v>
      </c>
      <c r="C126" s="58" t="s">
        <v>19</v>
      </c>
      <c r="D126" s="59" t="s">
        <v>59</v>
      </c>
      <c r="E126" s="59"/>
      <c r="F126" s="59"/>
      <c r="G126" s="59"/>
      <c r="H126" s="59"/>
      <c r="I126" s="59"/>
      <c r="Q126">
        <f t="shared" ref="Q126:Q133" si="10">COUNTA(D126)*5 +COUNTA(E126)*4+COUNTA(F126)*3+COUNTA(G126)*2+COUNTA(H126)*1</f>
        <v>5</v>
      </c>
    </row>
    <row r="127" spans="2:17" ht="12.75">
      <c r="B127" s="4">
        <v>2</v>
      </c>
      <c r="C127" s="58" t="s">
        <v>21</v>
      </c>
      <c r="D127" s="59" t="s">
        <v>59</v>
      </c>
      <c r="E127" s="60"/>
      <c r="F127" s="59"/>
      <c r="G127" s="59"/>
      <c r="H127" s="59"/>
      <c r="I127" s="59"/>
      <c r="Q127">
        <f t="shared" si="10"/>
        <v>5</v>
      </c>
    </row>
    <row r="128" spans="2:17" ht="12.75">
      <c r="B128" s="4">
        <v>3</v>
      </c>
      <c r="C128" s="58" t="s">
        <v>22</v>
      </c>
      <c r="D128" s="59" t="s">
        <v>59</v>
      </c>
      <c r="E128" s="59"/>
      <c r="F128" s="59"/>
      <c r="G128" s="59"/>
      <c r="H128" s="59"/>
      <c r="I128" s="59"/>
      <c r="Q128">
        <f t="shared" si="10"/>
        <v>5</v>
      </c>
    </row>
    <row r="129" spans="2:17" ht="12.75">
      <c r="B129" s="4">
        <v>4</v>
      </c>
      <c r="C129" s="58" t="s">
        <v>23</v>
      </c>
      <c r="D129" s="59" t="s">
        <v>59</v>
      </c>
      <c r="E129" s="59"/>
      <c r="F129" s="59"/>
      <c r="G129" s="59"/>
      <c r="H129" s="59"/>
      <c r="I129" s="59"/>
      <c r="J129" s="7"/>
      <c r="Q129">
        <f t="shared" si="10"/>
        <v>5</v>
      </c>
    </row>
    <row r="130" spans="2:17" ht="12.75">
      <c r="B130" s="4">
        <v>5</v>
      </c>
      <c r="C130" s="58" t="s">
        <v>24</v>
      </c>
      <c r="D130" s="59" t="s">
        <v>59</v>
      </c>
      <c r="E130" s="59"/>
      <c r="F130" s="59"/>
      <c r="G130" s="59"/>
      <c r="H130" s="59"/>
      <c r="I130" s="59"/>
      <c r="J130" s="7"/>
      <c r="Q130">
        <f t="shared" si="10"/>
        <v>5</v>
      </c>
    </row>
    <row r="131" spans="2:17" ht="12.75">
      <c r="B131" s="4">
        <v>6</v>
      </c>
      <c r="C131" s="58" t="s">
        <v>25</v>
      </c>
      <c r="D131" s="59" t="s">
        <v>59</v>
      </c>
      <c r="E131" s="59"/>
      <c r="F131" s="59"/>
      <c r="G131" s="59"/>
      <c r="H131" s="59"/>
      <c r="I131" s="59"/>
      <c r="J131" s="7"/>
      <c r="Q131">
        <f t="shared" si="10"/>
        <v>5</v>
      </c>
    </row>
    <row r="132" spans="2:17" ht="12.75">
      <c r="B132" s="4">
        <v>7</v>
      </c>
      <c r="C132" s="61" t="s">
        <v>26</v>
      </c>
      <c r="D132" s="59" t="s">
        <v>59</v>
      </c>
      <c r="E132" s="62"/>
      <c r="F132" s="63"/>
      <c r="G132" s="63"/>
      <c r="H132" s="63"/>
      <c r="I132" s="63"/>
      <c r="J132" s="7"/>
      <c r="Q132">
        <f t="shared" si="10"/>
        <v>5</v>
      </c>
    </row>
    <row r="133" spans="2:17" ht="12.75">
      <c r="B133" s="4">
        <v>8</v>
      </c>
      <c r="C133" s="66" t="s">
        <v>27</v>
      </c>
      <c r="D133" s="76"/>
      <c r="E133" s="77"/>
      <c r="F133" s="77"/>
      <c r="G133" s="77"/>
      <c r="H133" s="77"/>
      <c r="I133" s="78"/>
      <c r="J133" s="7"/>
      <c r="Q133">
        <f>IF(COUNTA(D133) &gt;=1, 2, 5)</f>
        <v>5</v>
      </c>
    </row>
    <row r="134" spans="2:17" ht="12.75">
      <c r="B134" s="65">
        <v>9</v>
      </c>
      <c r="C134" s="67" t="s">
        <v>28</v>
      </c>
      <c r="D134" s="81"/>
      <c r="E134" s="104"/>
      <c r="F134" s="104"/>
      <c r="G134" s="104"/>
      <c r="H134" s="104"/>
      <c r="I134" s="104"/>
      <c r="J134" s="7"/>
    </row>
    <row r="135" spans="2:17" ht="12.75">
      <c r="B135" s="1"/>
    </row>
    <row r="136" spans="2:17" ht="12.75">
      <c r="B136" s="1"/>
    </row>
    <row r="137" spans="2:17" ht="12.75">
      <c r="B137" s="1"/>
    </row>
    <row r="138" spans="2:17" ht="12.75">
      <c r="B138" s="1"/>
    </row>
    <row r="139" spans="2:17" ht="12.75">
      <c r="B139" s="1"/>
    </row>
    <row r="140" spans="2:17" ht="12.75">
      <c r="B140" s="1"/>
    </row>
    <row r="141" spans="2:17" ht="12.75">
      <c r="B141" s="1"/>
    </row>
    <row r="142" spans="2:17" ht="12.75">
      <c r="B142" s="1"/>
    </row>
    <row r="143" spans="2:17" ht="12.75">
      <c r="B143" s="1"/>
    </row>
    <row r="144" spans="2:17"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45">
    <mergeCell ref="B77:C77"/>
    <mergeCell ref="D77:G77"/>
    <mergeCell ref="B89:C89"/>
    <mergeCell ref="D89:G89"/>
    <mergeCell ref="B53:C53"/>
    <mergeCell ref="D53:G53"/>
    <mergeCell ref="D62:I62"/>
    <mergeCell ref="D63:I63"/>
    <mergeCell ref="B65:C65"/>
    <mergeCell ref="D65:G65"/>
    <mergeCell ref="D86:I86"/>
    <mergeCell ref="D87:I87"/>
    <mergeCell ref="D74:I74"/>
    <mergeCell ref="D75:I75"/>
    <mergeCell ref="L4:L5"/>
    <mergeCell ref="B5:C5"/>
    <mergeCell ref="D5:G5"/>
    <mergeCell ref="D14:I14"/>
    <mergeCell ref="D15:I15"/>
    <mergeCell ref="B17:C17"/>
    <mergeCell ref="D17:G17"/>
    <mergeCell ref="D51:I51"/>
    <mergeCell ref="B29:C29"/>
    <mergeCell ref="D29:G29"/>
    <mergeCell ref="D38:I38"/>
    <mergeCell ref="D39:I39"/>
    <mergeCell ref="D26:I26"/>
    <mergeCell ref="D27:I27"/>
    <mergeCell ref="B41:C41"/>
    <mergeCell ref="D41:G41"/>
    <mergeCell ref="D50:I50"/>
    <mergeCell ref="B124:C124"/>
    <mergeCell ref="D124:G124"/>
    <mergeCell ref="D133:I133"/>
    <mergeCell ref="D134:I134"/>
    <mergeCell ref="D98:I98"/>
    <mergeCell ref="D99:I99"/>
    <mergeCell ref="B113:C113"/>
    <mergeCell ref="D113:G113"/>
    <mergeCell ref="D122:I122"/>
    <mergeCell ref="D123:I123"/>
    <mergeCell ref="B101:C101"/>
    <mergeCell ref="D101:G101"/>
    <mergeCell ref="D110:I110"/>
    <mergeCell ref="D111:I111"/>
  </mergeCells>
  <pageMargins left="0" right="0" top="0" bottom="0" header="0" footer="0"/>
  <pageSetup paperSize="8" fitToWidth="0" fitToHeight="0" orientation="portrait"/>
  <headerFooter>
    <oddFooter>&amp;R_x000D_&amp;1#&amp;"Calibri"&amp;8&amp;K000000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D8BE-18CC-4A15-BA0B-75F90CB8EFFB}">
  <sheetPr>
    <outlinePr summaryBelow="0" summaryRight="0"/>
  </sheetPr>
  <dimension ref="A1:Y967"/>
  <sheetViews>
    <sheetView showGridLines="0" topLeftCell="C93" zoomScale="90" zoomScaleNormal="90" workbookViewId="0">
      <selection activeCell="C98" sqref="C98"/>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row>
    <row r="3" spans="1:25" ht="12.75">
      <c r="B3" s="1"/>
    </row>
    <row r="4" spans="1:25" ht="12.75">
      <c r="B4" s="1"/>
      <c r="L4" s="82" t="s">
        <v>45</v>
      </c>
    </row>
    <row r="5" spans="1:25" ht="12.75">
      <c r="B5" s="100" t="s">
        <v>1</v>
      </c>
      <c r="C5" s="101"/>
      <c r="D5" s="75" t="s">
        <v>58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20</v>
      </c>
      <c r="F7" s="59"/>
      <c r="G7" s="59"/>
      <c r="H7" s="59"/>
      <c r="I7" s="59"/>
      <c r="Q7">
        <f t="shared" ref="Q7:Q14" si="0">COUNTA(D7)*5 +COUNTA(E7)*4+COUNTA(F7)*3+COUNTA(G7)*2+COUNTA(H7)*1</f>
        <v>4</v>
      </c>
    </row>
    <row r="8" spans="1:25" ht="12.75">
      <c r="B8" s="4">
        <v>2</v>
      </c>
      <c r="C8" s="58" t="s">
        <v>21</v>
      </c>
      <c r="D8" s="59" t="s">
        <v>20</v>
      </c>
      <c r="E8" s="60"/>
      <c r="F8" s="59"/>
      <c r="G8" s="59"/>
      <c r="H8" s="59"/>
      <c r="I8" s="59"/>
      <c r="Q8">
        <f t="shared" si="0"/>
        <v>5</v>
      </c>
    </row>
    <row r="9" spans="1:25" ht="12.75">
      <c r="B9" s="4">
        <v>3</v>
      </c>
      <c r="C9" s="58" t="s">
        <v>22</v>
      </c>
      <c r="D9" s="59"/>
      <c r="E9" s="59" t="s">
        <v>20</v>
      </c>
      <c r="F9" s="59"/>
      <c r="G9" s="59"/>
      <c r="H9" s="59"/>
      <c r="I9" s="59"/>
      <c r="Q9">
        <f t="shared" si="0"/>
        <v>4</v>
      </c>
    </row>
    <row r="10" spans="1:25" ht="12.75">
      <c r="B10" s="4">
        <v>4</v>
      </c>
      <c r="C10" s="58" t="s">
        <v>23</v>
      </c>
      <c r="D10" s="59" t="s">
        <v>20</v>
      </c>
      <c r="E10" s="59"/>
      <c r="F10" s="59"/>
      <c r="G10" s="59"/>
      <c r="H10" s="59"/>
      <c r="I10" s="59"/>
      <c r="J10" s="7"/>
      <c r="Q10">
        <f t="shared" si="0"/>
        <v>5</v>
      </c>
    </row>
    <row r="11" spans="1:25" ht="12.75">
      <c r="B11" s="4">
        <v>5</v>
      </c>
      <c r="C11" s="58" t="s">
        <v>24</v>
      </c>
      <c r="D11" s="59"/>
      <c r="E11" s="59" t="s">
        <v>20</v>
      </c>
      <c r="F11" s="59"/>
      <c r="G11" s="59"/>
      <c r="H11" s="59"/>
      <c r="I11" s="59"/>
      <c r="J11" s="7"/>
      <c r="Q11">
        <f t="shared" si="0"/>
        <v>4</v>
      </c>
    </row>
    <row r="12" spans="1:25" ht="12.75">
      <c r="B12" s="4">
        <v>6</v>
      </c>
      <c r="C12" s="58" t="s">
        <v>25</v>
      </c>
      <c r="D12" s="59" t="s">
        <v>20</v>
      </c>
      <c r="E12" s="59"/>
      <c r="F12" s="59"/>
      <c r="G12" s="59"/>
      <c r="H12" s="59"/>
      <c r="I12" s="59"/>
      <c r="J12" s="7"/>
      <c r="Q12">
        <f t="shared" si="0"/>
        <v>5</v>
      </c>
    </row>
    <row r="13" spans="1:25" ht="12.75">
      <c r="B13" s="4">
        <v>7</v>
      </c>
      <c r="C13" s="61" t="s">
        <v>26</v>
      </c>
      <c r="D13" s="62" t="s">
        <v>20</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AVERAGE(Q7:Q14)</f>
        <v>4.625</v>
      </c>
    </row>
    <row r="17" spans="1:25" ht="15" customHeight="1">
      <c r="B17" s="100" t="s">
        <v>1</v>
      </c>
      <c r="C17" s="101"/>
      <c r="D17" s="75" t="s">
        <v>64</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c r="E19" s="59" t="s">
        <v>20</v>
      </c>
      <c r="F19" s="59"/>
      <c r="G19" s="59"/>
      <c r="H19" s="59"/>
      <c r="I19" s="59"/>
      <c r="Q19">
        <f t="shared" ref="Q19:Q26" si="1">COUNTA(D19)*5 +COUNTA(E19)*4+COUNTA(F19)*3+COUNTA(G19)*2+COUNTA(H19)*1</f>
        <v>4</v>
      </c>
    </row>
    <row r="20" spans="1:25" ht="12.75">
      <c r="B20" s="4">
        <v>2</v>
      </c>
      <c r="C20" s="58" t="s">
        <v>21</v>
      </c>
      <c r="D20" s="59" t="s">
        <v>20</v>
      </c>
      <c r="E20" s="60"/>
      <c r="F20" s="59"/>
      <c r="G20" s="59"/>
      <c r="H20" s="59"/>
      <c r="I20" s="59"/>
      <c r="Q20">
        <f t="shared" si="1"/>
        <v>5</v>
      </c>
    </row>
    <row r="21" spans="1:25" ht="12.75">
      <c r="B21" s="4">
        <v>3</v>
      </c>
      <c r="C21" s="58" t="s">
        <v>22</v>
      </c>
      <c r="D21" s="59" t="s">
        <v>20</v>
      </c>
      <c r="E21" s="59"/>
      <c r="F21" s="59"/>
      <c r="G21" s="59"/>
      <c r="H21" s="59"/>
      <c r="I21" s="59"/>
      <c r="Q21">
        <f t="shared" si="1"/>
        <v>5</v>
      </c>
    </row>
    <row r="22" spans="1:25" ht="12.75">
      <c r="B22" s="4">
        <v>4</v>
      </c>
      <c r="C22" s="58" t="s">
        <v>23</v>
      </c>
      <c r="D22" s="59" t="s">
        <v>20</v>
      </c>
      <c r="E22" s="59"/>
      <c r="F22" s="59"/>
      <c r="G22" s="59"/>
      <c r="H22" s="59"/>
      <c r="I22" s="59"/>
      <c r="J22" s="7"/>
      <c r="Q22">
        <f t="shared" si="1"/>
        <v>5</v>
      </c>
    </row>
    <row r="23" spans="1:25" ht="12.75">
      <c r="B23" s="4">
        <v>5</v>
      </c>
      <c r="C23" s="58" t="s">
        <v>24</v>
      </c>
      <c r="D23" s="59"/>
      <c r="E23" s="59" t="s">
        <v>20</v>
      </c>
      <c r="F23" s="59"/>
      <c r="G23" s="59"/>
      <c r="H23" s="59"/>
      <c r="I23" s="59"/>
      <c r="J23" s="7"/>
      <c r="Q23">
        <f t="shared" si="1"/>
        <v>4</v>
      </c>
    </row>
    <row r="24" spans="1:25" ht="12.75">
      <c r="B24" s="4">
        <v>6</v>
      </c>
      <c r="C24" s="58" t="s">
        <v>25</v>
      </c>
      <c r="D24" s="59" t="s">
        <v>20</v>
      </c>
      <c r="E24" s="59"/>
      <c r="F24" s="59"/>
      <c r="G24" s="59"/>
      <c r="H24" s="59"/>
      <c r="I24" s="59"/>
      <c r="J24" s="7"/>
      <c r="Q24">
        <f t="shared" si="1"/>
        <v>5</v>
      </c>
    </row>
    <row r="25" spans="1:25" ht="12.75">
      <c r="B25" s="4">
        <v>7</v>
      </c>
      <c r="C25" s="61" t="s">
        <v>26</v>
      </c>
      <c r="D25" s="62" t="s">
        <v>20</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4.75</v>
      </c>
    </row>
    <row r="29" spans="1:25" ht="20.25">
      <c r="B29" s="100" t="s">
        <v>1</v>
      </c>
      <c r="C29" s="101"/>
      <c r="D29" s="75" t="s">
        <v>65</v>
      </c>
      <c r="E29" s="105"/>
      <c r="F29" s="105"/>
      <c r="G29" s="106"/>
      <c r="L29" s="57"/>
    </row>
    <row r="30" spans="1:25" ht="23.25">
      <c r="A30" s="2"/>
      <c r="B30" s="3" t="s">
        <v>0</v>
      </c>
      <c r="C30" s="3" t="s">
        <v>13</v>
      </c>
      <c r="D30" s="3" t="s">
        <v>14</v>
      </c>
      <c r="E30" s="3" t="s">
        <v>15</v>
      </c>
      <c r="F30" s="3" t="s">
        <v>16</v>
      </c>
      <c r="G30" s="3" t="s">
        <v>17</v>
      </c>
      <c r="H30" s="3" t="s">
        <v>18</v>
      </c>
      <c r="I30" s="3" t="s">
        <v>5</v>
      </c>
      <c r="J30" s="2"/>
      <c r="K30" s="2"/>
      <c r="L30" s="2"/>
      <c r="M30" s="2"/>
      <c r="N30" s="2"/>
      <c r="O30" s="2"/>
      <c r="P30" s="2"/>
      <c r="Q30" s="2"/>
      <c r="R30" s="2"/>
      <c r="S30" s="2"/>
      <c r="T30" s="2"/>
      <c r="U30" s="2"/>
      <c r="V30" s="2"/>
      <c r="W30" s="2"/>
      <c r="X30" s="2"/>
      <c r="Y30" s="2"/>
    </row>
    <row r="31" spans="1:25" ht="12.75">
      <c r="B31" s="4">
        <v>1</v>
      </c>
      <c r="C31" s="58" t="s">
        <v>19</v>
      </c>
      <c r="D31" s="59" t="s">
        <v>20</v>
      </c>
      <c r="E31" s="59"/>
      <c r="F31" s="59"/>
      <c r="G31" s="59"/>
      <c r="H31" s="59"/>
      <c r="I31" s="59"/>
      <c r="Q31">
        <f t="shared" ref="Q31:Q38" si="2">COUNTA(D31)*5 +COUNTA(E31)*4+COUNTA(F31)*3+COUNTA(G31)*2+COUNTA(H31)*1</f>
        <v>5</v>
      </c>
    </row>
    <row r="32" spans="1:25" ht="12.75">
      <c r="B32" s="4">
        <v>2</v>
      </c>
      <c r="C32" s="58" t="s">
        <v>21</v>
      </c>
      <c r="D32" s="59" t="s">
        <v>20</v>
      </c>
      <c r="E32" s="60"/>
      <c r="F32" s="59"/>
      <c r="G32" s="59"/>
      <c r="H32" s="59"/>
      <c r="I32" s="59"/>
      <c r="Q32">
        <f t="shared" si="2"/>
        <v>5</v>
      </c>
    </row>
    <row r="33" spans="1:25" ht="12.75">
      <c r="B33" s="4">
        <v>3</v>
      </c>
      <c r="C33" s="58" t="s">
        <v>22</v>
      </c>
      <c r="D33" s="59" t="s">
        <v>20</v>
      </c>
      <c r="E33" s="59"/>
      <c r="F33" s="59"/>
      <c r="G33" s="59"/>
      <c r="H33" s="59"/>
      <c r="I33" s="59"/>
      <c r="Q33">
        <f t="shared" si="2"/>
        <v>5</v>
      </c>
    </row>
    <row r="34" spans="1:25" ht="12.75">
      <c r="B34" s="4">
        <v>4</v>
      </c>
      <c r="C34" s="58" t="s">
        <v>23</v>
      </c>
      <c r="D34" s="59" t="s">
        <v>20</v>
      </c>
      <c r="E34" s="59"/>
      <c r="F34" s="59"/>
      <c r="G34" s="59"/>
      <c r="H34" s="59"/>
      <c r="I34" s="59"/>
      <c r="J34" s="7"/>
      <c r="Q34">
        <f t="shared" si="2"/>
        <v>5</v>
      </c>
    </row>
    <row r="35" spans="1:25" ht="12.75">
      <c r="B35" s="4">
        <v>5</v>
      </c>
      <c r="C35" s="58" t="s">
        <v>24</v>
      </c>
      <c r="D35" s="59" t="s">
        <v>20</v>
      </c>
      <c r="E35" s="59"/>
      <c r="F35" s="59"/>
      <c r="G35" s="59"/>
      <c r="H35" s="59"/>
      <c r="I35" s="59"/>
      <c r="J35" s="7"/>
      <c r="Q35">
        <f t="shared" si="2"/>
        <v>5</v>
      </c>
    </row>
    <row r="36" spans="1:25" ht="12.75">
      <c r="B36" s="4">
        <v>6</v>
      </c>
      <c r="C36" s="58" t="s">
        <v>25</v>
      </c>
      <c r="D36" s="59" t="s">
        <v>20</v>
      </c>
      <c r="E36" s="59"/>
      <c r="F36" s="59"/>
      <c r="G36" s="59"/>
      <c r="H36" s="59"/>
      <c r="I36" s="59"/>
      <c r="J36" s="7"/>
      <c r="Q36">
        <f t="shared" si="2"/>
        <v>5</v>
      </c>
    </row>
    <row r="37" spans="1:25" ht="12.75">
      <c r="B37" s="4">
        <v>7</v>
      </c>
      <c r="C37" s="61" t="s">
        <v>26</v>
      </c>
      <c r="D37" s="59" t="s">
        <v>20</v>
      </c>
      <c r="E37" s="62"/>
      <c r="F37" s="63"/>
      <c r="G37" s="63"/>
      <c r="H37" s="63"/>
      <c r="I37" s="63"/>
      <c r="J37" s="7"/>
      <c r="Q37">
        <f t="shared" si="2"/>
        <v>5</v>
      </c>
    </row>
    <row r="38" spans="1:25" ht="12.75">
      <c r="B38" s="4">
        <v>8</v>
      </c>
      <c r="C38" s="66" t="s">
        <v>27</v>
      </c>
      <c r="D38" s="76"/>
      <c r="E38" s="77"/>
      <c r="F38" s="77"/>
      <c r="G38" s="77"/>
      <c r="H38" s="77"/>
      <c r="I38" s="78"/>
      <c r="J38" s="7"/>
      <c r="Q38">
        <f>IF(COUNTA(D38) &gt;=1, 2, 5)</f>
        <v>5</v>
      </c>
    </row>
    <row r="39" spans="1:25" ht="12.75">
      <c r="B39" s="65">
        <v>9</v>
      </c>
      <c r="C39" s="67" t="s">
        <v>28</v>
      </c>
      <c r="D39" s="81"/>
      <c r="E39" s="104"/>
      <c r="F39" s="104"/>
      <c r="G39" s="104"/>
      <c r="H39" s="104"/>
      <c r="I39" s="104"/>
      <c r="J39" s="7"/>
    </row>
    <row r="40" spans="1:25" ht="12.75">
      <c r="B40" s="1"/>
      <c r="Q40">
        <f>IF(Q38&gt;0,AVERAGE(Q31:Q38),AVERAGE(Q31:Q37))</f>
        <v>5</v>
      </c>
    </row>
    <row r="41" spans="1:25" ht="20.25">
      <c r="B41" s="100" t="s">
        <v>1</v>
      </c>
      <c r="C41" s="101"/>
      <c r="D41" s="75" t="s">
        <v>66</v>
      </c>
      <c r="E41" s="105"/>
      <c r="F41" s="105"/>
      <c r="G41" s="106"/>
      <c r="L41" s="57"/>
    </row>
    <row r="42" spans="1:25" ht="23.25">
      <c r="A42" s="2"/>
      <c r="B42" s="3" t="s">
        <v>0</v>
      </c>
      <c r="C42" s="3" t="s">
        <v>13</v>
      </c>
      <c r="D42" s="3" t="s">
        <v>14</v>
      </c>
      <c r="E42" s="3" t="s">
        <v>15</v>
      </c>
      <c r="F42" s="3" t="s">
        <v>16</v>
      </c>
      <c r="G42" s="3" t="s">
        <v>17</v>
      </c>
      <c r="H42" s="3" t="s">
        <v>18</v>
      </c>
      <c r="I42" s="3" t="s">
        <v>5</v>
      </c>
      <c r="J42" s="2"/>
      <c r="K42" s="2"/>
      <c r="L42" s="2"/>
      <c r="M42" s="2"/>
      <c r="N42" s="2"/>
      <c r="O42" s="2"/>
      <c r="P42" s="2"/>
      <c r="Q42" s="2"/>
      <c r="R42" s="2"/>
      <c r="S42" s="2"/>
      <c r="T42" s="2"/>
      <c r="U42" s="2"/>
      <c r="V42" s="2"/>
      <c r="W42" s="2"/>
      <c r="X42" s="2"/>
      <c r="Y42" s="2"/>
    </row>
    <row r="43" spans="1:25" ht="12.75">
      <c r="B43" s="4">
        <v>1</v>
      </c>
      <c r="C43" s="58" t="s">
        <v>19</v>
      </c>
      <c r="D43" s="59" t="s">
        <v>20</v>
      </c>
      <c r="E43" s="59"/>
      <c r="F43" s="59"/>
      <c r="G43" s="59"/>
      <c r="H43" s="59"/>
      <c r="I43" s="59"/>
      <c r="Q43">
        <f t="shared" ref="Q43:Q50" si="3">COUNTA(D43)*5 +COUNTA(E43)*4+COUNTA(F43)*3+COUNTA(G43)*2+COUNTA(H43)*1</f>
        <v>5</v>
      </c>
    </row>
    <row r="44" spans="1:25" ht="12.75">
      <c r="B44" s="4">
        <v>2</v>
      </c>
      <c r="C44" s="58" t="s">
        <v>21</v>
      </c>
      <c r="D44" s="59" t="s">
        <v>20</v>
      </c>
      <c r="E44" s="60"/>
      <c r="F44" s="59"/>
      <c r="G44" s="59"/>
      <c r="H44" s="59"/>
      <c r="I44" s="59"/>
      <c r="Q44">
        <f t="shared" si="3"/>
        <v>5</v>
      </c>
    </row>
    <row r="45" spans="1:25" ht="12.75">
      <c r="B45" s="4">
        <v>3</v>
      </c>
      <c r="C45" s="58" t="s">
        <v>22</v>
      </c>
      <c r="D45" s="59" t="s">
        <v>20</v>
      </c>
      <c r="E45" s="59"/>
      <c r="F45" s="59"/>
      <c r="G45" s="59"/>
      <c r="H45" s="59"/>
      <c r="I45" s="59"/>
      <c r="Q45">
        <f t="shared" si="3"/>
        <v>5</v>
      </c>
    </row>
    <row r="46" spans="1:25" ht="12.75">
      <c r="B46" s="4">
        <v>4</v>
      </c>
      <c r="C46" s="58" t="s">
        <v>23</v>
      </c>
      <c r="D46" s="59" t="s">
        <v>20</v>
      </c>
      <c r="E46" s="59"/>
      <c r="F46" s="59"/>
      <c r="G46" s="59"/>
      <c r="H46" s="59"/>
      <c r="I46" s="59"/>
      <c r="J46" s="7"/>
      <c r="Q46">
        <f t="shared" si="3"/>
        <v>5</v>
      </c>
    </row>
    <row r="47" spans="1:25" ht="12.75">
      <c r="B47" s="4">
        <v>5</v>
      </c>
      <c r="C47" s="58" t="s">
        <v>24</v>
      </c>
      <c r="D47" s="59" t="s">
        <v>20</v>
      </c>
      <c r="E47" s="59"/>
      <c r="F47" s="59"/>
      <c r="G47" s="59"/>
      <c r="H47" s="59"/>
      <c r="I47" s="59"/>
      <c r="J47" s="7"/>
      <c r="Q47">
        <f t="shared" si="3"/>
        <v>5</v>
      </c>
    </row>
    <row r="48" spans="1:25" ht="12.75">
      <c r="B48" s="4">
        <v>6</v>
      </c>
      <c r="C48" s="58" t="s">
        <v>25</v>
      </c>
      <c r="D48" s="59" t="s">
        <v>20</v>
      </c>
      <c r="E48" s="59"/>
      <c r="F48" s="59"/>
      <c r="G48" s="59"/>
      <c r="H48" s="59"/>
      <c r="I48" s="59"/>
      <c r="J48" s="7"/>
      <c r="Q48">
        <f t="shared" si="3"/>
        <v>5</v>
      </c>
    </row>
    <row r="49" spans="2:17" ht="12.75">
      <c r="B49" s="4">
        <v>7</v>
      </c>
      <c r="C49" s="61" t="s">
        <v>26</v>
      </c>
      <c r="D49" s="59" t="s">
        <v>20</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row>
    <row r="53" spans="2:17" ht="20.25">
      <c r="B53" s="100" t="s">
        <v>1</v>
      </c>
      <c r="C53" s="101"/>
      <c r="D53" s="75" t="s">
        <v>67</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20</v>
      </c>
      <c r="E55" s="59"/>
      <c r="F55" s="59"/>
      <c r="G55" s="59"/>
      <c r="H55" s="59"/>
      <c r="I55" s="59"/>
      <c r="Q55">
        <f t="shared" ref="Q55:Q62" si="4">COUNTA(D55)*5 +COUNTA(E55)*4+COUNTA(F55)*3+COUNTA(G55)*2+COUNTA(H55)*1</f>
        <v>5</v>
      </c>
    </row>
    <row r="56" spans="2:17" ht="12.75">
      <c r="B56" s="4">
        <v>2</v>
      </c>
      <c r="C56" s="58" t="s">
        <v>21</v>
      </c>
      <c r="D56" s="59" t="s">
        <v>20</v>
      </c>
      <c r="E56" s="60"/>
      <c r="F56" s="59"/>
      <c r="G56" s="59"/>
      <c r="H56" s="59"/>
      <c r="I56" s="59"/>
      <c r="Q56">
        <f t="shared" si="4"/>
        <v>5</v>
      </c>
    </row>
    <row r="57" spans="2:17" ht="12.75">
      <c r="B57" s="4">
        <v>3</v>
      </c>
      <c r="C57" s="58" t="s">
        <v>22</v>
      </c>
      <c r="D57" s="59" t="s">
        <v>20</v>
      </c>
      <c r="E57" s="59"/>
      <c r="F57" s="59"/>
      <c r="G57" s="59"/>
      <c r="H57" s="59"/>
      <c r="I57" s="59"/>
      <c r="Q57">
        <f t="shared" si="4"/>
        <v>5</v>
      </c>
    </row>
    <row r="58" spans="2:17" ht="12.75">
      <c r="B58" s="4">
        <v>4</v>
      </c>
      <c r="C58" s="58" t="s">
        <v>23</v>
      </c>
      <c r="D58" s="59" t="s">
        <v>20</v>
      </c>
      <c r="E58" s="59"/>
      <c r="F58" s="59"/>
      <c r="G58" s="59"/>
      <c r="H58" s="59"/>
      <c r="I58" s="59"/>
      <c r="J58" s="7"/>
      <c r="Q58">
        <f t="shared" si="4"/>
        <v>5</v>
      </c>
    </row>
    <row r="59" spans="2:17" ht="12.75">
      <c r="B59" s="4">
        <v>5</v>
      </c>
      <c r="C59" s="58" t="s">
        <v>24</v>
      </c>
      <c r="D59" s="59" t="s">
        <v>20</v>
      </c>
      <c r="E59" s="59"/>
      <c r="F59" s="59"/>
      <c r="G59" s="59"/>
      <c r="H59" s="59"/>
      <c r="I59" s="59"/>
      <c r="J59" s="7"/>
      <c r="Q59">
        <f t="shared" si="4"/>
        <v>5</v>
      </c>
    </row>
    <row r="60" spans="2:17" ht="12.75">
      <c r="B60" s="4">
        <v>6</v>
      </c>
      <c r="C60" s="58" t="s">
        <v>25</v>
      </c>
      <c r="D60" s="59" t="s">
        <v>20</v>
      </c>
      <c r="E60" s="59"/>
      <c r="F60" s="59"/>
      <c r="G60" s="59"/>
      <c r="H60" s="59"/>
      <c r="I60" s="59"/>
      <c r="J60" s="7"/>
      <c r="Q60">
        <f t="shared" si="4"/>
        <v>5</v>
      </c>
    </row>
    <row r="61" spans="2:17" ht="12.75">
      <c r="B61" s="4">
        <v>7</v>
      </c>
      <c r="C61" s="61" t="s">
        <v>26</v>
      </c>
      <c r="D61" s="59" t="s">
        <v>20</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row>
    <row r="65" spans="2:17" ht="20.25">
      <c r="B65" s="100" t="s">
        <v>1</v>
      </c>
      <c r="C65" s="101"/>
      <c r="D65" s="75" t="s">
        <v>68</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20</v>
      </c>
      <c r="E67" s="59"/>
      <c r="F67" s="59"/>
      <c r="G67" s="59"/>
      <c r="H67" s="59"/>
      <c r="I67" s="59"/>
      <c r="Q67">
        <f t="shared" ref="Q67:Q74" si="5">COUNTA(D67)*5 +COUNTA(E67)*4+COUNTA(F67)*3+COUNTA(G67)*2+COUNTA(H67)*1</f>
        <v>5</v>
      </c>
    </row>
    <row r="68" spans="2:17" ht="12.75">
      <c r="B68" s="4">
        <v>2</v>
      </c>
      <c r="C68" s="58" t="s">
        <v>21</v>
      </c>
      <c r="D68" s="59" t="s">
        <v>20</v>
      </c>
      <c r="E68" s="60"/>
      <c r="F68" s="59"/>
      <c r="G68" s="59"/>
      <c r="H68" s="59"/>
      <c r="I68" s="59"/>
      <c r="Q68">
        <f t="shared" si="5"/>
        <v>5</v>
      </c>
    </row>
    <row r="69" spans="2:17" ht="12.75">
      <c r="B69" s="4">
        <v>3</v>
      </c>
      <c r="C69" s="58" t="s">
        <v>22</v>
      </c>
      <c r="D69" s="59" t="s">
        <v>20</v>
      </c>
      <c r="E69" s="59"/>
      <c r="F69" s="59"/>
      <c r="G69" s="59"/>
      <c r="H69" s="59"/>
      <c r="I69" s="59"/>
      <c r="Q69">
        <f t="shared" si="5"/>
        <v>5</v>
      </c>
    </row>
    <row r="70" spans="2:17" ht="12.75">
      <c r="B70" s="4">
        <v>4</v>
      </c>
      <c r="C70" s="58" t="s">
        <v>23</v>
      </c>
      <c r="D70" s="59" t="s">
        <v>20</v>
      </c>
      <c r="E70" s="59"/>
      <c r="F70" s="59"/>
      <c r="G70" s="59"/>
      <c r="H70" s="59"/>
      <c r="I70" s="59"/>
      <c r="J70" s="7"/>
      <c r="Q70">
        <f t="shared" si="5"/>
        <v>5</v>
      </c>
    </row>
    <row r="71" spans="2:17" ht="12.75">
      <c r="B71" s="4">
        <v>5</v>
      </c>
      <c r="C71" s="58" t="s">
        <v>24</v>
      </c>
      <c r="D71" s="59" t="s">
        <v>20</v>
      </c>
      <c r="E71" s="59"/>
      <c r="F71" s="59"/>
      <c r="G71" s="59"/>
      <c r="H71" s="59"/>
      <c r="I71" s="59"/>
      <c r="J71" s="7"/>
      <c r="Q71">
        <f t="shared" si="5"/>
        <v>5</v>
      </c>
    </row>
    <row r="72" spans="2:17" ht="12.75">
      <c r="B72" s="4">
        <v>6</v>
      </c>
      <c r="C72" s="58" t="s">
        <v>25</v>
      </c>
      <c r="D72" s="59" t="s">
        <v>20</v>
      </c>
      <c r="E72" s="59"/>
      <c r="F72" s="59"/>
      <c r="G72" s="59"/>
      <c r="H72" s="59"/>
      <c r="I72" s="59"/>
      <c r="J72" s="7"/>
      <c r="Q72">
        <f t="shared" si="5"/>
        <v>5</v>
      </c>
    </row>
    <row r="73" spans="2:17" ht="12.75">
      <c r="B73" s="4">
        <v>7</v>
      </c>
      <c r="C73" s="61" t="s">
        <v>26</v>
      </c>
      <c r="D73" s="59" t="s">
        <v>20</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26.25" customHeight="1">
      <c r="B75" s="65">
        <v>9</v>
      </c>
      <c r="C75" s="67" t="s">
        <v>28</v>
      </c>
      <c r="D75" s="79"/>
      <c r="E75" s="80"/>
      <c r="F75" s="80"/>
      <c r="G75" s="80"/>
      <c r="H75" s="80"/>
      <c r="I75" s="80"/>
      <c r="J75" s="7"/>
    </row>
    <row r="76" spans="2:17" ht="12.75">
      <c r="B76" s="1"/>
    </row>
    <row r="77" spans="2:17" ht="20.25">
      <c r="B77" s="100" t="s">
        <v>1</v>
      </c>
      <c r="C77" s="101"/>
      <c r="D77" s="75" t="s">
        <v>69</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20</v>
      </c>
      <c r="E79" s="59"/>
      <c r="F79" s="59"/>
      <c r="G79" s="59"/>
      <c r="H79" s="59"/>
      <c r="I79" s="59"/>
      <c r="Q79">
        <f t="shared" ref="Q79:Q86" si="6">COUNTA(D79)*5 +COUNTA(E79)*4+COUNTA(F79)*3+COUNTA(G79)*2+COUNTA(H79)*1</f>
        <v>5</v>
      </c>
    </row>
    <row r="80" spans="2:17" ht="12.75">
      <c r="B80" s="4">
        <v>2</v>
      </c>
      <c r="C80" s="58" t="s">
        <v>21</v>
      </c>
      <c r="D80" s="59" t="s">
        <v>20</v>
      </c>
      <c r="E80" s="60"/>
      <c r="F80" s="59"/>
      <c r="G80" s="59"/>
      <c r="H80" s="59"/>
      <c r="I80" s="59"/>
      <c r="Q80">
        <f t="shared" si="6"/>
        <v>5</v>
      </c>
    </row>
    <row r="81" spans="2:17" ht="12.75">
      <c r="B81" s="4">
        <v>3</v>
      </c>
      <c r="C81" s="58" t="s">
        <v>22</v>
      </c>
      <c r="D81" s="59" t="s">
        <v>20</v>
      </c>
      <c r="E81" s="59"/>
      <c r="F81" s="59"/>
      <c r="G81" s="59"/>
      <c r="H81" s="59"/>
      <c r="I81" s="59"/>
      <c r="Q81">
        <f t="shared" si="6"/>
        <v>5</v>
      </c>
    </row>
    <row r="82" spans="2:17" ht="12.75">
      <c r="B82" s="4">
        <v>4</v>
      </c>
      <c r="C82" s="58" t="s">
        <v>23</v>
      </c>
      <c r="D82" s="59" t="s">
        <v>20</v>
      </c>
      <c r="E82" s="59"/>
      <c r="F82" s="59"/>
      <c r="G82" s="59"/>
      <c r="H82" s="59"/>
      <c r="I82" s="59"/>
      <c r="J82" s="7"/>
      <c r="Q82">
        <f t="shared" si="6"/>
        <v>5</v>
      </c>
    </row>
    <row r="83" spans="2:17" ht="12.75">
      <c r="B83" s="4">
        <v>5</v>
      </c>
      <c r="C83" s="58" t="s">
        <v>24</v>
      </c>
      <c r="D83" s="59" t="s">
        <v>20</v>
      </c>
      <c r="E83" s="59"/>
      <c r="F83" s="59"/>
      <c r="G83" s="59"/>
      <c r="H83" s="59"/>
      <c r="I83" s="59"/>
      <c r="J83" s="7"/>
      <c r="Q83">
        <f t="shared" si="6"/>
        <v>5</v>
      </c>
    </row>
    <row r="84" spans="2:17" ht="12.75">
      <c r="B84" s="4">
        <v>6</v>
      </c>
      <c r="C84" s="58" t="s">
        <v>25</v>
      </c>
      <c r="D84" s="59" t="s">
        <v>20</v>
      </c>
      <c r="E84" s="59"/>
      <c r="F84" s="59"/>
      <c r="G84" s="59"/>
      <c r="H84" s="59"/>
      <c r="I84" s="59"/>
      <c r="J84" s="7"/>
      <c r="Q84">
        <f t="shared" si="6"/>
        <v>5</v>
      </c>
    </row>
    <row r="85" spans="2:17" ht="12.75">
      <c r="B85" s="4">
        <v>7</v>
      </c>
      <c r="C85" s="61" t="s">
        <v>26</v>
      </c>
      <c r="D85" s="59" t="s">
        <v>20</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79"/>
      <c r="E87" s="80"/>
      <c r="F87" s="80"/>
      <c r="G87" s="80"/>
      <c r="H87" s="80"/>
      <c r="I87" s="80"/>
      <c r="J87" s="7"/>
    </row>
    <row r="88" spans="2:17" ht="12.75">
      <c r="B88" s="1"/>
    </row>
    <row r="89" spans="2:17" ht="20.25">
      <c r="B89" s="100" t="s">
        <v>1</v>
      </c>
      <c r="C89" s="101"/>
      <c r="D89" s="75" t="s">
        <v>70</v>
      </c>
      <c r="E89" s="105"/>
      <c r="F89" s="105"/>
      <c r="G89" s="106"/>
      <c r="L89" s="57"/>
    </row>
    <row r="90" spans="2:17" ht="23.25">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20</v>
      </c>
      <c r="E91" s="59"/>
      <c r="F91" s="59"/>
      <c r="G91" s="59"/>
      <c r="H91" s="59"/>
      <c r="I91" s="59"/>
      <c r="Q91">
        <f t="shared" ref="Q91:Q98" si="7">COUNTA(D91)*5 +COUNTA(E91)*4+COUNTA(F91)*3+COUNTA(G91)*2+COUNTA(H91)*1</f>
        <v>5</v>
      </c>
    </row>
    <row r="92" spans="2:17" ht="12.75">
      <c r="B92" s="4">
        <v>2</v>
      </c>
      <c r="C92" s="58" t="s">
        <v>21</v>
      </c>
      <c r="D92" s="59" t="s">
        <v>20</v>
      </c>
      <c r="E92" s="60"/>
      <c r="F92" s="59"/>
      <c r="G92" s="59"/>
      <c r="H92" s="59"/>
      <c r="I92" s="59"/>
      <c r="Q92">
        <f t="shared" si="7"/>
        <v>5</v>
      </c>
    </row>
    <row r="93" spans="2:17" ht="12.75">
      <c r="B93" s="4">
        <v>3</v>
      </c>
      <c r="C93" s="58" t="s">
        <v>22</v>
      </c>
      <c r="D93" s="59" t="s">
        <v>20</v>
      </c>
      <c r="E93" s="59"/>
      <c r="F93" s="59"/>
      <c r="G93" s="59"/>
      <c r="H93" s="59"/>
      <c r="I93" s="59"/>
      <c r="Q93">
        <f t="shared" si="7"/>
        <v>5</v>
      </c>
    </row>
    <row r="94" spans="2:17" ht="12.75">
      <c r="B94" s="4">
        <v>4</v>
      </c>
      <c r="C94" s="58" t="s">
        <v>23</v>
      </c>
      <c r="D94" s="59" t="s">
        <v>20</v>
      </c>
      <c r="E94" s="59"/>
      <c r="F94" s="59"/>
      <c r="G94" s="59"/>
      <c r="H94" s="59"/>
      <c r="I94" s="59"/>
      <c r="J94" s="7"/>
      <c r="Q94">
        <f t="shared" si="7"/>
        <v>5</v>
      </c>
    </row>
    <row r="95" spans="2:17" ht="12.75">
      <c r="B95" s="4">
        <v>5</v>
      </c>
      <c r="C95" s="58" t="s">
        <v>24</v>
      </c>
      <c r="D95" s="59" t="s">
        <v>20</v>
      </c>
      <c r="E95" s="59"/>
      <c r="F95" s="59"/>
      <c r="G95" s="59"/>
      <c r="H95" s="59"/>
      <c r="I95" s="59"/>
      <c r="J95" s="7"/>
      <c r="Q95">
        <f t="shared" si="7"/>
        <v>5</v>
      </c>
    </row>
    <row r="96" spans="2:17" ht="12.75">
      <c r="B96" s="4">
        <v>6</v>
      </c>
      <c r="C96" s="58" t="s">
        <v>25</v>
      </c>
      <c r="D96" s="59" t="s">
        <v>20</v>
      </c>
      <c r="E96" s="59"/>
      <c r="F96" s="59"/>
      <c r="G96" s="59"/>
      <c r="H96" s="59"/>
      <c r="I96" s="59"/>
      <c r="J96" s="7"/>
      <c r="Q96">
        <f t="shared" si="7"/>
        <v>5</v>
      </c>
    </row>
    <row r="97" spans="2:17" ht="12.75">
      <c r="B97" s="4">
        <v>7</v>
      </c>
      <c r="C97" s="61" t="s">
        <v>26</v>
      </c>
      <c r="D97" s="59" t="s">
        <v>20</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79"/>
      <c r="E99" s="80"/>
      <c r="F99" s="80"/>
      <c r="G99" s="80"/>
      <c r="H99" s="80"/>
      <c r="I99" s="80"/>
      <c r="J99" s="7"/>
    </row>
    <row r="100" spans="2:17" ht="12.75">
      <c r="B100" s="1"/>
    </row>
    <row r="101" spans="2:17" ht="20.25">
      <c r="B101" s="100" t="s">
        <v>1</v>
      </c>
      <c r="C101" s="101"/>
      <c r="D101" s="75" t="s">
        <v>71</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20</v>
      </c>
      <c r="E103" s="59"/>
      <c r="F103" s="59"/>
      <c r="G103" s="59"/>
      <c r="H103" s="59"/>
      <c r="I103" s="59"/>
      <c r="Q103">
        <f t="shared" ref="Q103:Q110" si="8">COUNTA(D103)*5 +COUNTA(E103)*4+COUNTA(F103)*3+COUNTA(G103)*2+COUNTA(H103)*1</f>
        <v>5</v>
      </c>
    </row>
    <row r="104" spans="2:17" ht="12.75">
      <c r="B104" s="4">
        <v>2</v>
      </c>
      <c r="C104" s="58" t="s">
        <v>21</v>
      </c>
      <c r="D104" s="59" t="s">
        <v>20</v>
      </c>
      <c r="E104" s="60"/>
      <c r="F104" s="59"/>
      <c r="G104" s="59"/>
      <c r="H104" s="59"/>
      <c r="I104" s="59"/>
      <c r="Q104">
        <f t="shared" si="8"/>
        <v>5</v>
      </c>
    </row>
    <row r="105" spans="2:17" ht="12.75">
      <c r="B105" s="4">
        <v>3</v>
      </c>
      <c r="C105" s="58" t="s">
        <v>22</v>
      </c>
      <c r="D105" s="59" t="s">
        <v>20</v>
      </c>
      <c r="E105" s="59"/>
      <c r="F105" s="59"/>
      <c r="G105" s="59"/>
      <c r="H105" s="59"/>
      <c r="I105" s="59"/>
      <c r="Q105">
        <f t="shared" si="8"/>
        <v>5</v>
      </c>
    </row>
    <row r="106" spans="2:17" ht="12.75">
      <c r="B106" s="4">
        <v>4</v>
      </c>
      <c r="C106" s="58" t="s">
        <v>23</v>
      </c>
      <c r="D106" s="59" t="s">
        <v>20</v>
      </c>
      <c r="E106" s="59"/>
      <c r="F106" s="59"/>
      <c r="G106" s="59"/>
      <c r="H106" s="59"/>
      <c r="I106" s="59"/>
      <c r="J106" s="7"/>
      <c r="Q106">
        <f t="shared" si="8"/>
        <v>5</v>
      </c>
    </row>
    <row r="107" spans="2:17" ht="12.75">
      <c r="B107" s="4">
        <v>5</v>
      </c>
      <c r="C107" s="58" t="s">
        <v>24</v>
      </c>
      <c r="D107" s="59" t="s">
        <v>20</v>
      </c>
      <c r="E107" s="59"/>
      <c r="F107" s="59"/>
      <c r="G107" s="59"/>
      <c r="H107" s="59"/>
      <c r="I107" s="59"/>
      <c r="J107" s="7"/>
      <c r="Q107">
        <f t="shared" si="8"/>
        <v>5</v>
      </c>
    </row>
    <row r="108" spans="2:17" ht="12.75">
      <c r="B108" s="4">
        <v>6</v>
      </c>
      <c r="C108" s="58" t="s">
        <v>25</v>
      </c>
      <c r="D108" s="59" t="s">
        <v>20</v>
      </c>
      <c r="E108" s="59"/>
      <c r="F108" s="59"/>
      <c r="G108" s="59"/>
      <c r="H108" s="59"/>
      <c r="I108" s="59"/>
      <c r="J108" s="7"/>
      <c r="Q108">
        <f t="shared" si="8"/>
        <v>5</v>
      </c>
    </row>
    <row r="109" spans="2:17" ht="12.75">
      <c r="B109" s="4">
        <v>7</v>
      </c>
      <c r="C109" s="61" t="s">
        <v>26</v>
      </c>
      <c r="D109" s="59" t="s">
        <v>20</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79"/>
      <c r="E111" s="80"/>
      <c r="F111" s="80"/>
      <c r="G111" s="80"/>
      <c r="H111" s="80"/>
      <c r="I111" s="80"/>
      <c r="J111" s="7"/>
    </row>
    <row r="112" spans="2:17" ht="12.75">
      <c r="B112" s="1"/>
    </row>
    <row r="113" spans="2:17" ht="20.25">
      <c r="B113" s="100" t="s">
        <v>1</v>
      </c>
      <c r="C113" s="101"/>
      <c r="D113" s="75" t="s">
        <v>72</v>
      </c>
      <c r="E113" s="105"/>
      <c r="F113" s="105"/>
      <c r="G113" s="106"/>
      <c r="L113" s="57"/>
    </row>
    <row r="114" spans="2:17" ht="24">
      <c r="B114" s="3" t="s">
        <v>0</v>
      </c>
      <c r="C114" s="3" t="s">
        <v>13</v>
      </c>
      <c r="D114" s="3" t="s">
        <v>14</v>
      </c>
      <c r="E114" s="3" t="s">
        <v>15</v>
      </c>
      <c r="F114" s="3" t="s">
        <v>16</v>
      </c>
      <c r="G114" s="3" t="s">
        <v>17</v>
      </c>
      <c r="H114" s="3" t="s">
        <v>18</v>
      </c>
      <c r="I114" s="3" t="s">
        <v>5</v>
      </c>
      <c r="J114" s="2"/>
      <c r="K114" s="2"/>
      <c r="L114" s="2"/>
      <c r="M114" s="2"/>
      <c r="N114" s="2"/>
      <c r="O114" s="2"/>
      <c r="P114" s="2"/>
      <c r="Q114" s="2"/>
    </row>
    <row r="115" spans="2:17" ht="12.75">
      <c r="B115" s="4">
        <v>1</v>
      </c>
      <c r="C115" s="58" t="s">
        <v>19</v>
      </c>
      <c r="D115" s="59" t="s">
        <v>20</v>
      </c>
      <c r="E115" s="59"/>
      <c r="F115" s="59"/>
      <c r="G115" s="59"/>
      <c r="H115" s="59"/>
      <c r="I115" s="59"/>
      <c r="Q115">
        <f t="shared" ref="Q115:Q122" si="9">COUNTA(D115)*5 +COUNTA(E115)*4+COUNTA(F115)*3+COUNTA(G115)*2+COUNTA(H115)*1</f>
        <v>5</v>
      </c>
    </row>
    <row r="116" spans="2:17" ht="12.75">
      <c r="B116" s="4">
        <v>2</v>
      </c>
      <c r="C116" s="58" t="s">
        <v>21</v>
      </c>
      <c r="D116" s="59" t="s">
        <v>20</v>
      </c>
      <c r="E116" s="60"/>
      <c r="F116" s="59"/>
      <c r="G116" s="59"/>
      <c r="H116" s="59"/>
      <c r="I116" s="59"/>
      <c r="Q116">
        <f t="shared" si="9"/>
        <v>5</v>
      </c>
    </row>
    <row r="117" spans="2:17" ht="12.75">
      <c r="B117" s="4">
        <v>3</v>
      </c>
      <c r="C117" s="58" t="s">
        <v>22</v>
      </c>
      <c r="D117" s="59" t="s">
        <v>20</v>
      </c>
      <c r="E117" s="59"/>
      <c r="F117" s="59"/>
      <c r="G117" s="59"/>
      <c r="H117" s="59"/>
      <c r="I117" s="59"/>
      <c r="Q117">
        <f t="shared" si="9"/>
        <v>5</v>
      </c>
    </row>
    <row r="118" spans="2:17" ht="12.75">
      <c r="B118" s="4">
        <v>4</v>
      </c>
      <c r="C118" s="58" t="s">
        <v>23</v>
      </c>
      <c r="D118" s="59" t="s">
        <v>20</v>
      </c>
      <c r="E118" s="59"/>
      <c r="F118" s="59"/>
      <c r="G118" s="59"/>
      <c r="H118" s="59"/>
      <c r="I118" s="59"/>
      <c r="J118" s="7"/>
      <c r="Q118">
        <f t="shared" si="9"/>
        <v>5</v>
      </c>
    </row>
    <row r="119" spans="2:17" ht="12.75">
      <c r="B119" s="4">
        <v>5</v>
      </c>
      <c r="C119" s="58" t="s">
        <v>24</v>
      </c>
      <c r="D119" s="59" t="s">
        <v>20</v>
      </c>
      <c r="E119" s="59"/>
      <c r="F119" s="59"/>
      <c r="G119" s="59"/>
      <c r="H119" s="59"/>
      <c r="I119" s="59"/>
      <c r="J119" s="7"/>
      <c r="Q119">
        <f t="shared" si="9"/>
        <v>5</v>
      </c>
    </row>
    <row r="120" spans="2:17" ht="12.75">
      <c r="B120" s="4">
        <v>6</v>
      </c>
      <c r="C120" s="58" t="s">
        <v>25</v>
      </c>
      <c r="D120" s="59" t="s">
        <v>20</v>
      </c>
      <c r="E120" s="59"/>
      <c r="F120" s="59"/>
      <c r="G120" s="59"/>
      <c r="H120" s="59"/>
      <c r="I120" s="59"/>
      <c r="J120" s="7"/>
      <c r="Q120">
        <f t="shared" si="9"/>
        <v>5</v>
      </c>
    </row>
    <row r="121" spans="2:17" ht="12.75">
      <c r="B121" s="4">
        <v>7</v>
      </c>
      <c r="C121" s="61" t="s">
        <v>26</v>
      </c>
      <c r="D121" s="59" t="s">
        <v>20</v>
      </c>
      <c r="E121" s="62"/>
      <c r="F121" s="63"/>
      <c r="G121" s="63"/>
      <c r="H121" s="63"/>
      <c r="I121" s="63"/>
      <c r="J121" s="7"/>
      <c r="Q121">
        <f t="shared" si="9"/>
        <v>5</v>
      </c>
    </row>
    <row r="122" spans="2:17" ht="12.75">
      <c r="B122" s="4">
        <v>8</v>
      </c>
      <c r="C122" s="66" t="s">
        <v>27</v>
      </c>
      <c r="D122" s="76"/>
      <c r="E122" s="77"/>
      <c r="F122" s="77"/>
      <c r="G122" s="77"/>
      <c r="H122" s="77"/>
      <c r="I122" s="78"/>
      <c r="J122" s="7"/>
      <c r="Q122">
        <f>IF(COUNTA(D122) &gt;=1, 2, 5)</f>
        <v>5</v>
      </c>
    </row>
    <row r="123" spans="2:17" ht="12.75">
      <c r="B123" s="65">
        <v>9</v>
      </c>
      <c r="C123" s="67" t="s">
        <v>28</v>
      </c>
      <c r="D123" s="79"/>
      <c r="E123" s="80"/>
      <c r="F123" s="80"/>
      <c r="G123" s="80"/>
      <c r="H123" s="80"/>
      <c r="I123" s="80"/>
      <c r="J123" s="7"/>
    </row>
    <row r="124" spans="2:17" ht="12.75">
      <c r="B124" s="1"/>
    </row>
    <row r="125" spans="2:17" ht="12.75">
      <c r="B125" s="1"/>
    </row>
    <row r="126" spans="2:17" ht="12.75">
      <c r="B126" s="1"/>
    </row>
    <row r="127" spans="2:17" ht="12.75">
      <c r="B127" s="1"/>
    </row>
    <row r="128" spans="2:17"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41">
    <mergeCell ref="B101:C101"/>
    <mergeCell ref="D101:G101"/>
    <mergeCell ref="D110:I110"/>
    <mergeCell ref="D111:I111"/>
    <mergeCell ref="B89:C89"/>
    <mergeCell ref="D89:G89"/>
    <mergeCell ref="D98:I98"/>
    <mergeCell ref="D99:I99"/>
    <mergeCell ref="D53:G53"/>
    <mergeCell ref="B77:C77"/>
    <mergeCell ref="D77:G77"/>
    <mergeCell ref="D86:I86"/>
    <mergeCell ref="D87:I87"/>
    <mergeCell ref="D74:I74"/>
    <mergeCell ref="D75:I75"/>
    <mergeCell ref="D62:I62"/>
    <mergeCell ref="D63:I63"/>
    <mergeCell ref="B65:C65"/>
    <mergeCell ref="D65:G65"/>
    <mergeCell ref="B53:C53"/>
    <mergeCell ref="L4:L5"/>
    <mergeCell ref="B5:C5"/>
    <mergeCell ref="D5:G5"/>
    <mergeCell ref="D14:I14"/>
    <mergeCell ref="D15:I15"/>
    <mergeCell ref="B113:C113"/>
    <mergeCell ref="D113:G113"/>
    <mergeCell ref="D122:I122"/>
    <mergeCell ref="D123:I123"/>
    <mergeCell ref="B17:C17"/>
    <mergeCell ref="D17:G17"/>
    <mergeCell ref="D26:I26"/>
    <mergeCell ref="D27:I27"/>
    <mergeCell ref="B29:C29"/>
    <mergeCell ref="D29:G29"/>
    <mergeCell ref="D38:I38"/>
    <mergeCell ref="B41:C41"/>
    <mergeCell ref="D41:G41"/>
    <mergeCell ref="D50:I50"/>
    <mergeCell ref="D51:I51"/>
    <mergeCell ref="D39:I39"/>
  </mergeCells>
  <pageMargins left="0" right="0" top="0" bottom="0" header="0" footer="0"/>
  <pageSetup paperSize="8" fitToWidth="0" fitToHeight="0" orientation="portrait"/>
  <headerFooter>
    <oddFooter>&amp;R_x000D_&amp;1#&amp;"Calibri"&amp;8&amp;K000000 Cisco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9C0E-9816-4D02-916D-E8A6321E7C5E}">
  <sheetPr>
    <outlinePr summaryBelow="0" summaryRight="0"/>
  </sheetPr>
  <dimension ref="A1:Y967"/>
  <sheetViews>
    <sheetView showGridLines="0" topLeftCell="B87" zoomScale="90" zoomScaleNormal="90" workbookViewId="0">
      <selection activeCell="G115" sqref="G115"/>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s="72" t="s">
        <v>73</v>
      </c>
      <c r="D1" t="s">
        <v>74</v>
      </c>
    </row>
    <row r="2" spans="1:25" s="39" customFormat="1" ht="12.75" customHeight="1">
      <c r="B2" s="40"/>
      <c r="C2" s="39" t="s">
        <v>44</v>
      </c>
      <c r="D2" s="39" t="s">
        <v>75</v>
      </c>
    </row>
    <row r="3" spans="1:25" ht="12.75">
      <c r="B3" s="1"/>
    </row>
    <row r="4" spans="1:25" ht="12.75">
      <c r="B4" s="1"/>
      <c r="L4" s="82" t="s">
        <v>45</v>
      </c>
    </row>
    <row r="5" spans="1:25" ht="12.75">
      <c r="B5" s="100" t="s">
        <v>1</v>
      </c>
      <c r="C5" s="101"/>
      <c r="D5" s="75" t="s">
        <v>76</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20</v>
      </c>
      <c r="E7" s="59"/>
      <c r="F7" s="59"/>
      <c r="G7" s="59"/>
      <c r="H7" s="59"/>
      <c r="I7" s="59"/>
      <c r="Q7">
        <f t="shared" ref="Q7:Q14" si="0">COUNTA(D7)*5 +COUNTA(E7)*4+COUNTA(F7)*3+COUNTA(G7)*2+COUNTA(H7)*1</f>
        <v>5</v>
      </c>
    </row>
    <row r="8" spans="1:25" ht="12.75">
      <c r="B8" s="4">
        <v>2</v>
      </c>
      <c r="C8" s="58" t="s">
        <v>21</v>
      </c>
      <c r="D8" s="59" t="s">
        <v>20</v>
      </c>
      <c r="E8" s="60"/>
      <c r="F8" s="59"/>
      <c r="G8" s="59"/>
      <c r="H8" s="59"/>
      <c r="I8" s="59"/>
      <c r="Q8">
        <f t="shared" si="0"/>
        <v>5</v>
      </c>
    </row>
    <row r="9" spans="1:25" ht="12.75">
      <c r="B9" s="4">
        <v>3</v>
      </c>
      <c r="C9" s="58" t="s">
        <v>22</v>
      </c>
      <c r="D9" s="59"/>
      <c r="E9" s="59" t="s">
        <v>20</v>
      </c>
      <c r="F9" s="59"/>
      <c r="G9" s="59"/>
      <c r="H9" s="59"/>
      <c r="I9" s="59"/>
      <c r="Q9">
        <f t="shared" si="0"/>
        <v>4</v>
      </c>
    </row>
    <row r="10" spans="1:25" ht="12.75">
      <c r="B10" s="4">
        <v>4</v>
      </c>
      <c r="C10" s="58" t="s">
        <v>23</v>
      </c>
      <c r="D10" s="59" t="s">
        <v>20</v>
      </c>
      <c r="E10" s="59"/>
      <c r="F10" s="59"/>
      <c r="G10" s="59"/>
      <c r="H10" s="59"/>
      <c r="I10" s="59"/>
      <c r="J10" s="7"/>
      <c r="Q10">
        <f t="shared" si="0"/>
        <v>5</v>
      </c>
    </row>
    <row r="11" spans="1:25" ht="12.75">
      <c r="B11" s="4">
        <v>5</v>
      </c>
      <c r="C11" s="58" t="s">
        <v>24</v>
      </c>
      <c r="D11" s="59"/>
      <c r="E11" s="59" t="s">
        <v>20</v>
      </c>
      <c r="F11" s="59"/>
      <c r="G11" s="59"/>
      <c r="H11" s="59"/>
      <c r="I11" s="59"/>
      <c r="J11" s="7"/>
      <c r="Q11">
        <f t="shared" si="0"/>
        <v>4</v>
      </c>
    </row>
    <row r="12" spans="1:25" ht="12.75">
      <c r="B12" s="4">
        <v>6</v>
      </c>
      <c r="C12" s="58" t="s">
        <v>25</v>
      </c>
      <c r="D12" s="59" t="s">
        <v>20</v>
      </c>
      <c r="E12" s="59"/>
      <c r="F12" s="59"/>
      <c r="G12" s="59"/>
      <c r="H12" s="59"/>
      <c r="I12" s="59"/>
      <c r="J12" s="7"/>
      <c r="Q12">
        <f t="shared" si="0"/>
        <v>5</v>
      </c>
    </row>
    <row r="13" spans="1:25" ht="12.75">
      <c r="B13" s="4">
        <v>7</v>
      </c>
      <c r="C13" s="61" t="s">
        <v>26</v>
      </c>
      <c r="D13" s="62" t="s">
        <v>20</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4.75</v>
      </c>
    </row>
    <row r="17" spans="1:25" ht="15" customHeight="1">
      <c r="B17" s="100" t="s">
        <v>1</v>
      </c>
      <c r="C17" s="101"/>
      <c r="D17" s="75" t="s">
        <v>77</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20</v>
      </c>
      <c r="E19" s="59"/>
      <c r="F19" s="59"/>
      <c r="G19" s="59"/>
      <c r="H19" s="59"/>
      <c r="I19" s="59"/>
      <c r="Q19">
        <f t="shared" ref="Q19:Q26" si="1">COUNTA(D19)*5 +COUNTA(E19)*4+COUNTA(F19)*3+COUNTA(G19)*2+COUNTA(H19)*1</f>
        <v>5</v>
      </c>
    </row>
    <row r="20" spans="1:25" ht="12.75">
      <c r="B20" s="4">
        <v>2</v>
      </c>
      <c r="C20" s="58" t="s">
        <v>21</v>
      </c>
      <c r="D20" s="59" t="s">
        <v>20</v>
      </c>
      <c r="E20" s="60"/>
      <c r="F20" s="59"/>
      <c r="G20" s="59"/>
      <c r="H20" s="59"/>
      <c r="I20" s="59"/>
      <c r="Q20">
        <f t="shared" si="1"/>
        <v>5</v>
      </c>
    </row>
    <row r="21" spans="1:25" ht="12.75">
      <c r="B21" s="4">
        <v>3</v>
      </c>
      <c r="C21" s="58" t="s">
        <v>22</v>
      </c>
      <c r="D21" s="59"/>
      <c r="E21" s="59" t="s">
        <v>20</v>
      </c>
      <c r="F21" s="59"/>
      <c r="G21" s="59"/>
      <c r="H21" s="59"/>
      <c r="I21" s="59"/>
      <c r="Q21">
        <f t="shared" si="1"/>
        <v>4</v>
      </c>
    </row>
    <row r="22" spans="1:25" ht="12.75">
      <c r="B22" s="4">
        <v>4</v>
      </c>
      <c r="C22" s="58" t="s">
        <v>23</v>
      </c>
      <c r="D22" s="59" t="s">
        <v>20</v>
      </c>
      <c r="E22" s="59"/>
      <c r="F22" s="59"/>
      <c r="G22" s="59"/>
      <c r="H22" s="59"/>
      <c r="I22" s="59"/>
      <c r="J22" s="7"/>
      <c r="Q22">
        <f t="shared" si="1"/>
        <v>5</v>
      </c>
    </row>
    <row r="23" spans="1:25" ht="12.75">
      <c r="B23" s="4">
        <v>5</v>
      </c>
      <c r="C23" s="58" t="s">
        <v>24</v>
      </c>
      <c r="D23" s="59"/>
      <c r="E23" s="59" t="s">
        <v>20</v>
      </c>
      <c r="F23" s="59"/>
      <c r="G23" s="59"/>
      <c r="H23" s="59"/>
      <c r="I23" s="59"/>
      <c r="J23" s="7"/>
      <c r="Q23">
        <f t="shared" si="1"/>
        <v>4</v>
      </c>
    </row>
    <row r="24" spans="1:25" ht="12.75">
      <c r="B24" s="4">
        <v>6</v>
      </c>
      <c r="C24" s="58" t="s">
        <v>25</v>
      </c>
      <c r="D24" s="59" t="s">
        <v>20</v>
      </c>
      <c r="E24" s="59"/>
      <c r="F24" s="59"/>
      <c r="G24" s="59"/>
      <c r="H24" s="59"/>
      <c r="I24" s="59"/>
      <c r="J24" s="7"/>
      <c r="Q24">
        <f t="shared" si="1"/>
        <v>5</v>
      </c>
    </row>
    <row r="25" spans="1:25" ht="12.75">
      <c r="B25" s="4">
        <v>7</v>
      </c>
      <c r="C25" s="61" t="s">
        <v>26</v>
      </c>
      <c r="D25" s="62" t="s">
        <v>20</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4.75</v>
      </c>
    </row>
    <row r="29" spans="1:25" ht="20.25">
      <c r="B29" s="100" t="s">
        <v>1</v>
      </c>
      <c r="C29" s="101"/>
      <c r="D29" s="75" t="s">
        <v>78</v>
      </c>
      <c r="E29" s="105"/>
      <c r="F29" s="105"/>
      <c r="G29" s="106"/>
      <c r="L29" s="57"/>
    </row>
    <row r="30" spans="1:25" ht="23.25">
      <c r="A30" s="2"/>
      <c r="B30" s="3" t="s">
        <v>0</v>
      </c>
      <c r="C30" s="3" t="s">
        <v>13</v>
      </c>
      <c r="D30" s="3" t="s">
        <v>14</v>
      </c>
      <c r="E30" s="3" t="s">
        <v>15</v>
      </c>
      <c r="F30" s="3" t="s">
        <v>16</v>
      </c>
      <c r="G30" s="3" t="s">
        <v>17</v>
      </c>
      <c r="H30" s="3" t="s">
        <v>18</v>
      </c>
      <c r="I30" s="3" t="s">
        <v>5</v>
      </c>
      <c r="J30" s="2"/>
      <c r="K30" s="2"/>
      <c r="L30" s="2"/>
      <c r="M30" s="2"/>
      <c r="N30" s="2"/>
      <c r="O30" s="2"/>
      <c r="P30" s="2"/>
      <c r="Q30" s="2"/>
      <c r="R30" s="2"/>
      <c r="S30" s="2"/>
      <c r="T30" s="2"/>
      <c r="U30" s="2"/>
      <c r="V30" s="2"/>
      <c r="W30" s="2"/>
      <c r="X30" s="2"/>
      <c r="Y30" s="2"/>
    </row>
    <row r="31" spans="1:25" ht="12.75">
      <c r="B31" s="4">
        <v>1</v>
      </c>
      <c r="C31" s="58" t="s">
        <v>19</v>
      </c>
      <c r="D31" s="59" t="s">
        <v>20</v>
      </c>
      <c r="E31" s="59"/>
      <c r="F31" s="59"/>
      <c r="G31" s="59"/>
      <c r="H31" s="59"/>
      <c r="I31" s="59"/>
      <c r="Q31">
        <f t="shared" ref="Q31:Q38" si="2">COUNTA(D31)*5 +COUNTA(E31)*4+COUNTA(F31)*3+COUNTA(G31)*2+COUNTA(H31)*1</f>
        <v>5</v>
      </c>
    </row>
    <row r="32" spans="1:25" ht="12.75">
      <c r="B32" s="4">
        <v>2</v>
      </c>
      <c r="C32" s="58" t="s">
        <v>21</v>
      </c>
      <c r="D32" s="59" t="s">
        <v>20</v>
      </c>
      <c r="E32" s="60"/>
      <c r="F32" s="59"/>
      <c r="G32" s="59"/>
      <c r="H32" s="59"/>
      <c r="I32" s="59"/>
      <c r="Q32">
        <f t="shared" si="2"/>
        <v>5</v>
      </c>
    </row>
    <row r="33" spans="2:17" ht="12.75">
      <c r="B33" s="4">
        <v>3</v>
      </c>
      <c r="C33" s="58" t="s">
        <v>22</v>
      </c>
      <c r="D33" s="59"/>
      <c r="E33" s="59" t="s">
        <v>20</v>
      </c>
      <c r="F33" s="59"/>
      <c r="G33" s="59"/>
      <c r="H33" s="59"/>
      <c r="I33" s="59"/>
      <c r="Q33">
        <f t="shared" si="2"/>
        <v>4</v>
      </c>
    </row>
    <row r="34" spans="2:17" ht="12.75">
      <c r="B34" s="4">
        <v>4</v>
      </c>
      <c r="C34" s="58" t="s">
        <v>23</v>
      </c>
      <c r="D34" s="59" t="s">
        <v>20</v>
      </c>
      <c r="E34" s="59"/>
      <c r="F34" s="59"/>
      <c r="G34" s="59"/>
      <c r="H34" s="59"/>
      <c r="I34" s="59"/>
      <c r="J34" s="7"/>
      <c r="Q34">
        <f t="shared" si="2"/>
        <v>5</v>
      </c>
    </row>
    <row r="35" spans="2:17" ht="12.75">
      <c r="B35" s="4">
        <v>5</v>
      </c>
      <c r="C35" s="58" t="s">
        <v>24</v>
      </c>
      <c r="D35" s="59"/>
      <c r="E35" s="59" t="s">
        <v>20</v>
      </c>
      <c r="F35" s="59"/>
      <c r="G35" s="59"/>
      <c r="H35" s="59"/>
      <c r="I35" s="59"/>
      <c r="J35" s="7"/>
      <c r="Q35">
        <f t="shared" si="2"/>
        <v>4</v>
      </c>
    </row>
    <row r="36" spans="2:17" ht="12.75">
      <c r="B36" s="4">
        <v>6</v>
      </c>
      <c r="C36" s="58" t="s">
        <v>25</v>
      </c>
      <c r="D36" s="59" t="s">
        <v>20</v>
      </c>
      <c r="E36" s="59"/>
      <c r="F36" s="59"/>
      <c r="G36" s="59"/>
      <c r="H36" s="59"/>
      <c r="I36" s="59"/>
      <c r="J36" s="7"/>
      <c r="Q36">
        <f t="shared" si="2"/>
        <v>5</v>
      </c>
    </row>
    <row r="37" spans="2:17" ht="12.75">
      <c r="B37" s="4">
        <v>7</v>
      </c>
      <c r="C37" s="61" t="s">
        <v>26</v>
      </c>
      <c r="D37" s="62" t="s">
        <v>20</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4.75</v>
      </c>
    </row>
    <row r="41" spans="2:17" ht="20.25">
      <c r="B41" s="100" t="s">
        <v>1</v>
      </c>
      <c r="C41" s="101"/>
      <c r="D41" s="75" t="s">
        <v>79</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20</v>
      </c>
      <c r="E43" s="59"/>
      <c r="F43" s="59"/>
      <c r="G43" s="59"/>
      <c r="H43" s="59"/>
      <c r="I43" s="59"/>
      <c r="Q43">
        <f t="shared" ref="Q43:Q50" si="3">COUNTA(D43)*5 +COUNTA(E43)*4+COUNTA(F43)*3+COUNTA(G43)*2+COUNTA(H43)*1</f>
        <v>5</v>
      </c>
    </row>
    <row r="44" spans="2:17" ht="12.75">
      <c r="B44" s="4">
        <v>2</v>
      </c>
      <c r="C44" s="58" t="s">
        <v>21</v>
      </c>
      <c r="D44" s="59" t="s">
        <v>20</v>
      </c>
      <c r="E44" s="60"/>
      <c r="F44" s="59"/>
      <c r="G44" s="59"/>
      <c r="H44" s="59"/>
      <c r="I44" s="59"/>
      <c r="Q44">
        <f t="shared" si="3"/>
        <v>5</v>
      </c>
    </row>
    <row r="45" spans="2:17" ht="12.75">
      <c r="B45" s="4">
        <v>3</v>
      </c>
      <c r="C45" s="58" t="s">
        <v>22</v>
      </c>
      <c r="D45" s="59"/>
      <c r="E45" s="59" t="s">
        <v>20</v>
      </c>
      <c r="F45" s="59"/>
      <c r="G45" s="59"/>
      <c r="H45" s="59"/>
      <c r="I45" s="59"/>
      <c r="Q45">
        <f t="shared" si="3"/>
        <v>4</v>
      </c>
    </row>
    <row r="46" spans="2:17" ht="12.75">
      <c r="B46" s="4">
        <v>4</v>
      </c>
      <c r="C46" s="58" t="s">
        <v>23</v>
      </c>
      <c r="D46" s="59" t="s">
        <v>20</v>
      </c>
      <c r="E46" s="59"/>
      <c r="F46" s="59"/>
      <c r="G46" s="59"/>
      <c r="H46" s="59"/>
      <c r="I46" s="59"/>
      <c r="J46" s="7"/>
      <c r="Q46">
        <f t="shared" si="3"/>
        <v>5</v>
      </c>
    </row>
    <row r="47" spans="2:17" ht="12.75">
      <c r="B47" s="4">
        <v>5</v>
      </c>
      <c r="C47" s="58" t="s">
        <v>24</v>
      </c>
      <c r="D47" s="59"/>
      <c r="E47" s="59" t="s">
        <v>20</v>
      </c>
      <c r="F47" s="59"/>
      <c r="G47" s="59"/>
      <c r="H47" s="59"/>
      <c r="I47" s="59"/>
      <c r="J47" s="7"/>
      <c r="Q47">
        <f t="shared" si="3"/>
        <v>4</v>
      </c>
    </row>
    <row r="48" spans="2:17" ht="12.75">
      <c r="B48" s="4">
        <v>6</v>
      </c>
      <c r="C48" s="58" t="s">
        <v>25</v>
      </c>
      <c r="D48" s="59" t="s">
        <v>20</v>
      </c>
      <c r="E48" s="59"/>
      <c r="F48" s="59"/>
      <c r="G48" s="59"/>
      <c r="H48" s="59"/>
      <c r="I48" s="59"/>
      <c r="J48" s="7"/>
      <c r="Q48">
        <f t="shared" si="3"/>
        <v>5</v>
      </c>
    </row>
    <row r="49" spans="2:17" ht="12.75">
      <c r="B49" s="4">
        <v>7</v>
      </c>
      <c r="C49" s="61" t="s">
        <v>26</v>
      </c>
      <c r="D49" s="62" t="s">
        <v>20</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33.75" customHeight="1">
      <c r="B51" s="65">
        <v>9</v>
      </c>
      <c r="C51" s="67" t="s">
        <v>28</v>
      </c>
      <c r="D51" s="79"/>
      <c r="E51" s="80"/>
      <c r="F51" s="80"/>
      <c r="G51" s="80"/>
      <c r="H51" s="80"/>
      <c r="I51" s="80"/>
      <c r="J51" s="7"/>
    </row>
    <row r="52" spans="2:17" ht="12.75">
      <c r="B52" s="1"/>
      <c r="Q52">
        <f>IF(Q50&gt;0,AVERAGE(Q43:Q50),AVERAGE(Q43:Q49))</f>
        <v>4.75</v>
      </c>
    </row>
    <row r="53" spans="2:17" ht="20.25">
      <c r="B53" s="100" t="s">
        <v>1</v>
      </c>
      <c r="C53" s="101"/>
      <c r="D53" s="75" t="s">
        <v>80</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20</v>
      </c>
      <c r="E55" s="59"/>
      <c r="F55" s="59"/>
      <c r="G55" s="59"/>
      <c r="H55" s="59"/>
      <c r="I55" s="59"/>
      <c r="Q55">
        <f t="shared" ref="Q55:Q62" si="4">COUNTA(D55)*5 +COUNTA(E55)*4+COUNTA(F55)*3+COUNTA(G55)*2+COUNTA(H55)*1</f>
        <v>5</v>
      </c>
    </row>
    <row r="56" spans="2:17" ht="12.75">
      <c r="B56" s="4">
        <v>2</v>
      </c>
      <c r="C56" s="58" t="s">
        <v>21</v>
      </c>
      <c r="D56" s="59" t="s">
        <v>20</v>
      </c>
      <c r="E56" s="60"/>
      <c r="F56" s="59"/>
      <c r="G56" s="59"/>
      <c r="H56" s="59"/>
      <c r="I56" s="59"/>
      <c r="Q56">
        <f t="shared" si="4"/>
        <v>5</v>
      </c>
    </row>
    <row r="57" spans="2:17" ht="12.75">
      <c r="B57" s="4">
        <v>3</v>
      </c>
      <c r="C57" s="58" t="s">
        <v>22</v>
      </c>
      <c r="D57" s="59"/>
      <c r="E57" s="59" t="s">
        <v>20</v>
      </c>
      <c r="F57" s="59"/>
      <c r="G57" s="59"/>
      <c r="H57" s="59"/>
      <c r="I57" s="59"/>
      <c r="Q57">
        <f t="shared" si="4"/>
        <v>4</v>
      </c>
    </row>
    <row r="58" spans="2:17" ht="12.75">
      <c r="B58" s="4">
        <v>4</v>
      </c>
      <c r="C58" s="58" t="s">
        <v>23</v>
      </c>
      <c r="D58" s="59" t="s">
        <v>20</v>
      </c>
      <c r="E58" s="59"/>
      <c r="F58" s="59"/>
      <c r="G58" s="59"/>
      <c r="H58" s="59"/>
      <c r="I58" s="59"/>
      <c r="J58" s="7"/>
      <c r="Q58">
        <f t="shared" si="4"/>
        <v>5</v>
      </c>
    </row>
    <row r="59" spans="2:17" ht="12.75">
      <c r="B59" s="4">
        <v>5</v>
      </c>
      <c r="C59" s="58" t="s">
        <v>24</v>
      </c>
      <c r="D59" s="59"/>
      <c r="E59" s="59" t="s">
        <v>20</v>
      </c>
      <c r="F59" s="59"/>
      <c r="G59" s="59"/>
      <c r="H59" s="59"/>
      <c r="I59" s="59"/>
      <c r="J59" s="7"/>
      <c r="Q59">
        <f t="shared" si="4"/>
        <v>4</v>
      </c>
    </row>
    <row r="60" spans="2:17" ht="12.75">
      <c r="B60" s="4">
        <v>6</v>
      </c>
      <c r="C60" s="58" t="s">
        <v>25</v>
      </c>
      <c r="D60" s="59" t="s">
        <v>20</v>
      </c>
      <c r="E60" s="59"/>
      <c r="F60" s="59"/>
      <c r="G60" s="59"/>
      <c r="H60" s="59"/>
      <c r="I60" s="59"/>
      <c r="J60" s="7"/>
      <c r="Q60">
        <f t="shared" si="4"/>
        <v>5</v>
      </c>
    </row>
    <row r="61" spans="2:17" ht="12.75">
      <c r="B61" s="4">
        <v>7</v>
      </c>
      <c r="C61" s="61" t="s">
        <v>26</v>
      </c>
      <c r="D61" s="62" t="s">
        <v>20</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79"/>
      <c r="E63" s="80"/>
      <c r="F63" s="80"/>
      <c r="G63" s="80"/>
      <c r="H63" s="80"/>
      <c r="I63" s="80"/>
      <c r="J63" s="7"/>
    </row>
    <row r="64" spans="2:17" ht="12.75">
      <c r="B64" s="1"/>
      <c r="Q64">
        <f>IF(Q62&gt;0,AVERAGE(Q55:Q62),AVERAGE(Q55:Q61))</f>
        <v>4.75</v>
      </c>
    </row>
    <row r="65" spans="2:17" ht="20.25">
      <c r="B65" s="100" t="s">
        <v>1</v>
      </c>
      <c r="C65" s="101"/>
      <c r="D65" s="75" t="s">
        <v>81</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20</v>
      </c>
      <c r="E67" s="59"/>
      <c r="F67" s="59"/>
      <c r="G67" s="59"/>
      <c r="H67" s="59"/>
      <c r="I67" s="59"/>
      <c r="Q67">
        <f t="shared" ref="Q67:Q74" si="5">COUNTA(D67)*5 +COUNTA(E67)*4+COUNTA(F67)*3+COUNTA(G67)*2+COUNTA(H67)*1</f>
        <v>5</v>
      </c>
    </row>
    <row r="68" spans="2:17" ht="12.75">
      <c r="B68" s="4">
        <v>2</v>
      </c>
      <c r="C68" s="58" t="s">
        <v>21</v>
      </c>
      <c r="D68" s="59" t="s">
        <v>20</v>
      </c>
      <c r="E68" s="60"/>
      <c r="F68" s="59"/>
      <c r="G68" s="59"/>
      <c r="H68" s="59"/>
      <c r="I68" s="59"/>
      <c r="Q68">
        <f t="shared" si="5"/>
        <v>5</v>
      </c>
    </row>
    <row r="69" spans="2:17" ht="12.75">
      <c r="B69" s="4">
        <v>3</v>
      </c>
      <c r="C69" s="58" t="s">
        <v>22</v>
      </c>
      <c r="D69" s="59"/>
      <c r="E69" s="59" t="s">
        <v>20</v>
      </c>
      <c r="F69" s="59"/>
      <c r="G69" s="59"/>
      <c r="H69" s="59"/>
      <c r="I69" s="59"/>
      <c r="Q69">
        <f t="shared" si="5"/>
        <v>4</v>
      </c>
    </row>
    <row r="70" spans="2:17" ht="12.75">
      <c r="B70" s="4">
        <v>4</v>
      </c>
      <c r="C70" s="58" t="s">
        <v>23</v>
      </c>
      <c r="D70" s="59" t="s">
        <v>20</v>
      </c>
      <c r="E70" s="59"/>
      <c r="F70" s="59"/>
      <c r="G70" s="59"/>
      <c r="H70" s="59"/>
      <c r="I70" s="59"/>
      <c r="J70" s="7"/>
      <c r="Q70">
        <f t="shared" si="5"/>
        <v>5</v>
      </c>
    </row>
    <row r="71" spans="2:17" ht="12.75">
      <c r="B71" s="4">
        <v>5</v>
      </c>
      <c r="C71" s="58" t="s">
        <v>24</v>
      </c>
      <c r="D71" s="59"/>
      <c r="E71" s="59" t="s">
        <v>20</v>
      </c>
      <c r="F71" s="59"/>
      <c r="G71" s="59"/>
      <c r="H71" s="59"/>
      <c r="I71" s="59"/>
      <c r="J71" s="7"/>
      <c r="Q71">
        <f t="shared" si="5"/>
        <v>4</v>
      </c>
    </row>
    <row r="72" spans="2:17" ht="12.75">
      <c r="B72" s="4">
        <v>6</v>
      </c>
      <c r="C72" s="58" t="s">
        <v>25</v>
      </c>
      <c r="D72" s="59" t="s">
        <v>20</v>
      </c>
      <c r="E72" s="59"/>
      <c r="F72" s="59"/>
      <c r="G72" s="59"/>
      <c r="H72" s="59"/>
      <c r="I72" s="59"/>
      <c r="J72" s="7"/>
      <c r="Q72">
        <f t="shared" si="5"/>
        <v>5</v>
      </c>
    </row>
    <row r="73" spans="2:17" ht="12.75">
      <c r="B73" s="4">
        <v>7</v>
      </c>
      <c r="C73" s="61" t="s">
        <v>26</v>
      </c>
      <c r="D73" s="62" t="s">
        <v>20</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79"/>
      <c r="E75" s="80"/>
      <c r="F75" s="80"/>
      <c r="G75" s="80"/>
      <c r="H75" s="80"/>
      <c r="I75" s="80"/>
      <c r="J75" s="7"/>
    </row>
    <row r="76" spans="2:17" ht="12.75">
      <c r="B76" s="1"/>
      <c r="Q76">
        <f>IF(Q74&gt;0,AVERAGE(Q67:Q74),AVERAGE(Q67:Q73))</f>
        <v>4.75</v>
      </c>
    </row>
    <row r="77" spans="2:17" ht="20.25">
      <c r="B77" s="100" t="s">
        <v>1</v>
      </c>
      <c r="C77" s="101"/>
      <c r="D77" s="75" t="s">
        <v>82</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20</v>
      </c>
      <c r="E79" s="59"/>
      <c r="F79" s="59"/>
      <c r="G79" s="59"/>
      <c r="H79" s="59"/>
      <c r="I79" s="59"/>
      <c r="Q79">
        <f t="shared" ref="Q79:Q86" si="6">COUNTA(D79)*5 +COUNTA(E79)*4+COUNTA(F79)*3+COUNTA(G79)*2+COUNTA(H79)*1</f>
        <v>5</v>
      </c>
    </row>
    <row r="80" spans="2:17" ht="12.75">
      <c r="B80" s="4">
        <v>2</v>
      </c>
      <c r="C80" s="58" t="s">
        <v>21</v>
      </c>
      <c r="D80" s="59" t="s">
        <v>20</v>
      </c>
      <c r="E80" s="60"/>
      <c r="F80" s="59"/>
      <c r="G80" s="59"/>
      <c r="H80" s="59"/>
      <c r="I80" s="59"/>
      <c r="Q80">
        <f t="shared" si="6"/>
        <v>5</v>
      </c>
    </row>
    <row r="81" spans="2:17" ht="12.75">
      <c r="B81" s="4">
        <v>3</v>
      </c>
      <c r="C81" s="58" t="s">
        <v>22</v>
      </c>
      <c r="D81" s="59"/>
      <c r="E81" s="59" t="s">
        <v>20</v>
      </c>
      <c r="F81" s="59"/>
      <c r="G81" s="59"/>
      <c r="H81" s="59"/>
      <c r="I81" s="59"/>
      <c r="Q81">
        <f t="shared" si="6"/>
        <v>4</v>
      </c>
    </row>
    <row r="82" spans="2:17" ht="12.75">
      <c r="B82" s="4">
        <v>4</v>
      </c>
      <c r="C82" s="58" t="s">
        <v>23</v>
      </c>
      <c r="D82" s="59" t="s">
        <v>20</v>
      </c>
      <c r="E82" s="59"/>
      <c r="F82" s="59"/>
      <c r="G82" s="59"/>
      <c r="H82" s="59"/>
      <c r="I82" s="59"/>
      <c r="J82" s="7"/>
      <c r="Q82">
        <f t="shared" si="6"/>
        <v>5</v>
      </c>
    </row>
    <row r="83" spans="2:17" ht="12.75">
      <c r="B83" s="4">
        <v>5</v>
      </c>
      <c r="C83" s="58" t="s">
        <v>24</v>
      </c>
      <c r="D83" s="59"/>
      <c r="E83" s="59" t="s">
        <v>20</v>
      </c>
      <c r="F83" s="59"/>
      <c r="G83" s="59"/>
      <c r="H83" s="59"/>
      <c r="I83" s="59"/>
      <c r="J83" s="7"/>
      <c r="Q83">
        <f t="shared" si="6"/>
        <v>4</v>
      </c>
    </row>
    <row r="84" spans="2:17" ht="12.75">
      <c r="B84" s="4">
        <v>6</v>
      </c>
      <c r="C84" s="58" t="s">
        <v>25</v>
      </c>
      <c r="D84" s="59" t="s">
        <v>20</v>
      </c>
      <c r="E84" s="59"/>
      <c r="F84" s="59"/>
      <c r="G84" s="59"/>
      <c r="H84" s="59"/>
      <c r="I84" s="59"/>
      <c r="J84" s="7"/>
      <c r="Q84">
        <f t="shared" si="6"/>
        <v>5</v>
      </c>
    </row>
    <row r="85" spans="2:17" ht="12.75">
      <c r="B85" s="4">
        <v>7</v>
      </c>
      <c r="C85" s="61" t="s">
        <v>26</v>
      </c>
      <c r="D85" s="62" t="s">
        <v>20</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79"/>
      <c r="E87" s="80"/>
      <c r="F87" s="80"/>
      <c r="G87" s="80"/>
      <c r="H87" s="80"/>
      <c r="I87" s="80"/>
      <c r="J87" s="7"/>
    </row>
    <row r="88" spans="2:17" ht="12.75">
      <c r="B88" s="1"/>
      <c r="Q88">
        <f>IF(Q86&gt;0,AVERAGE(Q79:Q86),AVERAGE(Q79:Q85))</f>
        <v>4.75</v>
      </c>
    </row>
    <row r="89" spans="2:17" ht="20.25">
      <c r="B89" s="100" t="s">
        <v>1</v>
      </c>
      <c r="C89" s="101"/>
      <c r="D89" s="75" t="s">
        <v>83</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20</v>
      </c>
      <c r="E91" s="59"/>
      <c r="F91" s="59"/>
      <c r="G91" s="59"/>
      <c r="H91" s="59"/>
      <c r="I91" s="59"/>
      <c r="Q91">
        <f t="shared" ref="Q91:Q98" si="7">COUNTA(D91)*5 +COUNTA(E91)*4+COUNTA(F91)*3+COUNTA(G91)*2+COUNTA(H91)*1</f>
        <v>5</v>
      </c>
    </row>
    <row r="92" spans="2:17" ht="12.75">
      <c r="B92" s="4">
        <v>2</v>
      </c>
      <c r="C92" s="58" t="s">
        <v>21</v>
      </c>
      <c r="D92" s="59" t="s">
        <v>20</v>
      </c>
      <c r="E92" s="60"/>
      <c r="F92" s="59"/>
      <c r="G92" s="59"/>
      <c r="H92" s="59"/>
      <c r="I92" s="59"/>
      <c r="Q92">
        <f t="shared" si="7"/>
        <v>5</v>
      </c>
    </row>
    <row r="93" spans="2:17" ht="12.75">
      <c r="B93" s="4">
        <v>3</v>
      </c>
      <c r="C93" s="58" t="s">
        <v>22</v>
      </c>
      <c r="D93" s="59"/>
      <c r="E93" s="59" t="s">
        <v>20</v>
      </c>
      <c r="F93" s="59"/>
      <c r="G93" s="59"/>
      <c r="H93" s="59"/>
      <c r="I93" s="59"/>
      <c r="Q93">
        <f t="shared" si="7"/>
        <v>4</v>
      </c>
    </row>
    <row r="94" spans="2:17" ht="12.75">
      <c r="B94" s="4">
        <v>4</v>
      </c>
      <c r="C94" s="58" t="s">
        <v>23</v>
      </c>
      <c r="D94" s="59" t="s">
        <v>20</v>
      </c>
      <c r="E94" s="59"/>
      <c r="F94" s="59"/>
      <c r="G94" s="59"/>
      <c r="H94" s="59"/>
      <c r="I94" s="59"/>
      <c r="J94" s="7"/>
      <c r="Q94">
        <f t="shared" si="7"/>
        <v>5</v>
      </c>
    </row>
    <row r="95" spans="2:17" ht="12.75">
      <c r="B95" s="4">
        <v>5</v>
      </c>
      <c r="C95" s="58" t="s">
        <v>24</v>
      </c>
      <c r="D95" s="59"/>
      <c r="E95" s="59" t="s">
        <v>20</v>
      </c>
      <c r="F95" s="59"/>
      <c r="G95" s="59"/>
      <c r="H95" s="59"/>
      <c r="I95" s="59"/>
      <c r="J95" s="7"/>
      <c r="Q95">
        <f t="shared" si="7"/>
        <v>4</v>
      </c>
    </row>
    <row r="96" spans="2:17" ht="12.75">
      <c r="B96" s="4">
        <v>6</v>
      </c>
      <c r="C96" s="58" t="s">
        <v>25</v>
      </c>
      <c r="D96" s="59" t="s">
        <v>20</v>
      </c>
      <c r="E96" s="59"/>
      <c r="F96" s="59"/>
      <c r="G96" s="59"/>
      <c r="H96" s="59"/>
      <c r="I96" s="59"/>
      <c r="J96" s="7"/>
      <c r="Q96">
        <f t="shared" si="7"/>
        <v>5</v>
      </c>
    </row>
    <row r="97" spans="2:17" ht="12.75">
      <c r="B97" s="4">
        <v>7</v>
      </c>
      <c r="C97" s="61" t="s">
        <v>26</v>
      </c>
      <c r="D97" s="62" t="s">
        <v>20</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79"/>
      <c r="E99" s="80"/>
      <c r="F99" s="80"/>
      <c r="G99" s="80"/>
      <c r="H99" s="80"/>
      <c r="I99" s="80"/>
      <c r="J99" s="7"/>
    </row>
    <row r="100" spans="2:17" ht="12.75">
      <c r="B100" s="1"/>
      <c r="Q100">
        <f>IF(Q98&gt;0,AVERAGE(Q91:Q98),AVERAGE(Q91:Q97))</f>
        <v>4.75</v>
      </c>
    </row>
    <row r="101" spans="2:17" ht="20.25">
      <c r="B101" s="100" t="s">
        <v>1</v>
      </c>
      <c r="C101" s="101"/>
      <c r="D101" s="75" t="s">
        <v>84</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20</v>
      </c>
      <c r="E103" s="59"/>
      <c r="F103" s="59"/>
      <c r="G103" s="59"/>
      <c r="H103" s="59"/>
      <c r="I103" s="59"/>
      <c r="Q103">
        <f t="shared" ref="Q103:Q110" si="8">COUNTA(D103)*5 +COUNTA(E103)*4+COUNTA(F103)*3+COUNTA(G103)*2+COUNTA(H103)*1</f>
        <v>5</v>
      </c>
    </row>
    <row r="104" spans="2:17" ht="12.75">
      <c r="B104" s="4">
        <v>2</v>
      </c>
      <c r="C104" s="58" t="s">
        <v>21</v>
      </c>
      <c r="D104" s="59" t="s">
        <v>20</v>
      </c>
      <c r="E104" s="60"/>
      <c r="F104" s="59"/>
      <c r="G104" s="59"/>
      <c r="H104" s="59"/>
      <c r="I104" s="59"/>
      <c r="Q104">
        <f t="shared" si="8"/>
        <v>5</v>
      </c>
    </row>
    <row r="105" spans="2:17" ht="12.75">
      <c r="B105" s="4">
        <v>3</v>
      </c>
      <c r="C105" s="58" t="s">
        <v>22</v>
      </c>
      <c r="D105" s="59"/>
      <c r="E105" s="59" t="s">
        <v>20</v>
      </c>
      <c r="F105" s="59"/>
      <c r="G105" s="59"/>
      <c r="H105" s="59"/>
      <c r="I105" s="59"/>
      <c r="Q105">
        <f t="shared" si="8"/>
        <v>4</v>
      </c>
    </row>
    <row r="106" spans="2:17" ht="12.75">
      <c r="B106" s="4">
        <v>4</v>
      </c>
      <c r="C106" s="58" t="s">
        <v>23</v>
      </c>
      <c r="D106" s="59" t="s">
        <v>20</v>
      </c>
      <c r="E106" s="59"/>
      <c r="F106" s="59"/>
      <c r="G106" s="59"/>
      <c r="H106" s="59"/>
      <c r="I106" s="59"/>
      <c r="J106" s="7"/>
      <c r="Q106">
        <f t="shared" si="8"/>
        <v>5</v>
      </c>
    </row>
    <row r="107" spans="2:17" ht="12.75">
      <c r="B107" s="4">
        <v>5</v>
      </c>
      <c r="C107" s="58" t="s">
        <v>24</v>
      </c>
      <c r="D107" s="59"/>
      <c r="E107" s="59" t="s">
        <v>20</v>
      </c>
      <c r="F107" s="59"/>
      <c r="G107" s="59"/>
      <c r="H107" s="59"/>
      <c r="I107" s="59"/>
      <c r="J107" s="7"/>
      <c r="Q107">
        <f t="shared" si="8"/>
        <v>4</v>
      </c>
    </row>
    <row r="108" spans="2:17" ht="12.75">
      <c r="B108" s="4">
        <v>6</v>
      </c>
      <c r="C108" s="58" t="s">
        <v>25</v>
      </c>
      <c r="D108" s="59" t="s">
        <v>20</v>
      </c>
      <c r="E108" s="59"/>
      <c r="F108" s="59"/>
      <c r="G108" s="59"/>
      <c r="H108" s="59"/>
      <c r="I108" s="59"/>
      <c r="J108" s="7"/>
      <c r="Q108">
        <f t="shared" si="8"/>
        <v>5</v>
      </c>
    </row>
    <row r="109" spans="2:17" ht="12.75">
      <c r="B109" s="4">
        <v>7</v>
      </c>
      <c r="C109" s="61" t="s">
        <v>26</v>
      </c>
      <c r="D109" s="62" t="s">
        <v>20</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79"/>
      <c r="E111" s="80"/>
      <c r="F111" s="80"/>
      <c r="G111" s="80"/>
      <c r="H111" s="80"/>
      <c r="I111" s="80"/>
      <c r="J111" s="7"/>
    </row>
    <row r="112" spans="2:17" ht="12.75">
      <c r="B112" s="1"/>
      <c r="Q112">
        <f>IF(Q110&gt;0,AVERAGE(Q103:Q110),AVERAGE(Q103:Q109))</f>
        <v>4.75</v>
      </c>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37">
    <mergeCell ref="D65:G65"/>
    <mergeCell ref="D74:I74"/>
    <mergeCell ref="L4:L5"/>
    <mergeCell ref="B5:C5"/>
    <mergeCell ref="D5:G5"/>
    <mergeCell ref="D14:I14"/>
    <mergeCell ref="D15:I15"/>
    <mergeCell ref="B17:C17"/>
    <mergeCell ref="D17:G17"/>
    <mergeCell ref="D26:I26"/>
    <mergeCell ref="D27:I27"/>
    <mergeCell ref="B29:C29"/>
    <mergeCell ref="D29:G29"/>
    <mergeCell ref="D87:I87"/>
    <mergeCell ref="D38:I38"/>
    <mergeCell ref="B53:C53"/>
    <mergeCell ref="D53:G53"/>
    <mergeCell ref="B41:C41"/>
    <mergeCell ref="D41:G41"/>
    <mergeCell ref="D50:I50"/>
    <mergeCell ref="D51:I51"/>
    <mergeCell ref="B77:C77"/>
    <mergeCell ref="D77:G77"/>
    <mergeCell ref="D86:I86"/>
    <mergeCell ref="D75:I75"/>
    <mergeCell ref="D39:I39"/>
    <mergeCell ref="D62:I62"/>
    <mergeCell ref="D63:I63"/>
    <mergeCell ref="B65:C65"/>
    <mergeCell ref="B101:C101"/>
    <mergeCell ref="D101:G101"/>
    <mergeCell ref="D110:I110"/>
    <mergeCell ref="D111:I111"/>
    <mergeCell ref="B89:C89"/>
    <mergeCell ref="D89:G89"/>
    <mergeCell ref="D98:I98"/>
    <mergeCell ref="D99:I99"/>
  </mergeCells>
  <pageMargins left="0" right="0" top="0" bottom="0" header="0" footer="0"/>
  <pageSetup paperSize="8" fitToWidth="0" fitToHeight="0" orientation="portrait"/>
  <headerFooter>
    <oddFooter>&amp;R_x000D_&amp;1#&amp;"Calibri"&amp;8&amp;K000000 Cisco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D5FD-65AD-4626-AFC0-E7FE422CACCD}">
  <sheetPr>
    <outlinePr summaryBelow="0" summaryRight="0"/>
  </sheetPr>
  <dimension ref="A1:Y919"/>
  <sheetViews>
    <sheetView showGridLines="0" topLeftCell="C24" zoomScale="90" zoomScaleNormal="90" workbookViewId="0">
      <selection activeCell="L6" sqref="L6:L7"/>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s="39" t="s">
        <v>85</v>
      </c>
      <c r="D1" t="s">
        <v>86</v>
      </c>
    </row>
    <row r="2" spans="1:25" s="39" customFormat="1" ht="12.75" customHeight="1">
      <c r="B2" s="40"/>
      <c r="C2" s="39" t="s">
        <v>44</v>
      </c>
      <c r="D2" s="39" t="s">
        <v>75</v>
      </c>
    </row>
    <row r="3" spans="1:25" ht="12.75">
      <c r="B3" s="1"/>
    </row>
    <row r="4" spans="1:25" ht="12.75">
      <c r="B4" s="1"/>
      <c r="L4" s="82" t="s">
        <v>45</v>
      </c>
    </row>
    <row r="5" spans="1:25" ht="12.75">
      <c r="B5" s="100" t="s">
        <v>1</v>
      </c>
      <c r="C5" s="101"/>
      <c r="D5" s="75" t="s">
        <v>81</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20</v>
      </c>
      <c r="F7" s="59"/>
      <c r="G7" s="59"/>
      <c r="H7" s="59"/>
      <c r="I7" s="59"/>
      <c r="Q7">
        <f>COUNTA(D7)*5 +COUNTA(E7)*4+COUNTA(F7)*3+COUNTA(G7)*2+COUNTA(H7)*1</f>
        <v>4</v>
      </c>
    </row>
    <row r="8" spans="1:25" ht="12.75">
      <c r="B8" s="4">
        <v>2</v>
      </c>
      <c r="C8" s="58" t="s">
        <v>21</v>
      </c>
      <c r="D8" s="59" t="s">
        <v>20</v>
      </c>
      <c r="E8" s="60"/>
      <c r="F8" s="59"/>
      <c r="G8" s="59"/>
      <c r="H8" s="59"/>
      <c r="I8" s="59"/>
      <c r="Q8">
        <f>COUNTA(D8)*5 +COUNTA(E8)*4+COUNTA(F8)*3+COUNTA(G8)*2+COUNTA(H8)*1</f>
        <v>5</v>
      </c>
    </row>
    <row r="9" spans="1:25" ht="12.75">
      <c r="B9" s="4">
        <v>3</v>
      </c>
      <c r="C9" s="58" t="s">
        <v>22</v>
      </c>
      <c r="D9" s="59"/>
      <c r="E9" s="59" t="s">
        <v>20</v>
      </c>
      <c r="F9" s="59"/>
      <c r="G9" s="59"/>
      <c r="H9" s="59"/>
      <c r="I9" s="59"/>
      <c r="Q9">
        <f>COUNTA(D9)*5 +COUNTA(E9)*4+COUNTA(F9)*3+COUNTA(G9)*2+COUNTA(H9)*1</f>
        <v>4</v>
      </c>
    </row>
    <row r="10" spans="1:25" ht="12.75">
      <c r="B10" s="4">
        <v>4</v>
      </c>
      <c r="C10" s="58" t="s">
        <v>23</v>
      </c>
      <c r="D10" s="59" t="s">
        <v>20</v>
      </c>
      <c r="E10" s="59"/>
      <c r="F10" s="59"/>
      <c r="G10" s="59"/>
      <c r="H10" s="59"/>
      <c r="I10" s="59"/>
      <c r="J10" s="7"/>
      <c r="Q10">
        <f>COUNTA(D10)*5 +COUNTA(E10)*4+COUNTA(F10)*3+COUNTA(G10)*2+COUNTA(H10)*1</f>
        <v>5</v>
      </c>
    </row>
    <row r="11" spans="1:25" ht="12.75">
      <c r="B11" s="4">
        <v>5</v>
      </c>
      <c r="C11" s="58" t="s">
        <v>24</v>
      </c>
      <c r="D11" s="59" t="s">
        <v>20</v>
      </c>
      <c r="E11" s="59"/>
      <c r="F11" s="59"/>
      <c r="G11" s="59"/>
      <c r="H11" s="59"/>
      <c r="I11" s="59"/>
      <c r="J11" s="7"/>
      <c r="Q11">
        <f>COUNTA(D11)*5 +COUNTA(E11)*4+COUNTA(F11)*3+COUNTA(G11)*2+COUNTA(H11)*1</f>
        <v>5</v>
      </c>
    </row>
    <row r="12" spans="1:25" ht="12.75">
      <c r="B12" s="4">
        <v>6</v>
      </c>
      <c r="C12" s="58" t="s">
        <v>25</v>
      </c>
      <c r="D12" s="59" t="s">
        <v>20</v>
      </c>
      <c r="E12" s="59"/>
      <c r="F12" s="59"/>
      <c r="G12" s="59"/>
      <c r="H12" s="59"/>
      <c r="I12" s="59"/>
      <c r="J12" s="7"/>
      <c r="Q12">
        <f>COUNTA(D12)*5 +COUNTA(E12)*4+COUNTA(F12)*3+COUNTA(G12)*2+COUNTA(H12)*1</f>
        <v>5</v>
      </c>
    </row>
    <row r="13" spans="1:25" ht="12.75">
      <c r="B13" s="4">
        <v>7</v>
      </c>
      <c r="C13" s="61" t="s">
        <v>26</v>
      </c>
      <c r="D13" s="62"/>
      <c r="E13" s="62" t="s">
        <v>20</v>
      </c>
      <c r="F13" s="63"/>
      <c r="G13" s="63"/>
      <c r="H13" s="63"/>
      <c r="I13" s="63"/>
      <c r="J13" s="7"/>
      <c r="Q13">
        <f>COUNTA(D13)*5 +COUNTA(E13)*4+COUNTA(F13)*3+COUNTA(G13)*2+COUNTA(H13)*1</f>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2:17" ht="20.25">
      <c r="B17" s="100" t="s">
        <v>1</v>
      </c>
      <c r="C17" s="101"/>
      <c r="D17" s="75" t="s">
        <v>82</v>
      </c>
      <c r="E17" s="105"/>
      <c r="F17" s="105"/>
      <c r="G17" s="106"/>
      <c r="L17" s="57"/>
    </row>
    <row r="18" spans="2:17" ht="23.25">
      <c r="B18" s="3" t="s">
        <v>0</v>
      </c>
      <c r="C18" s="3" t="s">
        <v>13</v>
      </c>
      <c r="D18" s="3" t="s">
        <v>14</v>
      </c>
      <c r="E18" s="3" t="s">
        <v>15</v>
      </c>
      <c r="F18" s="3" t="s">
        <v>16</v>
      </c>
      <c r="G18" s="3" t="s">
        <v>17</v>
      </c>
      <c r="H18" s="3" t="s">
        <v>18</v>
      </c>
      <c r="I18" s="3" t="s">
        <v>5</v>
      </c>
      <c r="J18" s="2"/>
      <c r="K18" s="2"/>
      <c r="L18" s="2"/>
      <c r="M18" s="2"/>
      <c r="N18" s="2"/>
      <c r="O18" s="2"/>
      <c r="P18" s="2"/>
      <c r="Q18" s="2"/>
    </row>
    <row r="19" spans="2:17" ht="12.75">
      <c r="B19" s="4">
        <v>1</v>
      </c>
      <c r="C19" s="58" t="s">
        <v>19</v>
      </c>
      <c r="D19" s="59"/>
      <c r="E19" s="59" t="s">
        <v>20</v>
      </c>
      <c r="F19" s="59"/>
      <c r="G19" s="59"/>
      <c r="H19" s="59"/>
      <c r="I19" s="59"/>
      <c r="Q19">
        <f>COUNTA(D19)*5 +COUNTA(E19)*4+COUNTA(F19)*3+COUNTA(G19)*2+COUNTA(H19)*1</f>
        <v>4</v>
      </c>
    </row>
    <row r="20" spans="2:17" ht="12.75">
      <c r="B20" s="4">
        <v>2</v>
      </c>
      <c r="C20" s="58" t="s">
        <v>21</v>
      </c>
      <c r="D20" s="59" t="s">
        <v>20</v>
      </c>
      <c r="E20" s="60"/>
      <c r="F20" s="59"/>
      <c r="G20" s="59"/>
      <c r="H20" s="59"/>
      <c r="I20" s="59"/>
      <c r="Q20">
        <f>COUNTA(D20)*5 +COUNTA(E20)*4+COUNTA(F20)*3+COUNTA(G20)*2+COUNTA(H20)*1</f>
        <v>5</v>
      </c>
    </row>
    <row r="21" spans="2:17" ht="12.75">
      <c r="B21" s="4">
        <v>3</v>
      </c>
      <c r="C21" s="58" t="s">
        <v>22</v>
      </c>
      <c r="D21" s="59"/>
      <c r="E21" s="59" t="s">
        <v>20</v>
      </c>
      <c r="F21" s="59"/>
      <c r="G21" s="59"/>
      <c r="H21" s="59"/>
      <c r="I21" s="59"/>
      <c r="Q21">
        <f>COUNTA(D21)*5 +COUNTA(E21)*4+COUNTA(F21)*3+COUNTA(G21)*2+COUNTA(H21)*1</f>
        <v>4</v>
      </c>
    </row>
    <row r="22" spans="2:17" ht="12.75">
      <c r="B22" s="4">
        <v>4</v>
      </c>
      <c r="C22" s="58" t="s">
        <v>23</v>
      </c>
      <c r="D22" s="59" t="s">
        <v>20</v>
      </c>
      <c r="E22" s="59"/>
      <c r="F22" s="59"/>
      <c r="G22" s="59"/>
      <c r="H22" s="59"/>
      <c r="I22" s="59"/>
      <c r="J22" s="7"/>
      <c r="Q22">
        <f>COUNTA(D22)*5 +COUNTA(E22)*4+COUNTA(F22)*3+COUNTA(G22)*2+COUNTA(H22)*1</f>
        <v>5</v>
      </c>
    </row>
    <row r="23" spans="2:17" ht="12.75">
      <c r="B23" s="4">
        <v>5</v>
      </c>
      <c r="C23" s="58" t="s">
        <v>24</v>
      </c>
      <c r="D23" s="59" t="s">
        <v>20</v>
      </c>
      <c r="E23" s="59"/>
      <c r="F23" s="59"/>
      <c r="G23" s="59"/>
      <c r="H23" s="59"/>
      <c r="I23" s="59"/>
      <c r="J23" s="7"/>
      <c r="Q23">
        <f>COUNTA(D23)*5 +COUNTA(E23)*4+COUNTA(F23)*3+COUNTA(G23)*2+COUNTA(H23)*1</f>
        <v>5</v>
      </c>
    </row>
    <row r="24" spans="2:17" ht="12.75">
      <c r="B24" s="4">
        <v>6</v>
      </c>
      <c r="C24" s="58" t="s">
        <v>25</v>
      </c>
      <c r="D24" s="59" t="s">
        <v>20</v>
      </c>
      <c r="E24" s="59"/>
      <c r="F24" s="59"/>
      <c r="G24" s="59"/>
      <c r="H24" s="59"/>
      <c r="I24" s="59"/>
      <c r="J24" s="7"/>
      <c r="Q24">
        <f>COUNTA(D24)*5 +COUNTA(E24)*4+COUNTA(F24)*3+COUNTA(G24)*2+COUNTA(H24)*1</f>
        <v>5</v>
      </c>
    </row>
    <row r="25" spans="2:17" ht="12.75">
      <c r="B25" s="4">
        <v>7</v>
      </c>
      <c r="C25" s="61" t="s">
        <v>26</v>
      </c>
      <c r="D25" s="62"/>
      <c r="E25" s="62" t="s">
        <v>20</v>
      </c>
      <c r="F25" s="63"/>
      <c r="G25" s="63"/>
      <c r="H25" s="63"/>
      <c r="I25" s="63"/>
      <c r="J25" s="7"/>
      <c r="Q25">
        <f>COUNTA(D25)*5 +COUNTA(E25)*4+COUNTA(F25)*3+COUNTA(G25)*2+COUNTA(H25)*1</f>
        <v>4</v>
      </c>
    </row>
    <row r="26" spans="2:17" ht="12.75">
      <c r="B26" s="4">
        <v>8</v>
      </c>
      <c r="C26" s="66" t="s">
        <v>27</v>
      </c>
      <c r="D26" s="76"/>
      <c r="E26" s="77"/>
      <c r="F26" s="77"/>
      <c r="G26" s="77"/>
      <c r="H26" s="77"/>
      <c r="I26" s="78"/>
      <c r="J26" s="7"/>
      <c r="Q26">
        <f>IF(COUNTA(D26) &gt;=1, 2, 5)</f>
        <v>5</v>
      </c>
    </row>
    <row r="27" spans="2:17" ht="12.75">
      <c r="B27" s="65">
        <v>9</v>
      </c>
      <c r="C27" s="67" t="s">
        <v>28</v>
      </c>
      <c r="D27" s="81"/>
      <c r="E27" s="104"/>
      <c r="F27" s="104"/>
      <c r="G27" s="104"/>
      <c r="H27" s="104"/>
      <c r="I27" s="104"/>
      <c r="J27" s="7"/>
    </row>
    <row r="28" spans="2:17" ht="12.75">
      <c r="B28" s="64"/>
      <c r="C28" s="22"/>
      <c r="D28" s="68"/>
      <c r="E28" s="69"/>
      <c r="F28" s="69"/>
      <c r="G28" s="69"/>
      <c r="H28" s="23"/>
      <c r="I28" s="23"/>
      <c r="J28" s="7"/>
      <c r="Q28">
        <f>IF(Q26&gt;0,AVERAGE(Q19:Q26),AVERAGE(Q19:Q25))</f>
        <v>4.625</v>
      </c>
    </row>
    <row r="29" spans="2:17" ht="20.25">
      <c r="B29" s="100" t="s">
        <v>1</v>
      </c>
      <c r="C29" s="101"/>
      <c r="D29" s="75" t="s">
        <v>83</v>
      </c>
      <c r="E29" s="105"/>
      <c r="F29" s="105"/>
      <c r="G29" s="106"/>
      <c r="L29" s="57"/>
    </row>
    <row r="30" spans="2:17" ht="24">
      <c r="B30" s="3" t="s">
        <v>0</v>
      </c>
      <c r="C30" s="3" t="s">
        <v>13</v>
      </c>
      <c r="D30" s="3" t="s">
        <v>14</v>
      </c>
      <c r="E30" s="3" t="s">
        <v>15</v>
      </c>
      <c r="F30" s="3" t="s">
        <v>16</v>
      </c>
      <c r="G30" s="3" t="s">
        <v>17</v>
      </c>
      <c r="H30" s="3" t="s">
        <v>18</v>
      </c>
      <c r="I30" s="3" t="s">
        <v>5</v>
      </c>
      <c r="J30" s="2"/>
      <c r="K30" s="2"/>
      <c r="L30" s="2"/>
      <c r="M30" s="2"/>
      <c r="N30" s="2"/>
      <c r="O30" s="2"/>
      <c r="P30" s="2"/>
      <c r="Q30" s="2"/>
    </row>
    <row r="31" spans="2:17" ht="12.75">
      <c r="B31" s="4">
        <v>1</v>
      </c>
      <c r="C31" s="58" t="s">
        <v>19</v>
      </c>
      <c r="D31" s="59"/>
      <c r="E31" s="59" t="s">
        <v>20</v>
      </c>
      <c r="F31" s="59"/>
      <c r="G31" s="59"/>
      <c r="H31" s="59"/>
      <c r="I31" s="59"/>
      <c r="Q31">
        <f>COUNTA(D31)*5 +COUNTA(E31)*4+COUNTA(F31)*3+COUNTA(G31)*2+COUNTA(H31)*1</f>
        <v>4</v>
      </c>
    </row>
    <row r="32" spans="2:17" ht="12.75">
      <c r="B32" s="4">
        <v>2</v>
      </c>
      <c r="C32" s="58" t="s">
        <v>21</v>
      </c>
      <c r="D32" s="59" t="s">
        <v>20</v>
      </c>
      <c r="E32" s="60"/>
      <c r="F32" s="59"/>
      <c r="G32" s="59"/>
      <c r="H32" s="59"/>
      <c r="I32" s="59"/>
      <c r="Q32">
        <f>COUNTA(D32)*5 +COUNTA(E32)*4+COUNTA(F32)*3+COUNTA(G32)*2+COUNTA(H32)*1</f>
        <v>5</v>
      </c>
    </row>
    <row r="33" spans="2:17" ht="12.75">
      <c r="B33" s="4">
        <v>3</v>
      </c>
      <c r="C33" s="58" t="s">
        <v>22</v>
      </c>
      <c r="D33" s="59"/>
      <c r="E33" s="59" t="s">
        <v>20</v>
      </c>
      <c r="F33" s="59"/>
      <c r="G33" s="59"/>
      <c r="H33" s="59"/>
      <c r="I33" s="59"/>
      <c r="Q33">
        <f>COUNTA(D33)*5 +COUNTA(E33)*4+COUNTA(F33)*3+COUNTA(G33)*2+COUNTA(H33)*1</f>
        <v>4</v>
      </c>
    </row>
    <row r="34" spans="2:17" ht="12.75">
      <c r="B34" s="4">
        <v>4</v>
      </c>
      <c r="C34" s="58" t="s">
        <v>23</v>
      </c>
      <c r="D34" s="59" t="s">
        <v>20</v>
      </c>
      <c r="E34" s="59"/>
      <c r="F34" s="59"/>
      <c r="G34" s="59"/>
      <c r="H34" s="59"/>
      <c r="I34" s="59"/>
      <c r="J34" s="7"/>
      <c r="Q34">
        <f>COUNTA(D34)*5 +COUNTA(E34)*4+COUNTA(F34)*3+COUNTA(G34)*2+COUNTA(H34)*1</f>
        <v>5</v>
      </c>
    </row>
    <row r="35" spans="2:17" ht="12.75">
      <c r="B35" s="4">
        <v>5</v>
      </c>
      <c r="C35" s="58" t="s">
        <v>24</v>
      </c>
      <c r="D35" s="59" t="s">
        <v>20</v>
      </c>
      <c r="E35" s="59"/>
      <c r="F35" s="59"/>
      <c r="G35" s="59"/>
      <c r="H35" s="59"/>
      <c r="I35" s="59"/>
      <c r="J35" s="7"/>
      <c r="Q35">
        <f>COUNTA(D35)*5 +COUNTA(E35)*4+COUNTA(F35)*3+COUNTA(G35)*2+COUNTA(H35)*1</f>
        <v>5</v>
      </c>
    </row>
    <row r="36" spans="2:17" ht="12.75">
      <c r="B36" s="4">
        <v>6</v>
      </c>
      <c r="C36" s="58" t="s">
        <v>25</v>
      </c>
      <c r="D36" s="59" t="s">
        <v>20</v>
      </c>
      <c r="E36" s="59"/>
      <c r="F36" s="59"/>
      <c r="G36" s="59"/>
      <c r="H36" s="59"/>
      <c r="I36" s="59"/>
      <c r="J36" s="7"/>
      <c r="Q36">
        <f>COUNTA(D36)*5 +COUNTA(E36)*4+COUNTA(F36)*3+COUNTA(G36)*2+COUNTA(H36)*1</f>
        <v>5</v>
      </c>
    </row>
    <row r="37" spans="2:17" ht="12.75">
      <c r="B37" s="4">
        <v>7</v>
      </c>
      <c r="C37" s="61" t="s">
        <v>26</v>
      </c>
      <c r="D37" s="62"/>
      <c r="E37" s="62" t="s">
        <v>20</v>
      </c>
      <c r="F37" s="63"/>
      <c r="G37" s="63"/>
      <c r="H37" s="63"/>
      <c r="I37" s="63"/>
      <c r="J37" s="7"/>
      <c r="Q37">
        <f>COUNTA(D37)*5 +COUNTA(E37)*4+COUNTA(F37)*3+COUNTA(G37)*2+COUNTA(H37)*1</f>
        <v>4</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64"/>
      <c r="C40" s="22"/>
      <c r="D40" s="68"/>
      <c r="E40" s="69"/>
      <c r="F40" s="69"/>
      <c r="G40" s="69"/>
      <c r="H40" s="23"/>
      <c r="I40" s="23"/>
      <c r="J40" s="7"/>
      <c r="Q40">
        <f>IF(Q38&gt;0,AVERAGE(Q31:Q38),AVERAGE(Q31:Q37))</f>
        <v>4.625</v>
      </c>
    </row>
    <row r="41" spans="2:17" ht="20.25">
      <c r="B41" s="100" t="s">
        <v>1</v>
      </c>
      <c r="C41" s="101"/>
      <c r="D41" s="75" t="s">
        <v>84</v>
      </c>
      <c r="E41" s="105"/>
      <c r="F41" s="105"/>
      <c r="G41" s="106"/>
      <c r="L41" s="57"/>
    </row>
    <row r="42" spans="2:17" ht="24">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c r="E43" s="59" t="s">
        <v>20</v>
      </c>
      <c r="F43" s="59"/>
      <c r="G43" s="59"/>
      <c r="H43" s="59"/>
      <c r="I43" s="59"/>
      <c r="Q43">
        <f>COUNTA(D43)*5 +COUNTA(E43)*4+COUNTA(F43)*3+COUNTA(G43)*2+COUNTA(H43)*1</f>
        <v>4</v>
      </c>
    </row>
    <row r="44" spans="2:17" ht="12.75">
      <c r="B44" s="4">
        <v>2</v>
      </c>
      <c r="C44" s="58" t="s">
        <v>21</v>
      </c>
      <c r="D44" s="59" t="s">
        <v>20</v>
      </c>
      <c r="E44" s="60"/>
      <c r="F44" s="59"/>
      <c r="G44" s="59"/>
      <c r="H44" s="59"/>
      <c r="I44" s="59"/>
      <c r="Q44">
        <f>COUNTA(D44)*5 +COUNTA(E44)*4+COUNTA(F44)*3+COUNTA(G44)*2+COUNTA(H44)*1</f>
        <v>5</v>
      </c>
    </row>
    <row r="45" spans="2:17" ht="12.75">
      <c r="B45" s="4">
        <v>3</v>
      </c>
      <c r="C45" s="58" t="s">
        <v>22</v>
      </c>
      <c r="D45" s="59"/>
      <c r="E45" s="59" t="s">
        <v>20</v>
      </c>
      <c r="F45" s="59"/>
      <c r="G45" s="59"/>
      <c r="H45" s="59"/>
      <c r="I45" s="59"/>
      <c r="Q45">
        <f>COUNTA(D45)*5 +COUNTA(E45)*4+COUNTA(F45)*3+COUNTA(G45)*2+COUNTA(H45)*1</f>
        <v>4</v>
      </c>
    </row>
    <row r="46" spans="2:17" ht="12.75">
      <c r="B46" s="4">
        <v>4</v>
      </c>
      <c r="C46" s="58" t="s">
        <v>23</v>
      </c>
      <c r="D46" s="59" t="s">
        <v>20</v>
      </c>
      <c r="E46" s="59"/>
      <c r="F46" s="59"/>
      <c r="G46" s="59"/>
      <c r="H46" s="59"/>
      <c r="I46" s="59"/>
      <c r="J46" s="7"/>
      <c r="Q46">
        <f>COUNTA(D46)*5 +COUNTA(E46)*4+COUNTA(F46)*3+COUNTA(G46)*2+COUNTA(H46)*1</f>
        <v>5</v>
      </c>
    </row>
    <row r="47" spans="2:17" ht="12.75">
      <c r="B47" s="4">
        <v>5</v>
      </c>
      <c r="C47" s="58" t="s">
        <v>24</v>
      </c>
      <c r="D47" s="59" t="s">
        <v>20</v>
      </c>
      <c r="E47" s="59"/>
      <c r="F47" s="59"/>
      <c r="G47" s="59"/>
      <c r="H47" s="59"/>
      <c r="I47" s="59"/>
      <c r="J47" s="7"/>
      <c r="Q47">
        <f>COUNTA(D47)*5 +COUNTA(E47)*4+COUNTA(F47)*3+COUNTA(G47)*2+COUNTA(H47)*1</f>
        <v>5</v>
      </c>
    </row>
    <row r="48" spans="2:17" ht="12.75">
      <c r="B48" s="4">
        <v>6</v>
      </c>
      <c r="C48" s="58" t="s">
        <v>25</v>
      </c>
      <c r="D48" s="59" t="s">
        <v>20</v>
      </c>
      <c r="E48" s="59"/>
      <c r="F48" s="59"/>
      <c r="G48" s="59"/>
      <c r="H48" s="59"/>
      <c r="I48" s="59"/>
      <c r="J48" s="7"/>
      <c r="Q48">
        <f>COUNTA(D48)*5 +COUNTA(E48)*4+COUNTA(F48)*3+COUNTA(G48)*2+COUNTA(H48)*1</f>
        <v>5</v>
      </c>
    </row>
    <row r="49" spans="2:17" ht="12.75">
      <c r="B49" s="4">
        <v>7</v>
      </c>
      <c r="C49" s="61" t="s">
        <v>26</v>
      </c>
      <c r="D49" s="62"/>
      <c r="E49" s="62" t="s">
        <v>20</v>
      </c>
      <c r="F49" s="63"/>
      <c r="G49" s="63"/>
      <c r="H49" s="63"/>
      <c r="I49" s="63"/>
      <c r="J49" s="7"/>
      <c r="Q49">
        <f>COUNTA(D49)*5 +COUNTA(E49)*4+COUNTA(F49)*3+COUNTA(G49)*2+COUNTA(H49)*1</f>
        <v>4</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64"/>
      <c r="C52" s="22"/>
      <c r="D52" s="68"/>
      <c r="E52" s="69"/>
      <c r="F52" s="69"/>
      <c r="G52" s="69"/>
      <c r="H52" s="23"/>
      <c r="I52" s="23"/>
      <c r="J52" s="7"/>
      <c r="Q52">
        <f>IF(Q50&gt;0,AVERAGE(Q43:Q50),AVERAGE(Q43:Q49))</f>
        <v>4.625</v>
      </c>
    </row>
    <row r="53" spans="2:17" ht="12.75">
      <c r="B53" s="1"/>
    </row>
    <row r="54" spans="2:17" ht="12.75">
      <c r="B54" s="1"/>
    </row>
    <row r="55" spans="2:17" ht="12.75">
      <c r="B55" s="1"/>
    </row>
    <row r="56" spans="2:17" ht="12.75">
      <c r="B56" s="1"/>
    </row>
    <row r="57" spans="2:17" ht="12.75">
      <c r="B57" s="1"/>
    </row>
    <row r="58" spans="2:17" ht="12.75">
      <c r="B58" s="1"/>
    </row>
    <row r="59" spans="2:17" ht="12.75">
      <c r="B59" s="1"/>
    </row>
    <row r="60" spans="2:17" ht="12.75">
      <c r="B60" s="1"/>
    </row>
    <row r="61" spans="2:17" ht="12.75">
      <c r="B61" s="1"/>
    </row>
    <row r="62" spans="2:17" ht="12.75">
      <c r="B62" s="1"/>
    </row>
    <row r="63" spans="2:17" ht="12.75">
      <c r="B63" s="1"/>
    </row>
    <row r="64" spans="2:17" ht="12.75">
      <c r="B64" s="1"/>
    </row>
    <row r="65" spans="2:2" ht="12.75">
      <c r="B65" s="1"/>
    </row>
    <row r="66" spans="2:2" ht="12.75">
      <c r="B66" s="1"/>
    </row>
    <row r="67" spans="2:2" ht="12.75">
      <c r="B67" s="1"/>
    </row>
    <row r="68" spans="2:2" ht="12.75">
      <c r="B68" s="1"/>
    </row>
    <row r="69" spans="2:2" ht="12.75">
      <c r="B69" s="1"/>
    </row>
    <row r="70" spans="2:2" ht="12.75">
      <c r="B70" s="1"/>
    </row>
    <row r="71" spans="2:2" ht="12.75">
      <c r="B71" s="1"/>
    </row>
    <row r="72" spans="2:2" ht="12.75">
      <c r="B72" s="1"/>
    </row>
    <row r="73" spans="2:2" ht="12.75">
      <c r="B73" s="1"/>
    </row>
    <row r="74" spans="2:2" ht="12.75">
      <c r="B74" s="1"/>
    </row>
    <row r="75" spans="2:2" ht="12.75">
      <c r="B75" s="1"/>
    </row>
    <row r="76" spans="2:2" ht="12.75">
      <c r="B76" s="1"/>
    </row>
    <row r="77" spans="2:2" ht="12.75">
      <c r="B77" s="1"/>
    </row>
    <row r="78" spans="2:2" ht="12.75">
      <c r="B78" s="1"/>
    </row>
    <row r="79" spans="2:2" ht="12.75">
      <c r="B79" s="1"/>
    </row>
    <row r="80" spans="2:2" ht="12.75">
      <c r="B80" s="1"/>
    </row>
    <row r="81" spans="2:2" ht="12.75">
      <c r="B81" s="1"/>
    </row>
    <row r="82" spans="2:2" ht="12.75">
      <c r="B82" s="1"/>
    </row>
    <row r="83" spans="2:2" ht="12.75">
      <c r="B83" s="1"/>
    </row>
    <row r="84" spans="2:2" ht="12.75">
      <c r="B84" s="1"/>
    </row>
    <row r="85" spans="2:2" ht="12.75">
      <c r="B85" s="1"/>
    </row>
    <row r="86" spans="2:2" ht="12.75">
      <c r="B86" s="1"/>
    </row>
    <row r="87" spans="2:2" ht="12.75">
      <c r="B87" s="1"/>
    </row>
    <row r="88" spans="2:2" ht="12.75">
      <c r="B88" s="1"/>
    </row>
    <row r="89" spans="2:2" ht="12.75">
      <c r="B89" s="1"/>
    </row>
    <row r="90" spans="2:2" ht="12.75">
      <c r="B90" s="1"/>
    </row>
    <row r="91" spans="2:2" ht="12.75">
      <c r="B91" s="1"/>
    </row>
    <row r="92" spans="2:2" ht="12.75">
      <c r="B92" s="1"/>
    </row>
    <row r="93" spans="2:2" ht="12.75">
      <c r="B93" s="1"/>
    </row>
    <row r="94" spans="2:2" ht="12.75">
      <c r="B94" s="1"/>
    </row>
    <row r="95" spans="2:2" ht="12.75">
      <c r="B95" s="1"/>
    </row>
    <row r="96" spans="2:2" ht="12.75">
      <c r="B96" s="1"/>
    </row>
    <row r="97" spans="2:2" ht="12.75">
      <c r="B97" s="1"/>
    </row>
    <row r="98" spans="2:2" ht="12.75">
      <c r="B98" s="1"/>
    </row>
    <row r="99" spans="2:2" ht="12.75">
      <c r="B99" s="1"/>
    </row>
    <row r="100" spans="2:2" ht="12.75">
      <c r="B100" s="1"/>
    </row>
    <row r="101" spans="2:2" ht="12.75">
      <c r="B101" s="1"/>
    </row>
    <row r="102" spans="2:2" ht="12.75">
      <c r="B102" s="1"/>
    </row>
    <row r="103" spans="2:2" ht="12.75">
      <c r="B103" s="1"/>
    </row>
    <row r="104" spans="2:2" ht="12.75">
      <c r="B104" s="1"/>
    </row>
    <row r="105" spans="2:2" ht="12.75">
      <c r="B105" s="1"/>
    </row>
    <row r="106" spans="2:2" ht="12.75">
      <c r="B106" s="1"/>
    </row>
    <row r="107" spans="2:2" ht="12.75">
      <c r="B107" s="1"/>
    </row>
    <row r="108" spans="2:2" ht="12.75">
      <c r="B108" s="1"/>
    </row>
    <row r="109" spans="2:2" ht="12.75">
      <c r="B109" s="1"/>
    </row>
    <row r="110" spans="2:2" ht="12.75">
      <c r="B110" s="1"/>
    </row>
    <row r="111" spans="2:2" ht="12.75">
      <c r="B111" s="1"/>
    </row>
    <row r="112" spans="2:2"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sheetData>
  <mergeCells count="17">
    <mergeCell ref="B17:C17"/>
    <mergeCell ref="D17:G17"/>
    <mergeCell ref="D26:I26"/>
    <mergeCell ref="D27:I27"/>
    <mergeCell ref="L4:L5"/>
    <mergeCell ref="B5:C5"/>
    <mergeCell ref="D5:G5"/>
    <mergeCell ref="D14:I14"/>
    <mergeCell ref="D15:I15"/>
    <mergeCell ref="B41:C41"/>
    <mergeCell ref="D41:G41"/>
    <mergeCell ref="D50:I50"/>
    <mergeCell ref="D51:I51"/>
    <mergeCell ref="B29:C29"/>
    <mergeCell ref="D29:G29"/>
    <mergeCell ref="D38:I38"/>
    <mergeCell ref="D39:I39"/>
  </mergeCells>
  <pageMargins left="0" right="0" top="0" bottom="0" header="0" footer="0"/>
  <pageSetup paperSize="8" fitToWidth="0" fitToHeight="0" orientation="portrait"/>
  <headerFooter>
    <oddFooter>&amp;R_x000D_&amp;1#&amp;"Calibri"&amp;8&amp;K000000 Cisco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BBBF-1186-46D5-898E-A6135C4A1EE6}">
  <sheetPr>
    <outlinePr summaryBelow="0" summaryRight="0"/>
  </sheetPr>
  <dimension ref="A1:Y967"/>
  <sheetViews>
    <sheetView showGridLines="0" topLeftCell="C74" zoomScale="90" zoomScaleNormal="90" workbookViewId="0">
      <selection activeCell="I100" sqref="I100"/>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s="39" t="s">
        <v>85</v>
      </c>
      <c r="D1" t="s">
        <v>87</v>
      </c>
    </row>
    <row r="2" spans="1:25" s="39" customFormat="1" ht="12.75" customHeight="1">
      <c r="B2" s="40"/>
      <c r="C2" s="39" t="s">
        <v>44</v>
      </c>
      <c r="D2" s="39" t="s">
        <v>75</v>
      </c>
    </row>
    <row r="3" spans="1:25" ht="12.75">
      <c r="B3" s="1"/>
    </row>
    <row r="4" spans="1:25" ht="12.75">
      <c r="B4" s="1"/>
      <c r="L4" s="82" t="s">
        <v>45</v>
      </c>
    </row>
    <row r="5" spans="1:25" ht="12.75">
      <c r="B5" s="100" t="s">
        <v>1</v>
      </c>
      <c r="C5" s="101"/>
      <c r="D5" s="75" t="s">
        <v>76</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20</v>
      </c>
      <c r="F7" s="59"/>
      <c r="G7" s="59"/>
      <c r="H7" s="59"/>
      <c r="I7" s="59"/>
      <c r="Q7">
        <f>COUNTA(D7)*5 +COUNTA(E7)*4+COUNTA(F7)*3+COUNTA(G7)*2+COUNTA(H7)*1</f>
        <v>4</v>
      </c>
    </row>
    <row r="8" spans="1:25" ht="12.75">
      <c r="B8" s="4">
        <v>2</v>
      </c>
      <c r="C8" s="58" t="s">
        <v>21</v>
      </c>
      <c r="D8" s="59" t="s">
        <v>20</v>
      </c>
      <c r="E8" s="60"/>
      <c r="F8" s="59"/>
      <c r="G8" s="59"/>
      <c r="H8" s="59"/>
      <c r="I8" s="59"/>
      <c r="Q8">
        <f>COUNTA(D8)*5 +COUNTA(E8)*4+COUNTA(F8)*3+COUNTA(G8)*2+COUNTA(H8)*1</f>
        <v>5</v>
      </c>
    </row>
    <row r="9" spans="1:25" ht="12.75">
      <c r="B9" s="4">
        <v>3</v>
      </c>
      <c r="C9" s="58" t="s">
        <v>22</v>
      </c>
      <c r="D9" s="59"/>
      <c r="E9" s="59" t="s">
        <v>20</v>
      </c>
      <c r="F9" s="59"/>
      <c r="G9" s="59"/>
      <c r="H9" s="59"/>
      <c r="I9" s="59"/>
      <c r="Q9">
        <f>COUNTA(D9)*5 +COUNTA(E9)*4+COUNTA(F9)*3+COUNTA(G9)*2+COUNTA(H9)*1</f>
        <v>4</v>
      </c>
    </row>
    <row r="10" spans="1:25" ht="12.75">
      <c r="B10" s="4">
        <v>4</v>
      </c>
      <c r="C10" s="58" t="s">
        <v>23</v>
      </c>
      <c r="D10" s="59" t="s">
        <v>20</v>
      </c>
      <c r="E10" s="59"/>
      <c r="F10" s="59"/>
      <c r="G10" s="59"/>
      <c r="H10" s="59"/>
      <c r="I10" s="59"/>
      <c r="J10" s="7"/>
      <c r="Q10">
        <f>COUNTA(D10)*5 +COUNTA(E10)*4+COUNTA(F10)*3+COUNTA(G10)*2+COUNTA(H10)*1</f>
        <v>5</v>
      </c>
    </row>
    <row r="11" spans="1:25" ht="12.75">
      <c r="B11" s="4">
        <v>5</v>
      </c>
      <c r="C11" s="58" t="s">
        <v>24</v>
      </c>
      <c r="D11" s="59" t="s">
        <v>20</v>
      </c>
      <c r="E11" s="59"/>
      <c r="F11" s="59"/>
      <c r="G11" s="59"/>
      <c r="H11" s="59"/>
      <c r="I11" s="59"/>
      <c r="J11" s="7"/>
      <c r="Q11">
        <f>COUNTA(D11)*5 +COUNTA(E11)*4+COUNTA(F11)*3+COUNTA(G11)*2+COUNTA(H11)*1</f>
        <v>5</v>
      </c>
    </row>
    <row r="12" spans="1:25" ht="12.75">
      <c r="B12" s="4">
        <v>6</v>
      </c>
      <c r="C12" s="58" t="s">
        <v>25</v>
      </c>
      <c r="D12" s="59" t="s">
        <v>20</v>
      </c>
      <c r="E12" s="59"/>
      <c r="F12" s="59"/>
      <c r="G12" s="59"/>
      <c r="H12" s="59"/>
      <c r="I12" s="59"/>
      <c r="J12" s="7"/>
      <c r="Q12">
        <f>COUNTA(D12)*5 +COUNTA(E12)*4+COUNTA(F12)*3+COUNTA(G12)*2+COUNTA(H12)*1</f>
        <v>5</v>
      </c>
    </row>
    <row r="13" spans="1:25" ht="12.75">
      <c r="B13" s="4">
        <v>7</v>
      </c>
      <c r="C13" s="61" t="s">
        <v>26</v>
      </c>
      <c r="D13" s="62"/>
      <c r="E13" s="62" t="s">
        <v>20</v>
      </c>
      <c r="F13" s="63"/>
      <c r="G13" s="63"/>
      <c r="H13" s="63"/>
      <c r="I13" s="63"/>
      <c r="J13" s="7"/>
      <c r="Q13">
        <f>COUNTA(D13)*5 +COUNTA(E13)*4+COUNTA(F13)*3+COUNTA(G13)*2+COUNTA(H13)*1</f>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1:25" ht="15" customHeight="1">
      <c r="B17" s="100" t="s">
        <v>1</v>
      </c>
      <c r="C17" s="101"/>
      <c r="D17" s="75" t="s">
        <v>77</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c r="E19" s="59" t="s">
        <v>20</v>
      </c>
      <c r="F19" s="59"/>
      <c r="G19" s="59"/>
      <c r="H19" s="59"/>
      <c r="I19" s="59"/>
      <c r="Q19">
        <f>COUNTA(D19)*5 +COUNTA(E19)*4+COUNTA(F19)*3+COUNTA(G19)*2+COUNTA(H19)*1</f>
        <v>4</v>
      </c>
    </row>
    <row r="20" spans="1:25" ht="12.75">
      <c r="B20" s="4">
        <v>2</v>
      </c>
      <c r="C20" s="58" t="s">
        <v>21</v>
      </c>
      <c r="D20" s="59" t="s">
        <v>20</v>
      </c>
      <c r="E20" s="60"/>
      <c r="F20" s="59"/>
      <c r="G20" s="59"/>
      <c r="H20" s="59"/>
      <c r="I20" s="59"/>
      <c r="Q20">
        <f>COUNTA(D20)*5 +COUNTA(E20)*4+COUNTA(F20)*3+COUNTA(G20)*2+COUNTA(H20)*1</f>
        <v>5</v>
      </c>
    </row>
    <row r="21" spans="1:25" ht="12.75">
      <c r="B21" s="4">
        <v>3</v>
      </c>
      <c r="C21" s="58" t="s">
        <v>22</v>
      </c>
      <c r="D21" s="59"/>
      <c r="E21" s="59" t="s">
        <v>20</v>
      </c>
      <c r="F21" s="59"/>
      <c r="G21" s="59"/>
      <c r="H21" s="59"/>
      <c r="I21" s="59"/>
      <c r="Q21">
        <f>COUNTA(D21)*5 +COUNTA(E21)*4+COUNTA(F21)*3+COUNTA(G21)*2+COUNTA(H21)*1</f>
        <v>4</v>
      </c>
    </row>
    <row r="22" spans="1:25" ht="12.75">
      <c r="B22" s="4">
        <v>4</v>
      </c>
      <c r="C22" s="58" t="s">
        <v>23</v>
      </c>
      <c r="D22" s="59" t="s">
        <v>20</v>
      </c>
      <c r="E22" s="59"/>
      <c r="F22" s="59"/>
      <c r="G22" s="59"/>
      <c r="H22" s="59"/>
      <c r="I22" s="59"/>
      <c r="J22" s="7"/>
      <c r="Q22">
        <f>COUNTA(D22)*5 +COUNTA(E22)*4+COUNTA(F22)*3+COUNTA(G22)*2+COUNTA(H22)*1</f>
        <v>5</v>
      </c>
    </row>
    <row r="23" spans="1:25" ht="12.75">
      <c r="B23" s="4">
        <v>5</v>
      </c>
      <c r="C23" s="58" t="s">
        <v>24</v>
      </c>
      <c r="D23" s="59" t="s">
        <v>20</v>
      </c>
      <c r="E23" s="59"/>
      <c r="F23" s="59"/>
      <c r="G23" s="59"/>
      <c r="H23" s="59"/>
      <c r="I23" s="59"/>
      <c r="J23" s="7"/>
      <c r="Q23">
        <f>COUNTA(D23)*5 +COUNTA(E23)*4+COUNTA(F23)*3+COUNTA(G23)*2+COUNTA(H23)*1</f>
        <v>5</v>
      </c>
    </row>
    <row r="24" spans="1:25" ht="12.75">
      <c r="B24" s="4">
        <v>6</v>
      </c>
      <c r="C24" s="58" t="s">
        <v>25</v>
      </c>
      <c r="D24" s="59" t="s">
        <v>20</v>
      </c>
      <c r="E24" s="59"/>
      <c r="F24" s="59"/>
      <c r="G24" s="59"/>
      <c r="H24" s="59"/>
      <c r="I24" s="59"/>
      <c r="J24" s="7"/>
      <c r="Q24">
        <f>COUNTA(D24)*5 +COUNTA(E24)*4+COUNTA(F24)*3+COUNTA(G24)*2+COUNTA(H24)*1</f>
        <v>5</v>
      </c>
    </row>
    <row r="25" spans="1:25" ht="12.75">
      <c r="B25" s="4">
        <v>7</v>
      </c>
      <c r="C25" s="61" t="s">
        <v>26</v>
      </c>
      <c r="D25" s="62"/>
      <c r="E25" s="62" t="s">
        <v>20</v>
      </c>
      <c r="F25" s="63"/>
      <c r="G25" s="63"/>
      <c r="H25" s="63"/>
      <c r="I25" s="63"/>
      <c r="J25" s="7"/>
      <c r="Q25">
        <f>COUNTA(D25)*5 +COUNTA(E25)*4+COUNTA(F25)*3+COUNTA(G25)*2+COUNTA(H25)*1</f>
        <v>4</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4.625</v>
      </c>
    </row>
    <row r="29" spans="1:25" ht="12.75">
      <c r="B29" s="100" t="s">
        <v>1</v>
      </c>
      <c r="C29" s="101"/>
      <c r="D29" s="75" t="s">
        <v>78</v>
      </c>
      <c r="E29" s="105"/>
      <c r="F29" s="105"/>
      <c r="G29" s="106"/>
    </row>
    <row r="30" spans="1:25" ht="23.25">
      <c r="B30" s="3" t="s">
        <v>0</v>
      </c>
      <c r="C30" s="3" t="s">
        <v>13</v>
      </c>
      <c r="D30" s="3" t="s">
        <v>14</v>
      </c>
      <c r="E30" s="3" t="s">
        <v>15</v>
      </c>
      <c r="F30" s="3" t="s">
        <v>16</v>
      </c>
      <c r="G30" s="3" t="s">
        <v>17</v>
      </c>
      <c r="H30" s="3" t="s">
        <v>18</v>
      </c>
      <c r="I30" s="3" t="s">
        <v>5</v>
      </c>
    </row>
    <row r="31" spans="1:25" ht="12.75">
      <c r="B31" s="4">
        <v>1</v>
      </c>
      <c r="C31" s="58" t="s">
        <v>19</v>
      </c>
      <c r="D31" s="59"/>
      <c r="E31" s="59"/>
      <c r="F31" s="59" t="s">
        <v>20</v>
      </c>
      <c r="G31" s="59"/>
      <c r="H31" s="59"/>
      <c r="I31" s="59"/>
      <c r="Q31">
        <f>COUNTA(D31)*5 +COUNTA(E31)*4+COUNTA(F31)*3+COUNTA(G31)*2+COUNTA(H31)*1</f>
        <v>3</v>
      </c>
    </row>
    <row r="32" spans="1:25" ht="12.75">
      <c r="B32" s="4">
        <v>2</v>
      </c>
      <c r="C32" s="58" t="s">
        <v>21</v>
      </c>
      <c r="D32" s="59"/>
      <c r="E32" s="60" t="s">
        <v>20</v>
      </c>
      <c r="F32" s="59"/>
      <c r="G32" s="59"/>
      <c r="H32" s="59"/>
      <c r="I32" s="59"/>
      <c r="Q32">
        <f>COUNTA(D32)*5 +COUNTA(E32)*4+COUNTA(F32)*3+COUNTA(G32)*2+COUNTA(H32)*1</f>
        <v>4</v>
      </c>
    </row>
    <row r="33" spans="2:17" ht="12.75">
      <c r="B33" s="4">
        <v>3</v>
      </c>
      <c r="C33" s="58" t="s">
        <v>22</v>
      </c>
      <c r="D33" s="59"/>
      <c r="E33" s="59"/>
      <c r="F33" s="59" t="s">
        <v>20</v>
      </c>
      <c r="G33" s="59"/>
      <c r="H33" s="59"/>
      <c r="I33" s="59"/>
      <c r="Q33">
        <f>COUNTA(D33)*5 +COUNTA(E33)*4+COUNTA(F33)*3+COUNTA(G33)*2+COUNTA(H33)*1</f>
        <v>3</v>
      </c>
    </row>
    <row r="34" spans="2:17" ht="12.75">
      <c r="B34" s="4">
        <v>4</v>
      </c>
      <c r="C34" s="58" t="s">
        <v>23</v>
      </c>
      <c r="D34" s="59" t="s">
        <v>20</v>
      </c>
      <c r="E34" s="59"/>
      <c r="F34" s="59"/>
      <c r="G34" s="59"/>
      <c r="H34" s="59"/>
      <c r="I34" s="59"/>
      <c r="Q34">
        <f>COUNTA(D34)*5 +COUNTA(E34)*4+COUNTA(F34)*3+COUNTA(G34)*2+COUNTA(H34)*1</f>
        <v>5</v>
      </c>
    </row>
    <row r="35" spans="2:17" ht="12.75">
      <c r="B35" s="4">
        <v>5</v>
      </c>
      <c r="C35" s="58" t="s">
        <v>24</v>
      </c>
      <c r="D35" s="59"/>
      <c r="E35" s="59"/>
      <c r="F35" s="59" t="s">
        <v>20</v>
      </c>
      <c r="G35" s="59"/>
      <c r="H35" s="59"/>
      <c r="I35" s="59"/>
      <c r="Q35">
        <f>COUNTA(D35)*5 +COUNTA(E35)*4+COUNTA(F35)*3+COUNTA(G35)*2+COUNTA(H35)*1</f>
        <v>3</v>
      </c>
    </row>
    <row r="36" spans="2:17" ht="12.75">
      <c r="B36" s="4">
        <v>6</v>
      </c>
      <c r="C36" s="58" t="s">
        <v>25</v>
      </c>
      <c r="D36" s="59"/>
      <c r="E36" s="59" t="s">
        <v>20</v>
      </c>
      <c r="F36" s="59"/>
      <c r="G36" s="59"/>
      <c r="H36" s="59"/>
      <c r="I36" s="59"/>
      <c r="Q36">
        <f>COUNTA(D36)*5 +COUNTA(E36)*4+COUNTA(F36)*3+COUNTA(G36)*2+COUNTA(H36)*1</f>
        <v>4</v>
      </c>
    </row>
    <row r="37" spans="2:17" ht="12.75">
      <c r="B37" s="4">
        <v>7</v>
      </c>
      <c r="C37" s="61" t="s">
        <v>26</v>
      </c>
      <c r="D37" s="62"/>
      <c r="E37" s="62" t="s">
        <v>20</v>
      </c>
      <c r="F37" s="63"/>
      <c r="G37" s="63"/>
      <c r="H37" s="63"/>
      <c r="I37" s="63"/>
      <c r="Q37">
        <f>COUNTA(D37)*5 +COUNTA(E37)*4+COUNTA(F37)*3+COUNTA(G37)*2+COUNTA(H37)*1</f>
        <v>4</v>
      </c>
    </row>
    <row r="38" spans="2:17" ht="12.75">
      <c r="B38" s="4">
        <v>8</v>
      </c>
      <c r="C38" s="66" t="s">
        <v>27</v>
      </c>
      <c r="D38" s="76"/>
      <c r="E38" s="77"/>
      <c r="F38" s="77"/>
      <c r="G38" s="77"/>
      <c r="H38" s="77"/>
      <c r="I38" s="78"/>
      <c r="Q38">
        <f>IF(COUNTA(D38) &gt;=1, 2, 5)</f>
        <v>5</v>
      </c>
    </row>
    <row r="39" spans="2:17" ht="36" customHeight="1">
      <c r="B39" s="65">
        <v>9</v>
      </c>
      <c r="C39" s="67" t="s">
        <v>28</v>
      </c>
    </row>
    <row r="40" spans="2:17" ht="12.75">
      <c r="B40" s="1"/>
      <c r="Q40">
        <f>IF(Q38&gt;0,AVERAGE(Q31:Q38),AVERAGE(Q31:Q37))</f>
        <v>3.875</v>
      </c>
    </row>
    <row r="41" spans="2:17" ht="12.75">
      <c r="B41" s="100" t="s">
        <v>1</v>
      </c>
      <c r="C41" s="101"/>
      <c r="D41" s="75" t="s">
        <v>79</v>
      </c>
      <c r="E41" s="105"/>
      <c r="F41" s="105"/>
      <c r="G41" s="106"/>
    </row>
    <row r="42" spans="2:17" ht="23.25">
      <c r="B42" s="3" t="s">
        <v>0</v>
      </c>
      <c r="C42" s="3" t="s">
        <v>13</v>
      </c>
      <c r="D42" s="3" t="s">
        <v>14</v>
      </c>
      <c r="E42" s="3" t="s">
        <v>15</v>
      </c>
      <c r="F42" s="3" t="s">
        <v>16</v>
      </c>
      <c r="G42" s="3" t="s">
        <v>17</v>
      </c>
      <c r="H42" s="3" t="s">
        <v>18</v>
      </c>
      <c r="I42" s="3" t="s">
        <v>5</v>
      </c>
    </row>
    <row r="43" spans="2:17" ht="12.75">
      <c r="B43" s="4">
        <v>1</v>
      </c>
      <c r="C43" s="58" t="s">
        <v>19</v>
      </c>
      <c r="D43" s="59"/>
      <c r="E43" s="59"/>
      <c r="F43" s="59" t="s">
        <v>20</v>
      </c>
      <c r="G43" s="59"/>
      <c r="H43" s="59"/>
      <c r="I43" s="59"/>
      <c r="Q43">
        <f>COUNTA(D43)*5 +COUNTA(E43)*4+COUNTA(F43)*3+COUNTA(G43)*2+COUNTA(H43)*1</f>
        <v>3</v>
      </c>
    </row>
    <row r="44" spans="2:17" ht="12.75">
      <c r="B44" s="4">
        <v>2</v>
      </c>
      <c r="C44" s="58" t="s">
        <v>21</v>
      </c>
      <c r="D44" s="59"/>
      <c r="E44" s="60" t="s">
        <v>20</v>
      </c>
      <c r="F44" s="59"/>
      <c r="G44" s="59"/>
      <c r="H44" s="59"/>
      <c r="I44" s="59"/>
      <c r="Q44">
        <f>COUNTA(D44)*5 +COUNTA(E44)*4+COUNTA(F44)*3+COUNTA(G44)*2+COUNTA(H44)*1</f>
        <v>4</v>
      </c>
    </row>
    <row r="45" spans="2:17" ht="12.75">
      <c r="B45" s="4">
        <v>3</v>
      </c>
      <c r="C45" s="58" t="s">
        <v>22</v>
      </c>
      <c r="D45" s="59"/>
      <c r="E45" s="59"/>
      <c r="F45" s="59" t="s">
        <v>20</v>
      </c>
      <c r="G45" s="59"/>
      <c r="H45" s="59"/>
      <c r="I45" s="59"/>
      <c r="Q45">
        <f>COUNTA(D45)*5 +COUNTA(E45)*4+COUNTA(F45)*3+COUNTA(G45)*2+COUNTA(H45)*1</f>
        <v>3</v>
      </c>
    </row>
    <row r="46" spans="2:17" ht="12.75">
      <c r="B46" s="4">
        <v>4</v>
      </c>
      <c r="C46" s="58" t="s">
        <v>23</v>
      </c>
      <c r="D46" s="59" t="s">
        <v>20</v>
      </c>
      <c r="E46" s="59"/>
      <c r="F46" s="59"/>
      <c r="G46" s="59"/>
      <c r="H46" s="59"/>
      <c r="I46" s="59"/>
      <c r="Q46">
        <f>COUNTA(D46)*5 +COUNTA(E46)*4+COUNTA(F46)*3+COUNTA(G46)*2+COUNTA(H46)*1</f>
        <v>5</v>
      </c>
    </row>
    <row r="47" spans="2:17" ht="12.75">
      <c r="B47" s="4">
        <v>5</v>
      </c>
      <c r="C47" s="58" t="s">
        <v>24</v>
      </c>
      <c r="D47" s="59"/>
      <c r="E47" s="59"/>
      <c r="F47" s="59" t="s">
        <v>20</v>
      </c>
      <c r="G47" s="59"/>
      <c r="H47" s="59"/>
      <c r="I47" s="59"/>
      <c r="Q47">
        <f>COUNTA(D47)*5 +COUNTA(E47)*4+COUNTA(F47)*3+COUNTA(G47)*2+COUNTA(H47)*1</f>
        <v>3</v>
      </c>
    </row>
    <row r="48" spans="2:17" ht="12.75">
      <c r="B48" s="4">
        <v>6</v>
      </c>
      <c r="C48" s="58" t="s">
        <v>25</v>
      </c>
      <c r="D48" s="59"/>
      <c r="E48" s="59" t="s">
        <v>20</v>
      </c>
      <c r="F48" s="59"/>
      <c r="G48" s="59"/>
      <c r="H48" s="59"/>
      <c r="I48" s="59"/>
      <c r="Q48">
        <f>COUNTA(D48)*5 +COUNTA(E48)*4+COUNTA(F48)*3+COUNTA(G48)*2+COUNTA(H48)*1</f>
        <v>4</v>
      </c>
    </row>
    <row r="49" spans="2:17" ht="12.75">
      <c r="B49" s="4">
        <v>7</v>
      </c>
      <c r="C49" s="61" t="s">
        <v>26</v>
      </c>
      <c r="D49" s="62"/>
      <c r="E49" s="62" t="s">
        <v>20</v>
      </c>
      <c r="F49" s="63"/>
      <c r="G49" s="63"/>
      <c r="H49" s="63"/>
      <c r="I49" s="63"/>
      <c r="Q49">
        <f>COUNTA(D49)*5 +COUNTA(E49)*4+COUNTA(F49)*3+COUNTA(G49)*2+COUNTA(H49)*1</f>
        <v>4</v>
      </c>
    </row>
    <row r="50" spans="2:17" ht="12.75">
      <c r="B50" s="4">
        <v>8</v>
      </c>
      <c r="C50" s="66" t="s">
        <v>27</v>
      </c>
      <c r="D50" s="76"/>
      <c r="E50" s="77"/>
      <c r="F50" s="77"/>
      <c r="G50" s="77"/>
      <c r="H50" s="77"/>
      <c r="I50" s="78"/>
      <c r="Q50">
        <f>IF(COUNTA(D50) &gt;=1, 2, 5)</f>
        <v>5</v>
      </c>
    </row>
    <row r="51" spans="2:17" ht="35.25" customHeight="1">
      <c r="B51" s="65">
        <v>9</v>
      </c>
      <c r="C51" s="67" t="s">
        <v>28</v>
      </c>
      <c r="D51" s="85"/>
      <c r="E51" s="86"/>
      <c r="F51" s="86"/>
      <c r="G51" s="86"/>
      <c r="H51" s="86"/>
      <c r="I51" s="87"/>
    </row>
    <row r="52" spans="2:17" ht="12.75">
      <c r="B52" s="1"/>
      <c r="Q52">
        <f>IF(Q50&gt;0,AVERAGE(Q43:Q50),AVERAGE(Q43:Q49))</f>
        <v>3.875</v>
      </c>
    </row>
    <row r="53" spans="2:17" ht="12.75">
      <c r="B53" s="100" t="s">
        <v>1</v>
      </c>
      <c r="C53" s="101"/>
      <c r="D53" s="75" t="s">
        <v>81</v>
      </c>
      <c r="E53" s="105"/>
      <c r="F53" s="105"/>
      <c r="G53" s="106"/>
    </row>
    <row r="54" spans="2:17" ht="23.25">
      <c r="B54" s="3" t="s">
        <v>0</v>
      </c>
      <c r="C54" s="3" t="s">
        <v>13</v>
      </c>
      <c r="D54" s="3" t="s">
        <v>14</v>
      </c>
      <c r="E54" s="3" t="s">
        <v>15</v>
      </c>
      <c r="F54" s="3" t="s">
        <v>16</v>
      </c>
      <c r="G54" s="3" t="s">
        <v>17</v>
      </c>
      <c r="H54" s="3" t="s">
        <v>18</v>
      </c>
      <c r="I54" s="3" t="s">
        <v>5</v>
      </c>
    </row>
    <row r="55" spans="2:17" ht="12.75">
      <c r="B55" s="4">
        <v>1</v>
      </c>
      <c r="C55" s="58" t="s">
        <v>19</v>
      </c>
      <c r="D55" s="59"/>
      <c r="E55" s="59"/>
      <c r="F55" s="59" t="s">
        <v>20</v>
      </c>
      <c r="G55" s="59"/>
      <c r="H55" s="59"/>
      <c r="I55" s="59"/>
      <c r="Q55">
        <f>COUNTA(D55)*5 +COUNTA(E55)*4+COUNTA(F55)*3+COUNTA(G55)*2+COUNTA(H55)*1</f>
        <v>3</v>
      </c>
    </row>
    <row r="56" spans="2:17" ht="12.75">
      <c r="B56" s="4">
        <v>2</v>
      </c>
      <c r="C56" s="58" t="s">
        <v>21</v>
      </c>
      <c r="D56" s="59"/>
      <c r="E56" s="60" t="s">
        <v>20</v>
      </c>
      <c r="F56" s="59"/>
      <c r="G56" s="59"/>
      <c r="H56" s="59"/>
      <c r="I56" s="59"/>
      <c r="Q56">
        <f>COUNTA(D56)*5 +COUNTA(E56)*4+COUNTA(F56)*3+COUNTA(G56)*2+COUNTA(H56)*1</f>
        <v>4</v>
      </c>
    </row>
    <row r="57" spans="2:17" ht="12.75">
      <c r="B57" s="4">
        <v>3</v>
      </c>
      <c r="C57" s="58" t="s">
        <v>22</v>
      </c>
      <c r="D57" s="59"/>
      <c r="E57" s="59"/>
      <c r="F57" s="59" t="s">
        <v>20</v>
      </c>
      <c r="G57" s="59"/>
      <c r="H57" s="59"/>
      <c r="I57" s="59"/>
      <c r="Q57">
        <f>COUNTA(D57)*5 +COUNTA(E57)*4+COUNTA(F57)*3+COUNTA(G57)*2+COUNTA(H57)*1</f>
        <v>3</v>
      </c>
    </row>
    <row r="58" spans="2:17" ht="12.75">
      <c r="B58" s="4">
        <v>4</v>
      </c>
      <c r="C58" s="58" t="s">
        <v>23</v>
      </c>
      <c r="D58" s="59" t="s">
        <v>20</v>
      </c>
      <c r="E58" s="59"/>
      <c r="F58" s="59"/>
      <c r="G58" s="59"/>
      <c r="H58" s="59"/>
      <c r="I58" s="59"/>
      <c r="Q58">
        <f>COUNTA(D58)*5 +COUNTA(E58)*4+COUNTA(F58)*3+COUNTA(G58)*2+COUNTA(H58)*1</f>
        <v>5</v>
      </c>
    </row>
    <row r="59" spans="2:17" ht="12.75">
      <c r="B59" s="4">
        <v>5</v>
      </c>
      <c r="C59" s="58" t="s">
        <v>24</v>
      </c>
      <c r="D59" s="59"/>
      <c r="E59" s="59"/>
      <c r="F59" s="59" t="s">
        <v>20</v>
      </c>
      <c r="G59" s="59"/>
      <c r="H59" s="59"/>
      <c r="I59" s="59"/>
      <c r="Q59">
        <f>COUNTA(D59)*5 +COUNTA(E59)*4+COUNTA(F59)*3+COUNTA(G59)*2+COUNTA(H59)*1</f>
        <v>3</v>
      </c>
    </row>
    <row r="60" spans="2:17" ht="12.75">
      <c r="B60" s="4">
        <v>6</v>
      </c>
      <c r="C60" s="58" t="s">
        <v>25</v>
      </c>
      <c r="D60" s="59"/>
      <c r="E60" s="59" t="s">
        <v>20</v>
      </c>
      <c r="F60" s="59"/>
      <c r="G60" s="59"/>
      <c r="H60" s="59"/>
      <c r="I60" s="59"/>
      <c r="Q60">
        <f>COUNTA(D60)*5 +COUNTA(E60)*4+COUNTA(F60)*3+COUNTA(G60)*2+COUNTA(H60)*1</f>
        <v>4</v>
      </c>
    </row>
    <row r="61" spans="2:17" ht="12.75">
      <c r="B61" s="4">
        <v>7</v>
      </c>
      <c r="C61" s="61" t="s">
        <v>26</v>
      </c>
      <c r="D61" s="62"/>
      <c r="E61" s="62" t="s">
        <v>20</v>
      </c>
      <c r="F61" s="63"/>
      <c r="G61" s="63"/>
      <c r="H61" s="63"/>
      <c r="I61" s="63"/>
      <c r="Q61">
        <f>COUNTA(D61)*5 +COUNTA(E61)*4+COUNTA(F61)*3+COUNTA(G61)*2+COUNTA(H61)*1</f>
        <v>4</v>
      </c>
    </row>
    <row r="62" spans="2:17" ht="12.75">
      <c r="B62" s="4">
        <v>8</v>
      </c>
      <c r="C62" s="66" t="s">
        <v>27</v>
      </c>
      <c r="D62" s="76"/>
      <c r="E62" s="77"/>
      <c r="F62" s="77"/>
      <c r="G62" s="77"/>
      <c r="H62" s="77"/>
      <c r="I62" s="78"/>
      <c r="Q62">
        <f>IF(COUNTA(D62) &gt;=1, 2, 5)</f>
        <v>5</v>
      </c>
    </row>
    <row r="63" spans="2:17" ht="12.75">
      <c r="B63" s="65">
        <v>9</v>
      </c>
      <c r="C63" s="67" t="s">
        <v>28</v>
      </c>
      <c r="D63" s="85"/>
      <c r="E63" s="86"/>
      <c r="F63" s="86"/>
      <c r="G63" s="86"/>
      <c r="H63" s="86"/>
      <c r="I63" s="87"/>
    </row>
    <row r="64" spans="2:17" ht="12.75">
      <c r="B64" s="1"/>
      <c r="Q64">
        <f>IF(Q62&gt;0,AVERAGE(Q55:Q62),AVERAGE(Q55:Q61))</f>
        <v>3.875</v>
      </c>
    </row>
    <row r="65" spans="2:17" ht="12.75">
      <c r="B65" s="100" t="s">
        <v>1</v>
      </c>
      <c r="C65" s="101"/>
      <c r="D65" s="75" t="s">
        <v>82</v>
      </c>
      <c r="E65" s="105"/>
      <c r="F65" s="105"/>
      <c r="G65" s="106"/>
    </row>
    <row r="66" spans="2:17" ht="23.25">
      <c r="B66" s="3" t="s">
        <v>0</v>
      </c>
      <c r="C66" s="3" t="s">
        <v>13</v>
      </c>
      <c r="D66" s="3" t="s">
        <v>14</v>
      </c>
      <c r="E66" s="3" t="s">
        <v>15</v>
      </c>
      <c r="F66" s="3" t="s">
        <v>16</v>
      </c>
      <c r="G66" s="3" t="s">
        <v>17</v>
      </c>
      <c r="H66" s="3" t="s">
        <v>18</v>
      </c>
      <c r="I66" s="3" t="s">
        <v>5</v>
      </c>
    </row>
    <row r="67" spans="2:17" ht="12.75">
      <c r="B67" s="4">
        <v>1</v>
      </c>
      <c r="C67" s="58" t="s">
        <v>19</v>
      </c>
      <c r="D67" s="59"/>
      <c r="E67" s="59"/>
      <c r="F67" s="59" t="s">
        <v>20</v>
      </c>
      <c r="G67" s="59"/>
      <c r="H67" s="59"/>
      <c r="I67" s="59"/>
      <c r="Q67">
        <f>COUNTA(D67)*5 +COUNTA(E67)*4+COUNTA(F67)*3+COUNTA(G67)*2+COUNTA(H67)*1</f>
        <v>3</v>
      </c>
    </row>
    <row r="68" spans="2:17" ht="12.75">
      <c r="B68" s="4">
        <v>2</v>
      </c>
      <c r="C68" s="58" t="s">
        <v>21</v>
      </c>
      <c r="D68" s="59"/>
      <c r="E68" s="60" t="s">
        <v>20</v>
      </c>
      <c r="F68" s="59"/>
      <c r="G68" s="59"/>
      <c r="H68" s="59"/>
      <c r="I68" s="59"/>
      <c r="Q68">
        <f>COUNTA(D68)*5 +COUNTA(E68)*4+COUNTA(F68)*3+COUNTA(G68)*2+COUNTA(H68)*1</f>
        <v>4</v>
      </c>
    </row>
    <row r="69" spans="2:17" ht="12.75">
      <c r="B69" s="4">
        <v>3</v>
      </c>
      <c r="C69" s="58" t="s">
        <v>22</v>
      </c>
      <c r="D69" s="59"/>
      <c r="E69" s="59"/>
      <c r="F69" s="59" t="s">
        <v>20</v>
      </c>
      <c r="G69" s="59"/>
      <c r="H69" s="59"/>
      <c r="I69" s="59"/>
      <c r="Q69">
        <f>COUNTA(D69)*5 +COUNTA(E69)*4+COUNTA(F69)*3+COUNTA(G69)*2+COUNTA(H69)*1</f>
        <v>3</v>
      </c>
    </row>
    <row r="70" spans="2:17" ht="12.75">
      <c r="B70" s="4">
        <v>4</v>
      </c>
      <c r="C70" s="58" t="s">
        <v>23</v>
      </c>
      <c r="D70" s="59" t="s">
        <v>20</v>
      </c>
      <c r="E70" s="59"/>
      <c r="F70" s="59"/>
      <c r="G70" s="59"/>
      <c r="H70" s="59"/>
      <c r="I70" s="59"/>
      <c r="Q70">
        <f>COUNTA(D70)*5 +COUNTA(E70)*4+COUNTA(F70)*3+COUNTA(G70)*2+COUNTA(H70)*1</f>
        <v>5</v>
      </c>
    </row>
    <row r="71" spans="2:17" ht="12.75">
      <c r="B71" s="4">
        <v>5</v>
      </c>
      <c r="C71" s="58" t="s">
        <v>24</v>
      </c>
      <c r="D71" s="59"/>
      <c r="E71" s="59"/>
      <c r="F71" s="59" t="s">
        <v>20</v>
      </c>
      <c r="G71" s="59"/>
      <c r="H71" s="59"/>
      <c r="I71" s="59"/>
      <c r="Q71">
        <f>COUNTA(D71)*5 +COUNTA(E71)*4+COUNTA(F71)*3+COUNTA(G71)*2+COUNTA(H71)*1</f>
        <v>3</v>
      </c>
    </row>
    <row r="72" spans="2:17" ht="12.75">
      <c r="B72" s="4">
        <v>6</v>
      </c>
      <c r="C72" s="58" t="s">
        <v>25</v>
      </c>
      <c r="D72" s="59"/>
      <c r="E72" s="59" t="s">
        <v>20</v>
      </c>
      <c r="F72" s="59"/>
      <c r="G72" s="59"/>
      <c r="H72" s="59"/>
      <c r="I72" s="59"/>
      <c r="Q72">
        <f>COUNTA(D72)*5 +COUNTA(E72)*4+COUNTA(F72)*3+COUNTA(G72)*2+COUNTA(H72)*1</f>
        <v>4</v>
      </c>
    </row>
    <row r="73" spans="2:17" ht="12.75">
      <c r="B73" s="4">
        <v>7</v>
      </c>
      <c r="C73" s="61" t="s">
        <v>26</v>
      </c>
      <c r="D73" s="62"/>
      <c r="E73" s="62" t="s">
        <v>20</v>
      </c>
      <c r="F73" s="63"/>
      <c r="G73" s="63"/>
      <c r="H73" s="63"/>
      <c r="I73" s="63"/>
      <c r="Q73">
        <f>COUNTA(D73)*5 +COUNTA(E73)*4+COUNTA(F73)*3+COUNTA(G73)*2+COUNTA(H73)*1</f>
        <v>4</v>
      </c>
    </row>
    <row r="74" spans="2:17" ht="12.75">
      <c r="B74" s="4">
        <v>8</v>
      </c>
      <c r="C74" s="66" t="s">
        <v>27</v>
      </c>
      <c r="D74" s="76"/>
      <c r="E74" s="77"/>
      <c r="F74" s="77"/>
      <c r="G74" s="77"/>
      <c r="H74" s="77"/>
      <c r="I74" s="78"/>
      <c r="Q74">
        <f>IF(COUNTA(D74) &gt;=1, 2, 5)</f>
        <v>5</v>
      </c>
    </row>
    <row r="75" spans="2:17" ht="35.25" customHeight="1">
      <c r="B75" s="65">
        <v>9</v>
      </c>
      <c r="C75" s="67" t="s">
        <v>28</v>
      </c>
      <c r="D75" s="85"/>
      <c r="E75" s="86"/>
      <c r="F75" s="86"/>
      <c r="G75" s="86"/>
      <c r="H75" s="86"/>
      <c r="I75" s="87"/>
    </row>
    <row r="76" spans="2:17" ht="12.75">
      <c r="B76" s="1"/>
      <c r="Q76">
        <f>IF(Q74&gt;0,AVERAGE(Q67:Q74),AVERAGE(Q67:Q73))</f>
        <v>3.875</v>
      </c>
    </row>
    <row r="77" spans="2:17" ht="12.75">
      <c r="B77" s="100" t="s">
        <v>1</v>
      </c>
      <c r="C77" s="101"/>
      <c r="D77" s="75" t="s">
        <v>83</v>
      </c>
      <c r="E77" s="105"/>
      <c r="F77" s="105"/>
      <c r="G77" s="106"/>
    </row>
    <row r="78" spans="2:17" ht="24">
      <c r="B78" s="3" t="s">
        <v>0</v>
      </c>
      <c r="C78" s="3" t="s">
        <v>13</v>
      </c>
      <c r="D78" s="3" t="s">
        <v>14</v>
      </c>
      <c r="E78" s="3" t="s">
        <v>15</v>
      </c>
      <c r="F78" s="3" t="s">
        <v>16</v>
      </c>
      <c r="G78" s="3" t="s">
        <v>17</v>
      </c>
      <c r="H78" s="3" t="s">
        <v>18</v>
      </c>
      <c r="I78" s="3" t="s">
        <v>5</v>
      </c>
    </row>
    <row r="79" spans="2:17" ht="12.75">
      <c r="B79" s="4">
        <v>1</v>
      </c>
      <c r="C79" s="58" t="s">
        <v>19</v>
      </c>
      <c r="D79" s="59"/>
      <c r="E79" s="59"/>
      <c r="F79" s="59" t="s">
        <v>20</v>
      </c>
      <c r="G79" s="59"/>
      <c r="H79" s="59"/>
      <c r="I79" s="59"/>
      <c r="Q79">
        <f>COUNTA(D79)*5 +COUNTA(E79)*4+COUNTA(F79)*3+COUNTA(G79)*2+COUNTA(H79)*1</f>
        <v>3</v>
      </c>
    </row>
    <row r="80" spans="2:17" ht="12.75">
      <c r="B80" s="4">
        <v>2</v>
      </c>
      <c r="C80" s="58" t="s">
        <v>21</v>
      </c>
      <c r="D80" s="59"/>
      <c r="E80" s="60" t="s">
        <v>20</v>
      </c>
      <c r="F80" s="59"/>
      <c r="G80" s="59"/>
      <c r="H80" s="59"/>
      <c r="I80" s="59"/>
      <c r="Q80">
        <f>COUNTA(D80)*5 +COUNTA(E80)*4+COUNTA(F80)*3+COUNTA(G80)*2+COUNTA(H80)*1</f>
        <v>4</v>
      </c>
    </row>
    <row r="81" spans="2:17" ht="12.75">
      <c r="B81" s="4">
        <v>3</v>
      </c>
      <c r="C81" s="58" t="s">
        <v>22</v>
      </c>
      <c r="D81" s="59"/>
      <c r="E81" s="59"/>
      <c r="F81" s="59" t="s">
        <v>20</v>
      </c>
      <c r="G81" s="59"/>
      <c r="H81" s="59"/>
      <c r="I81" s="59"/>
      <c r="Q81">
        <f>COUNTA(D81)*5 +COUNTA(E81)*4+COUNTA(F81)*3+COUNTA(G81)*2+COUNTA(H81)*1</f>
        <v>3</v>
      </c>
    </row>
    <row r="82" spans="2:17" ht="12.75">
      <c r="B82" s="4">
        <v>4</v>
      </c>
      <c r="C82" s="58" t="s">
        <v>23</v>
      </c>
      <c r="D82" s="59" t="s">
        <v>20</v>
      </c>
      <c r="E82" s="59"/>
      <c r="F82" s="59"/>
      <c r="G82" s="59"/>
      <c r="H82" s="59"/>
      <c r="I82" s="59"/>
      <c r="Q82">
        <f>COUNTA(D82)*5 +COUNTA(E82)*4+COUNTA(F82)*3+COUNTA(G82)*2+COUNTA(H82)*1</f>
        <v>5</v>
      </c>
    </row>
    <row r="83" spans="2:17" ht="12.75">
      <c r="B83" s="4">
        <v>5</v>
      </c>
      <c r="C83" s="58" t="s">
        <v>24</v>
      </c>
      <c r="D83" s="59"/>
      <c r="E83" s="59"/>
      <c r="F83" s="59" t="s">
        <v>20</v>
      </c>
      <c r="G83" s="59"/>
      <c r="H83" s="59"/>
      <c r="I83" s="59"/>
      <c r="Q83">
        <f>COUNTA(D83)*5 +COUNTA(E83)*4+COUNTA(F83)*3+COUNTA(G83)*2+COUNTA(H83)*1</f>
        <v>3</v>
      </c>
    </row>
    <row r="84" spans="2:17" ht="12.75">
      <c r="B84" s="4">
        <v>6</v>
      </c>
      <c r="C84" s="58" t="s">
        <v>25</v>
      </c>
      <c r="D84" s="59"/>
      <c r="E84" s="59" t="s">
        <v>20</v>
      </c>
      <c r="F84" s="59"/>
      <c r="G84" s="59"/>
      <c r="H84" s="59"/>
      <c r="I84" s="59"/>
      <c r="Q84">
        <f>COUNTA(D84)*5 +COUNTA(E84)*4+COUNTA(F84)*3+COUNTA(G84)*2+COUNTA(H84)*1</f>
        <v>4</v>
      </c>
    </row>
    <row r="85" spans="2:17" ht="12.75">
      <c r="B85" s="4">
        <v>7</v>
      </c>
      <c r="C85" s="61" t="s">
        <v>26</v>
      </c>
      <c r="D85" s="62"/>
      <c r="E85" s="62" t="s">
        <v>20</v>
      </c>
      <c r="F85" s="63"/>
      <c r="G85" s="63"/>
      <c r="H85" s="63"/>
      <c r="I85" s="63"/>
      <c r="Q85">
        <f>COUNTA(D85)*5 +COUNTA(E85)*4+COUNTA(F85)*3+COUNTA(G85)*2+COUNTA(H85)*1</f>
        <v>4</v>
      </c>
    </row>
    <row r="86" spans="2:17" ht="12.75">
      <c r="B86" s="4">
        <v>8</v>
      </c>
      <c r="C86" s="66" t="s">
        <v>27</v>
      </c>
      <c r="D86" s="76"/>
      <c r="E86" s="77"/>
      <c r="F86" s="77"/>
      <c r="G86" s="77"/>
      <c r="H86" s="77"/>
      <c r="I86" s="78"/>
      <c r="Q86">
        <f>IF(COUNTA(D86) &gt;=1, 2, 5)</f>
        <v>5</v>
      </c>
    </row>
    <row r="87" spans="2:17" ht="12.75">
      <c r="B87" s="65">
        <v>9</v>
      </c>
      <c r="C87" s="67" t="s">
        <v>28</v>
      </c>
      <c r="D87" s="85"/>
      <c r="E87" s="86"/>
      <c r="F87" s="86"/>
      <c r="G87" s="86"/>
      <c r="H87" s="86"/>
      <c r="I87" s="87"/>
    </row>
    <row r="88" spans="2:17" ht="12.75">
      <c r="B88" s="1"/>
      <c r="Q88">
        <f>IF(Q86&gt;0,AVERAGE(Q79:Q86),AVERAGE(Q79:Q85))</f>
        <v>3.875</v>
      </c>
    </row>
    <row r="89" spans="2:17" ht="12.75">
      <c r="B89" s="100" t="s">
        <v>1</v>
      </c>
      <c r="C89" s="101"/>
      <c r="D89" s="75" t="s">
        <v>84</v>
      </c>
      <c r="E89" s="105"/>
      <c r="F89" s="105"/>
      <c r="G89" s="106"/>
    </row>
    <row r="90" spans="2:17" ht="24">
      <c r="B90" s="3" t="s">
        <v>0</v>
      </c>
      <c r="C90" s="3" t="s">
        <v>13</v>
      </c>
      <c r="D90" s="3" t="s">
        <v>14</v>
      </c>
      <c r="E90" s="3" t="s">
        <v>15</v>
      </c>
      <c r="F90" s="3" t="s">
        <v>16</v>
      </c>
      <c r="G90" s="3" t="s">
        <v>17</v>
      </c>
      <c r="H90" s="3" t="s">
        <v>18</v>
      </c>
      <c r="I90" s="3" t="s">
        <v>5</v>
      </c>
    </row>
    <row r="91" spans="2:17" ht="12.75">
      <c r="B91" s="4">
        <v>1</v>
      </c>
      <c r="C91" s="58" t="s">
        <v>19</v>
      </c>
      <c r="D91" s="59"/>
      <c r="E91" s="59" t="s">
        <v>20</v>
      </c>
      <c r="F91" s="59"/>
      <c r="G91" s="59"/>
      <c r="H91" s="59"/>
      <c r="I91" s="59"/>
      <c r="Q91">
        <f>COUNTA(D91)*5 +COUNTA(E91)*4+COUNTA(F91)*3+COUNTA(G91)*2+COUNTA(H91)*1</f>
        <v>4</v>
      </c>
    </row>
    <row r="92" spans="2:17" ht="12.75">
      <c r="B92" s="4">
        <v>2</v>
      </c>
      <c r="C92" s="58" t="s">
        <v>21</v>
      </c>
      <c r="D92" s="59"/>
      <c r="E92" s="60" t="s">
        <v>20</v>
      </c>
      <c r="F92" s="59"/>
      <c r="G92" s="59"/>
      <c r="H92" s="59"/>
      <c r="I92" s="59"/>
      <c r="Q92">
        <f>COUNTA(D92)*5 +COUNTA(E92)*4+COUNTA(F92)*3+COUNTA(G92)*2+COUNTA(H92)*1</f>
        <v>4</v>
      </c>
    </row>
    <row r="93" spans="2:17" ht="12.75">
      <c r="B93" s="4">
        <v>3</v>
      </c>
      <c r="C93" s="58" t="s">
        <v>22</v>
      </c>
      <c r="D93" s="59"/>
      <c r="E93" s="59" t="s">
        <v>20</v>
      </c>
      <c r="F93" s="59"/>
      <c r="G93" s="59"/>
      <c r="H93" s="59"/>
      <c r="I93" s="59"/>
      <c r="Q93">
        <f>COUNTA(D93)*5 +COUNTA(E93)*4+COUNTA(F93)*3+COUNTA(G93)*2+COUNTA(H93)*1</f>
        <v>4</v>
      </c>
    </row>
    <row r="94" spans="2:17" ht="12.75">
      <c r="B94" s="4">
        <v>4</v>
      </c>
      <c r="C94" s="58" t="s">
        <v>23</v>
      </c>
      <c r="D94" s="59" t="s">
        <v>20</v>
      </c>
      <c r="E94" s="59"/>
      <c r="F94" s="59"/>
      <c r="G94" s="59"/>
      <c r="H94" s="59"/>
      <c r="I94" s="59"/>
      <c r="Q94">
        <f>COUNTA(D94)*5 +COUNTA(E94)*4+COUNTA(F94)*3+COUNTA(G94)*2+COUNTA(H94)*1</f>
        <v>5</v>
      </c>
    </row>
    <row r="95" spans="2:17" ht="12.75">
      <c r="B95" s="4">
        <v>5</v>
      </c>
      <c r="C95" s="58" t="s">
        <v>24</v>
      </c>
      <c r="D95" s="59"/>
      <c r="E95" s="59"/>
      <c r="F95" s="59" t="s">
        <v>20</v>
      </c>
      <c r="G95" s="59"/>
      <c r="H95" s="59"/>
      <c r="I95" s="59"/>
      <c r="Q95">
        <f>COUNTA(D95)*5 +COUNTA(E95)*4+COUNTA(F95)*3+COUNTA(G95)*2+COUNTA(H95)*1</f>
        <v>3</v>
      </c>
    </row>
    <row r="96" spans="2:17" ht="12.75">
      <c r="B96" s="4">
        <v>6</v>
      </c>
      <c r="C96" s="58" t="s">
        <v>25</v>
      </c>
      <c r="D96" s="59"/>
      <c r="E96" s="59" t="s">
        <v>20</v>
      </c>
      <c r="F96" s="59"/>
      <c r="G96" s="59"/>
      <c r="H96" s="59"/>
      <c r="I96" s="59"/>
      <c r="Q96">
        <f>COUNTA(D96)*5 +COUNTA(E96)*4+COUNTA(F96)*3+COUNTA(G96)*2+COUNTA(H96)*1</f>
        <v>4</v>
      </c>
    </row>
    <row r="97" spans="2:17" ht="12.75">
      <c r="B97" s="4">
        <v>7</v>
      </c>
      <c r="C97" s="61" t="s">
        <v>26</v>
      </c>
      <c r="D97" s="62"/>
      <c r="E97" s="62" t="s">
        <v>20</v>
      </c>
      <c r="F97" s="63"/>
      <c r="G97" s="63"/>
      <c r="H97" s="63"/>
      <c r="I97" s="63"/>
      <c r="Q97">
        <f>COUNTA(D97)*5 +COUNTA(E97)*4+COUNTA(F97)*3+COUNTA(G97)*2+COUNTA(H97)*1</f>
        <v>4</v>
      </c>
    </row>
    <row r="98" spans="2:17" ht="12.75">
      <c r="B98" s="4">
        <v>8</v>
      </c>
      <c r="C98" s="66" t="s">
        <v>27</v>
      </c>
      <c r="D98" s="76"/>
      <c r="E98" s="77"/>
      <c r="F98" s="77"/>
      <c r="G98" s="77"/>
      <c r="H98" s="77"/>
      <c r="I98" s="78"/>
      <c r="Q98">
        <f>IF(COUNTA(D98) &gt;=1, 2, 5)</f>
        <v>5</v>
      </c>
    </row>
    <row r="99" spans="2:17" ht="30" customHeight="1">
      <c r="B99" s="65">
        <v>9</v>
      </c>
      <c r="C99" s="67" t="s">
        <v>28</v>
      </c>
      <c r="D99" s="85" t="s">
        <v>88</v>
      </c>
      <c r="E99" s="86"/>
      <c r="F99" s="86"/>
      <c r="G99" s="86"/>
      <c r="H99" s="86"/>
      <c r="I99" s="87"/>
    </row>
    <row r="100" spans="2:17" ht="12.75">
      <c r="B100" s="1"/>
      <c r="Q100">
        <f>IF(Q98&gt;0,AVERAGE(Q91:Q98),AVERAGE(Q91:Q97))</f>
        <v>4.125</v>
      </c>
    </row>
    <row r="101" spans="2:17" ht="12.75">
      <c r="B101" s="1"/>
    </row>
    <row r="102" spans="2:17" ht="12.75">
      <c r="B102" s="1"/>
    </row>
    <row r="103" spans="2:17" ht="12.75">
      <c r="B103" s="1"/>
    </row>
    <row r="104" spans="2:17" ht="12.75">
      <c r="B104" s="1"/>
    </row>
    <row r="105" spans="2:17" ht="12.75">
      <c r="B105" s="1"/>
    </row>
    <row r="106" spans="2:17" ht="12.75">
      <c r="B106" s="1"/>
    </row>
    <row r="107" spans="2:17" ht="12.75">
      <c r="B107" s="1"/>
    </row>
    <row r="108" spans="2:17" ht="12.75">
      <c r="B108" s="1"/>
    </row>
    <row r="109" spans="2:17" ht="12.75">
      <c r="B109" s="1"/>
    </row>
    <row r="110" spans="2:17" ht="12.75">
      <c r="B110" s="1"/>
    </row>
    <row r="111" spans="2:17" ht="12.75">
      <c r="B111" s="1"/>
    </row>
    <row r="112" spans="2:17"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32">
    <mergeCell ref="B41:C41"/>
    <mergeCell ref="D41:G41"/>
    <mergeCell ref="D50:I50"/>
    <mergeCell ref="D51:I51"/>
    <mergeCell ref="L4:L5"/>
    <mergeCell ref="B5:C5"/>
    <mergeCell ref="D5:G5"/>
    <mergeCell ref="D14:I14"/>
    <mergeCell ref="D15:I15"/>
    <mergeCell ref="B17:C17"/>
    <mergeCell ref="D17:G17"/>
    <mergeCell ref="B29:C29"/>
    <mergeCell ref="D29:G29"/>
    <mergeCell ref="D38:I38"/>
    <mergeCell ref="D26:I26"/>
    <mergeCell ref="D27:I27"/>
    <mergeCell ref="B65:C65"/>
    <mergeCell ref="D65:G65"/>
    <mergeCell ref="D74:I74"/>
    <mergeCell ref="D75:I75"/>
    <mergeCell ref="B53:C53"/>
    <mergeCell ref="D53:G53"/>
    <mergeCell ref="D62:I62"/>
    <mergeCell ref="D63:I63"/>
    <mergeCell ref="B89:C89"/>
    <mergeCell ref="D89:G89"/>
    <mergeCell ref="D98:I98"/>
    <mergeCell ref="D99:I99"/>
    <mergeCell ref="B77:C77"/>
    <mergeCell ref="D77:G77"/>
    <mergeCell ref="D86:I86"/>
    <mergeCell ref="D87:I87"/>
  </mergeCells>
  <pageMargins left="0" right="0" top="0" bottom="0" header="0" footer="0"/>
  <pageSetup paperSize="8" fitToWidth="0" fitToHeight="0" orientation="portrait"/>
  <headerFooter>
    <oddFooter>&amp;R_x000D_&amp;1#&amp;"Calibri"&amp;8&amp;K000000 Cisco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732D0-8794-4186-A1C7-A889F1DF2FB3}">
  <sheetPr>
    <outlinePr summaryBelow="0" summaryRight="0"/>
  </sheetPr>
  <dimension ref="A1:Y956"/>
  <sheetViews>
    <sheetView showGridLines="0" topLeftCell="A72" zoomScale="90" zoomScaleNormal="90" workbookViewId="0">
      <selection activeCell="C91" sqref="C91"/>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s="39" t="s">
        <v>73</v>
      </c>
      <c r="D1" t="s">
        <v>89</v>
      </c>
    </row>
    <row r="2" spans="1:25" s="39" customFormat="1" ht="12.75" customHeight="1">
      <c r="B2" s="40"/>
      <c r="C2" s="39" t="s">
        <v>44</v>
      </c>
      <c r="D2" s="39" t="s">
        <v>90</v>
      </c>
    </row>
    <row r="3" spans="1:25" ht="12.75">
      <c r="B3" s="1"/>
      <c r="C3" s="39" t="s">
        <v>91</v>
      </c>
    </row>
    <row r="4" spans="1:25" ht="12.75">
      <c r="B4" s="1"/>
      <c r="L4" s="82" t="s">
        <v>45</v>
      </c>
    </row>
    <row r="5" spans="1:25" ht="12.75">
      <c r="B5" s="100" t="s">
        <v>1</v>
      </c>
      <c r="C5" s="101"/>
      <c r="D5" s="75" t="s">
        <v>58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Q7">
        <f>COUNTA(D7)*5 +COUNTA(E7)*4+COUNTA(F7)*3+COUNTA(G7)*2+COUNTA(H7)*1</f>
        <v>5</v>
      </c>
    </row>
    <row r="8" spans="1:25" ht="12.75">
      <c r="B8" s="4">
        <v>2</v>
      </c>
      <c r="C8" s="58" t="s">
        <v>21</v>
      </c>
      <c r="D8" s="59" t="s">
        <v>59</v>
      </c>
      <c r="E8" s="60"/>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t="s">
        <v>59</v>
      </c>
      <c r="E11" s="59"/>
      <c r="F11" s="59"/>
      <c r="G11" s="59"/>
      <c r="H11" s="59"/>
      <c r="I11" s="59"/>
      <c r="J11" s="7"/>
      <c r="Q11">
        <f t="shared" si="0"/>
        <v>5</v>
      </c>
    </row>
    <row r="12" spans="1:25" ht="12.75">
      <c r="B12" s="4">
        <v>6</v>
      </c>
      <c r="C12" s="58" t="s">
        <v>25</v>
      </c>
      <c r="D12" s="59" t="s">
        <v>59</v>
      </c>
      <c r="E12" s="59"/>
      <c r="F12" s="59"/>
      <c r="G12" s="59"/>
      <c r="H12" s="59"/>
      <c r="I12" s="59"/>
      <c r="J12" s="7"/>
      <c r="Q12">
        <f t="shared" si="0"/>
        <v>5</v>
      </c>
    </row>
    <row r="13" spans="1:25" ht="12.75">
      <c r="B13" s="4">
        <v>7</v>
      </c>
      <c r="C13" s="61" t="s">
        <v>26</v>
      </c>
      <c r="D13" s="59" t="s">
        <v>59</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1:25" ht="15" customHeight="1">
      <c r="B17" s="100" t="s">
        <v>1</v>
      </c>
      <c r="C17" s="101"/>
      <c r="D17" s="75" t="s">
        <v>92</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59</v>
      </c>
      <c r="E19" s="59"/>
      <c r="F19" s="59"/>
      <c r="G19" s="59"/>
      <c r="H19" s="59"/>
      <c r="I19" s="59"/>
      <c r="Q19">
        <f>COUNTA(D19)*5 +COUNTA(E19)*4+COUNTA(F19)*3+COUNTA(G19)*2+COUNTA(H19)*1</f>
        <v>5</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t="s">
        <v>59</v>
      </c>
      <c r="E23" s="59"/>
      <c r="F23" s="59"/>
      <c r="G23" s="59"/>
      <c r="H23" s="59"/>
      <c r="I23" s="59"/>
      <c r="J23" s="7"/>
      <c r="Q23">
        <f t="shared" si="1"/>
        <v>5</v>
      </c>
    </row>
    <row r="24" spans="1:25" ht="12.75">
      <c r="B24" s="4">
        <v>6</v>
      </c>
      <c r="C24" s="58" t="s">
        <v>25</v>
      </c>
      <c r="D24" s="59" t="s">
        <v>59</v>
      </c>
      <c r="E24" s="59"/>
      <c r="F24" s="59"/>
      <c r="G24" s="59"/>
      <c r="H24" s="59"/>
      <c r="I24" s="59"/>
      <c r="J24" s="7"/>
      <c r="Q24">
        <f t="shared" si="1"/>
        <v>5</v>
      </c>
    </row>
    <row r="25" spans="1:25" ht="12.75">
      <c r="B25" s="4">
        <v>7</v>
      </c>
      <c r="C25" s="61" t="s">
        <v>26</v>
      </c>
      <c r="D25" s="59" t="s">
        <v>59</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5</v>
      </c>
    </row>
    <row r="29" spans="1:25" ht="20.25">
      <c r="B29" s="100" t="s">
        <v>1</v>
      </c>
      <c r="C29" s="101"/>
      <c r="D29" s="75" t="s">
        <v>93</v>
      </c>
      <c r="E29" s="105"/>
      <c r="F29" s="105"/>
      <c r="G29" s="106"/>
      <c r="L29" s="57"/>
    </row>
    <row r="30" spans="1:25" ht="23.25">
      <c r="A30" s="2"/>
      <c r="B30" s="3" t="s">
        <v>0</v>
      </c>
      <c r="C30" s="3" t="s">
        <v>13</v>
      </c>
      <c r="D30" s="3" t="s">
        <v>14</v>
      </c>
      <c r="E30" s="3" t="s">
        <v>15</v>
      </c>
      <c r="F30" s="3" t="s">
        <v>16</v>
      </c>
      <c r="G30" s="3" t="s">
        <v>17</v>
      </c>
      <c r="H30" s="3" t="s">
        <v>18</v>
      </c>
      <c r="I30" s="3" t="s">
        <v>5</v>
      </c>
      <c r="J30" s="2"/>
      <c r="K30" s="2"/>
      <c r="L30" s="2"/>
      <c r="M30" s="2"/>
      <c r="N30" s="2"/>
      <c r="O30" s="2"/>
      <c r="P30" s="2"/>
      <c r="Q30" s="2"/>
      <c r="R30" s="2"/>
      <c r="S30" s="2"/>
      <c r="T30" s="2"/>
      <c r="U30" s="2"/>
      <c r="V30" s="2"/>
      <c r="W30" s="2"/>
      <c r="X30" s="2"/>
      <c r="Y30" s="2"/>
    </row>
    <row r="31" spans="1:25" ht="12.75">
      <c r="B31" s="4">
        <v>1</v>
      </c>
      <c r="C31" s="58" t="s">
        <v>19</v>
      </c>
      <c r="D31" s="59" t="s">
        <v>59</v>
      </c>
      <c r="E31" s="59"/>
      <c r="F31" s="59"/>
      <c r="G31" s="59"/>
      <c r="H31" s="59"/>
      <c r="I31" s="59"/>
      <c r="Q31">
        <f>COUNTA(D31)*5 +COUNTA(E31)*4+COUNTA(F31)*3+COUNTA(G31)*2+COUNTA(H31)*1</f>
        <v>5</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t="s">
        <v>59</v>
      </c>
      <c r="E35" s="59"/>
      <c r="F35" s="59"/>
      <c r="G35" s="59"/>
      <c r="H35" s="59"/>
      <c r="I35" s="59"/>
      <c r="J35" s="7"/>
      <c r="Q35">
        <f t="shared" si="2"/>
        <v>5</v>
      </c>
    </row>
    <row r="36" spans="2:17" ht="12.75">
      <c r="B36" s="4">
        <v>6</v>
      </c>
      <c r="C36" s="58" t="s">
        <v>25</v>
      </c>
      <c r="D36" s="59" t="s">
        <v>59</v>
      </c>
      <c r="E36" s="59"/>
      <c r="F36" s="59"/>
      <c r="G36" s="59"/>
      <c r="H36" s="59"/>
      <c r="I36" s="59"/>
      <c r="J36" s="7"/>
      <c r="Q36">
        <f t="shared" si="2"/>
        <v>5</v>
      </c>
    </row>
    <row r="37" spans="2:17" ht="12.75">
      <c r="B37" s="4">
        <v>7</v>
      </c>
      <c r="C37" s="61" t="s">
        <v>26</v>
      </c>
      <c r="D37" s="59" t="s">
        <v>59</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5</v>
      </c>
    </row>
    <row r="41" spans="2:17" ht="20.25">
      <c r="B41" s="100" t="s">
        <v>1</v>
      </c>
      <c r="C41" s="101"/>
      <c r="D41" s="75" t="s">
        <v>94</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59</v>
      </c>
      <c r="E43" s="59"/>
      <c r="F43" s="59"/>
      <c r="G43" s="59"/>
      <c r="H43" s="59"/>
      <c r="I43" s="59"/>
      <c r="Q43">
        <f>COUNTA(D43)*5 +COUNTA(E43)*4+COUNTA(F43)*3+COUNTA(G43)*2+COUNTA(H43)*1</f>
        <v>5</v>
      </c>
    </row>
    <row r="44" spans="2:17" ht="12.75">
      <c r="B44" s="4">
        <v>2</v>
      </c>
      <c r="C44" s="58" t="s">
        <v>21</v>
      </c>
      <c r="D44" s="59" t="s">
        <v>59</v>
      </c>
      <c r="E44" s="60"/>
      <c r="F44" s="59"/>
      <c r="G44" s="59"/>
      <c r="H44" s="59"/>
      <c r="I44" s="59"/>
      <c r="Q44">
        <f t="shared" ref="Q44:Q50" si="3">COUNTA(D44)*5 +COUNTA(E44)*4+COUNTA(F44)*3+COUNTA(G44)*2+COUNTA(H44)*1</f>
        <v>5</v>
      </c>
    </row>
    <row r="45" spans="2:17" ht="12.75">
      <c r="B45" s="4">
        <v>3</v>
      </c>
      <c r="C45" s="58" t="s">
        <v>22</v>
      </c>
      <c r="D45" s="59" t="s">
        <v>59</v>
      </c>
      <c r="E45" s="59"/>
      <c r="F45" s="59"/>
      <c r="G45" s="59"/>
      <c r="H45" s="59"/>
      <c r="I45" s="59"/>
      <c r="Q45">
        <f t="shared" si="3"/>
        <v>5</v>
      </c>
    </row>
    <row r="46" spans="2:17" ht="12.75">
      <c r="B46" s="4">
        <v>4</v>
      </c>
      <c r="C46" s="58" t="s">
        <v>23</v>
      </c>
      <c r="D46" s="59" t="s">
        <v>59</v>
      </c>
      <c r="E46" s="59"/>
      <c r="F46" s="59"/>
      <c r="G46" s="59"/>
      <c r="H46" s="59"/>
      <c r="I46" s="59"/>
      <c r="J46" s="7"/>
      <c r="Q46">
        <f t="shared" si="3"/>
        <v>5</v>
      </c>
    </row>
    <row r="47" spans="2:17" ht="12.75">
      <c r="B47" s="4">
        <v>5</v>
      </c>
      <c r="C47" s="58" t="s">
        <v>24</v>
      </c>
      <c r="D47" s="59" t="s">
        <v>59</v>
      </c>
      <c r="E47" s="59"/>
      <c r="F47" s="59"/>
      <c r="G47" s="59"/>
      <c r="H47" s="59"/>
      <c r="I47" s="59"/>
      <c r="J47" s="7"/>
      <c r="Q47">
        <f t="shared" si="3"/>
        <v>5</v>
      </c>
    </row>
    <row r="48" spans="2:17" ht="12.75">
      <c r="B48" s="4">
        <v>6</v>
      </c>
      <c r="C48" s="58" t="s">
        <v>25</v>
      </c>
      <c r="D48" s="59" t="s">
        <v>59</v>
      </c>
      <c r="E48" s="59"/>
      <c r="F48" s="59"/>
      <c r="G48" s="59"/>
      <c r="H48" s="59"/>
      <c r="I48" s="59"/>
      <c r="J48" s="7"/>
      <c r="Q48">
        <f t="shared" si="3"/>
        <v>5</v>
      </c>
    </row>
    <row r="49" spans="2:17" ht="12.75">
      <c r="B49" s="4">
        <v>7</v>
      </c>
      <c r="C49" s="61" t="s">
        <v>26</v>
      </c>
      <c r="D49" s="59" t="s">
        <v>59</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c r="Q52">
        <f>IF(Q50&gt;0,AVERAGE(Q43:Q50),AVERAGE(Q43:Q49))</f>
        <v>5</v>
      </c>
    </row>
    <row r="53" spans="2:17" ht="20.25">
      <c r="B53" s="100" t="s">
        <v>1</v>
      </c>
      <c r="C53" s="101"/>
      <c r="D53" s="75" t="s">
        <v>62</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59</v>
      </c>
      <c r="E55" s="59"/>
      <c r="F55" s="59"/>
      <c r="G55" s="59"/>
      <c r="H55" s="59"/>
      <c r="I55" s="59"/>
      <c r="Q55">
        <f>COUNTA(D55)*5 +COUNTA(E55)*4+COUNTA(F55)*3+COUNTA(G55)*2+COUNTA(H55)*1</f>
        <v>5</v>
      </c>
    </row>
    <row r="56" spans="2:17" ht="12.75">
      <c r="B56" s="4">
        <v>2</v>
      </c>
      <c r="C56" s="58" t="s">
        <v>21</v>
      </c>
      <c r="D56" s="59" t="s">
        <v>59</v>
      </c>
      <c r="E56" s="60"/>
      <c r="F56" s="59"/>
      <c r="G56" s="59"/>
      <c r="H56" s="59"/>
      <c r="I56" s="59"/>
      <c r="Q56">
        <f t="shared" ref="Q56:Q62" si="4">COUNTA(D56)*5 +COUNTA(E56)*4+COUNTA(F56)*3+COUNTA(G56)*2+COUNTA(H56)*1</f>
        <v>5</v>
      </c>
    </row>
    <row r="57" spans="2:17" ht="12.75">
      <c r="B57" s="4">
        <v>3</v>
      </c>
      <c r="C57" s="58" t="s">
        <v>22</v>
      </c>
      <c r="D57" s="59" t="s">
        <v>59</v>
      </c>
      <c r="E57" s="59"/>
      <c r="F57" s="59"/>
      <c r="G57" s="59"/>
      <c r="H57" s="59"/>
      <c r="I57" s="59"/>
      <c r="Q57">
        <f t="shared" si="4"/>
        <v>5</v>
      </c>
    </row>
    <row r="58" spans="2:17" ht="12.75">
      <c r="B58" s="4">
        <v>4</v>
      </c>
      <c r="C58" s="58" t="s">
        <v>23</v>
      </c>
      <c r="D58" s="59" t="s">
        <v>59</v>
      </c>
      <c r="E58" s="59"/>
      <c r="F58" s="59"/>
      <c r="G58" s="59"/>
      <c r="H58" s="59"/>
      <c r="I58" s="59"/>
      <c r="J58" s="7"/>
      <c r="Q58">
        <f t="shared" si="4"/>
        <v>5</v>
      </c>
    </row>
    <row r="59" spans="2:17" ht="12.75">
      <c r="B59" s="4">
        <v>5</v>
      </c>
      <c r="C59" s="58" t="s">
        <v>24</v>
      </c>
      <c r="D59" s="59" t="s">
        <v>59</v>
      </c>
      <c r="E59" s="59"/>
      <c r="F59" s="59"/>
      <c r="G59" s="59"/>
      <c r="H59" s="59"/>
      <c r="I59" s="59"/>
      <c r="J59" s="7"/>
      <c r="Q59">
        <f t="shared" si="4"/>
        <v>5</v>
      </c>
    </row>
    <row r="60" spans="2:17" ht="12.75">
      <c r="B60" s="4">
        <v>6</v>
      </c>
      <c r="C60" s="58" t="s">
        <v>25</v>
      </c>
      <c r="D60" s="59" t="s">
        <v>59</v>
      </c>
      <c r="E60" s="59"/>
      <c r="F60" s="59"/>
      <c r="G60" s="59"/>
      <c r="H60" s="59"/>
      <c r="I60" s="59"/>
      <c r="J60" s="7"/>
      <c r="Q60">
        <f t="shared" si="4"/>
        <v>5</v>
      </c>
    </row>
    <row r="61" spans="2:17" ht="12.75">
      <c r="B61" s="4">
        <v>7</v>
      </c>
      <c r="C61" s="61" t="s">
        <v>26</v>
      </c>
      <c r="D61" s="59" t="s">
        <v>59</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5</v>
      </c>
    </row>
    <row r="65" spans="2:17" ht="20.25">
      <c r="B65" s="100" t="s">
        <v>1</v>
      </c>
      <c r="C65" s="101"/>
      <c r="D65" s="75" t="s">
        <v>95</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59</v>
      </c>
      <c r="E67" s="59"/>
      <c r="F67" s="59"/>
      <c r="G67" s="59"/>
      <c r="H67" s="59"/>
      <c r="I67" s="59"/>
      <c r="Q67">
        <f>COUNTA(D67)*5 +COUNTA(E67)*4+COUNTA(F67)*3+COUNTA(G67)*2+COUNTA(H67)*1</f>
        <v>5</v>
      </c>
    </row>
    <row r="68" spans="2:17" ht="12.75">
      <c r="B68" s="4">
        <v>2</v>
      </c>
      <c r="C68" s="58" t="s">
        <v>21</v>
      </c>
      <c r="D68" s="59" t="s">
        <v>59</v>
      </c>
      <c r="E68" s="60"/>
      <c r="F68" s="59"/>
      <c r="G68" s="59"/>
      <c r="H68" s="59"/>
      <c r="I68" s="59"/>
      <c r="Q68">
        <f t="shared" ref="Q68:Q74" si="5">COUNTA(D68)*5 +COUNTA(E68)*4+COUNTA(F68)*3+COUNTA(G68)*2+COUNTA(H68)*1</f>
        <v>5</v>
      </c>
    </row>
    <row r="69" spans="2:17" ht="12.75">
      <c r="B69" s="4">
        <v>3</v>
      </c>
      <c r="C69" s="58" t="s">
        <v>22</v>
      </c>
      <c r="D69" s="59" t="s">
        <v>59</v>
      </c>
      <c r="E69" s="59"/>
      <c r="F69" s="59"/>
      <c r="G69" s="59"/>
      <c r="H69" s="59"/>
      <c r="I69" s="59"/>
      <c r="Q69">
        <f t="shared" si="5"/>
        <v>5</v>
      </c>
    </row>
    <row r="70" spans="2:17" ht="12.75">
      <c r="B70" s="4">
        <v>4</v>
      </c>
      <c r="C70" s="58" t="s">
        <v>23</v>
      </c>
      <c r="D70" s="59" t="s">
        <v>59</v>
      </c>
      <c r="E70" s="59"/>
      <c r="F70" s="59"/>
      <c r="G70" s="59"/>
      <c r="H70" s="59"/>
      <c r="I70" s="59"/>
      <c r="J70" s="7"/>
      <c r="Q70">
        <f t="shared" si="5"/>
        <v>5</v>
      </c>
    </row>
    <row r="71" spans="2:17" ht="12.75">
      <c r="B71" s="4">
        <v>5</v>
      </c>
      <c r="C71" s="58" t="s">
        <v>24</v>
      </c>
      <c r="D71" s="59" t="s">
        <v>59</v>
      </c>
      <c r="E71" s="59"/>
      <c r="F71" s="59"/>
      <c r="G71" s="59"/>
      <c r="H71" s="59"/>
      <c r="I71" s="59"/>
      <c r="J71" s="7"/>
      <c r="Q71">
        <f t="shared" si="5"/>
        <v>5</v>
      </c>
    </row>
    <row r="72" spans="2:17" ht="12.75">
      <c r="B72" s="4">
        <v>6</v>
      </c>
      <c r="C72" s="58" t="s">
        <v>25</v>
      </c>
      <c r="D72" s="59" t="s">
        <v>59</v>
      </c>
      <c r="E72" s="59"/>
      <c r="F72" s="59"/>
      <c r="G72" s="59"/>
      <c r="H72" s="59"/>
      <c r="I72" s="59"/>
      <c r="J72" s="7"/>
      <c r="Q72">
        <f t="shared" si="5"/>
        <v>5</v>
      </c>
    </row>
    <row r="73" spans="2:17" ht="12.75">
      <c r="B73" s="4">
        <v>7</v>
      </c>
      <c r="C73" s="61" t="s">
        <v>26</v>
      </c>
      <c r="D73" s="59" t="s">
        <v>59</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5</v>
      </c>
    </row>
    <row r="77" spans="2:17" ht="20.25">
      <c r="B77" s="100" t="s">
        <v>1</v>
      </c>
      <c r="C77" s="101"/>
      <c r="D77" s="75" t="s">
        <v>63</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59</v>
      </c>
      <c r="E79" s="59"/>
      <c r="F79" s="59"/>
      <c r="G79" s="59"/>
      <c r="H79" s="59"/>
      <c r="I79" s="59"/>
      <c r="Q79">
        <f>COUNTA(D79)*5 +COUNTA(E79)*4+COUNTA(F79)*3+COUNTA(G79)*2+COUNTA(H79)*1</f>
        <v>5</v>
      </c>
    </row>
    <row r="80" spans="2:17" ht="12.75">
      <c r="B80" s="4">
        <v>2</v>
      </c>
      <c r="C80" s="58" t="s">
        <v>21</v>
      </c>
      <c r="D80" s="59" t="s">
        <v>59</v>
      </c>
      <c r="E80" s="60"/>
      <c r="F80" s="59"/>
      <c r="G80" s="59"/>
      <c r="H80" s="59"/>
      <c r="I80" s="59"/>
      <c r="Q80">
        <f t="shared" ref="Q80:Q86" si="6">COUNTA(D80)*5 +COUNTA(E80)*4+COUNTA(F80)*3+COUNTA(G80)*2+COUNTA(H80)*1</f>
        <v>5</v>
      </c>
    </row>
    <row r="81" spans="2:17" ht="12.75">
      <c r="B81" s="4">
        <v>3</v>
      </c>
      <c r="C81" s="58" t="s">
        <v>22</v>
      </c>
      <c r="D81" s="59" t="s">
        <v>59</v>
      </c>
      <c r="E81" s="59"/>
      <c r="F81" s="59"/>
      <c r="G81" s="59"/>
      <c r="H81" s="59"/>
      <c r="I81" s="59"/>
      <c r="Q81">
        <f t="shared" si="6"/>
        <v>5</v>
      </c>
    </row>
    <row r="82" spans="2:17" ht="12.75">
      <c r="B82" s="4">
        <v>4</v>
      </c>
      <c r="C82" s="58" t="s">
        <v>23</v>
      </c>
      <c r="D82" s="59" t="s">
        <v>59</v>
      </c>
      <c r="E82" s="59"/>
      <c r="F82" s="59"/>
      <c r="G82" s="59"/>
      <c r="H82" s="59"/>
      <c r="I82" s="59"/>
      <c r="J82" s="7"/>
      <c r="Q82">
        <f t="shared" si="6"/>
        <v>5</v>
      </c>
    </row>
    <row r="83" spans="2:17" ht="12.75">
      <c r="B83" s="4">
        <v>5</v>
      </c>
      <c r="C83" s="58" t="s">
        <v>24</v>
      </c>
      <c r="D83" s="59" t="s">
        <v>59</v>
      </c>
      <c r="E83" s="59"/>
      <c r="F83" s="59"/>
      <c r="G83" s="59"/>
      <c r="H83" s="59"/>
      <c r="I83" s="59"/>
      <c r="J83" s="7"/>
      <c r="Q83">
        <f t="shared" si="6"/>
        <v>5</v>
      </c>
    </row>
    <row r="84" spans="2:17" ht="12.75">
      <c r="B84" s="4">
        <v>6</v>
      </c>
      <c r="C84" s="58" t="s">
        <v>25</v>
      </c>
      <c r="D84" s="59" t="s">
        <v>59</v>
      </c>
      <c r="E84" s="59"/>
      <c r="F84" s="59"/>
      <c r="G84" s="59"/>
      <c r="H84" s="59"/>
      <c r="I84" s="59"/>
      <c r="J84" s="7"/>
      <c r="Q84">
        <f t="shared" si="6"/>
        <v>5</v>
      </c>
    </row>
    <row r="85" spans="2:17" ht="12.75">
      <c r="B85" s="4">
        <v>7</v>
      </c>
      <c r="C85" s="61" t="s">
        <v>26</v>
      </c>
      <c r="D85" s="59" t="s">
        <v>59</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5</v>
      </c>
    </row>
    <row r="89" spans="2:17" ht="20.25">
      <c r="B89" s="100" t="s">
        <v>1</v>
      </c>
      <c r="C89" s="101"/>
      <c r="D89" s="75" t="s">
        <v>96</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59</v>
      </c>
      <c r="E91" s="59"/>
      <c r="F91" s="59"/>
      <c r="G91" s="59"/>
      <c r="H91" s="59"/>
      <c r="I91" s="59"/>
      <c r="Q91">
        <f>COUNTA(D91)*5 +COUNTA(E91)*4+COUNTA(F91)*3+COUNTA(G91)*2+COUNTA(H91)*1</f>
        <v>5</v>
      </c>
    </row>
    <row r="92" spans="2:17" ht="12.75">
      <c r="B92" s="4">
        <v>2</v>
      </c>
      <c r="C92" s="58" t="s">
        <v>21</v>
      </c>
      <c r="D92" s="59" t="s">
        <v>59</v>
      </c>
      <c r="E92" s="60"/>
      <c r="F92" s="59"/>
      <c r="G92" s="59"/>
      <c r="H92" s="59"/>
      <c r="I92" s="59"/>
      <c r="Q92">
        <f t="shared" ref="Q92:Q98" si="7">COUNTA(D92)*5 +COUNTA(E92)*4+COUNTA(F92)*3+COUNTA(G92)*2+COUNTA(H92)*1</f>
        <v>5</v>
      </c>
    </row>
    <row r="93" spans="2:17" ht="12.75">
      <c r="B93" s="4">
        <v>3</v>
      </c>
      <c r="C93" s="58" t="s">
        <v>22</v>
      </c>
      <c r="D93" s="59" t="s">
        <v>59</v>
      </c>
      <c r="E93" s="59"/>
      <c r="F93" s="59"/>
      <c r="G93" s="59"/>
      <c r="H93" s="59"/>
      <c r="I93" s="59"/>
      <c r="Q93">
        <f t="shared" si="7"/>
        <v>5</v>
      </c>
    </row>
    <row r="94" spans="2:17" ht="12.75">
      <c r="B94" s="4">
        <v>4</v>
      </c>
      <c r="C94" s="58" t="s">
        <v>23</v>
      </c>
      <c r="D94" s="59" t="s">
        <v>59</v>
      </c>
      <c r="E94" s="59"/>
      <c r="F94" s="59"/>
      <c r="G94" s="59"/>
      <c r="H94" s="59"/>
      <c r="I94" s="59"/>
      <c r="J94" s="7"/>
      <c r="Q94">
        <f t="shared" si="7"/>
        <v>5</v>
      </c>
    </row>
    <row r="95" spans="2:17" ht="12.75">
      <c r="B95" s="4">
        <v>5</v>
      </c>
      <c r="C95" s="58" t="s">
        <v>24</v>
      </c>
      <c r="D95" s="59" t="s">
        <v>59</v>
      </c>
      <c r="E95" s="59"/>
      <c r="F95" s="59"/>
      <c r="G95" s="59"/>
      <c r="H95" s="59"/>
      <c r="I95" s="59"/>
      <c r="J95" s="7"/>
      <c r="Q95">
        <f t="shared" si="7"/>
        <v>5</v>
      </c>
    </row>
    <row r="96" spans="2:17" ht="12.75">
      <c r="B96" s="4">
        <v>6</v>
      </c>
      <c r="C96" s="58" t="s">
        <v>25</v>
      </c>
      <c r="D96" s="59" t="s">
        <v>59</v>
      </c>
      <c r="E96" s="59"/>
      <c r="F96" s="59"/>
      <c r="G96" s="59"/>
      <c r="H96" s="59"/>
      <c r="I96" s="59"/>
      <c r="J96" s="7"/>
      <c r="Q96">
        <f t="shared" si="7"/>
        <v>5</v>
      </c>
    </row>
    <row r="97" spans="2:17" ht="12.75">
      <c r="B97" s="4">
        <v>7</v>
      </c>
      <c r="C97" s="61" t="s">
        <v>26</v>
      </c>
      <c r="D97" s="59" t="s">
        <v>59</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5</v>
      </c>
    </row>
    <row r="101" spans="2:17" ht="12.75">
      <c r="B101" s="1"/>
    </row>
    <row r="102" spans="2:17" ht="12.75">
      <c r="B102" s="1"/>
    </row>
    <row r="103" spans="2:17" ht="12.75">
      <c r="B103" s="1"/>
    </row>
    <row r="104" spans="2:17" ht="12.75">
      <c r="B104" s="1"/>
    </row>
    <row r="105" spans="2:17" ht="12.75">
      <c r="B105" s="1"/>
    </row>
    <row r="106" spans="2:17" ht="12.75">
      <c r="B106" s="1"/>
    </row>
    <row r="107" spans="2:17" ht="12.75">
      <c r="B107" s="1"/>
    </row>
    <row r="108" spans="2:17" ht="12.75">
      <c r="B108" s="1"/>
    </row>
    <row r="109" spans="2:17" ht="12.75">
      <c r="B109" s="1"/>
    </row>
    <row r="110" spans="2:17" ht="12.75">
      <c r="B110" s="1"/>
    </row>
    <row r="111" spans="2:17" ht="12.75">
      <c r="B111" s="1"/>
    </row>
    <row r="112" spans="2:17"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sheetData>
  <mergeCells count="33">
    <mergeCell ref="B89:C89"/>
    <mergeCell ref="D89:G89"/>
    <mergeCell ref="D98:I98"/>
    <mergeCell ref="D99:I99"/>
    <mergeCell ref="B77:C77"/>
    <mergeCell ref="D77:G77"/>
    <mergeCell ref="D86:I86"/>
    <mergeCell ref="D87:I87"/>
    <mergeCell ref="B65:C65"/>
    <mergeCell ref="D65:G65"/>
    <mergeCell ref="D74:I74"/>
    <mergeCell ref="D75:I75"/>
    <mergeCell ref="B17:C17"/>
    <mergeCell ref="D17:G17"/>
    <mergeCell ref="B53:C53"/>
    <mergeCell ref="D53:G53"/>
    <mergeCell ref="D62:I62"/>
    <mergeCell ref="D63:I63"/>
    <mergeCell ref="D26:I26"/>
    <mergeCell ref="D27:I27"/>
    <mergeCell ref="B41:C41"/>
    <mergeCell ref="D41:G41"/>
    <mergeCell ref="D50:I50"/>
    <mergeCell ref="D51:I51"/>
    <mergeCell ref="B29:C29"/>
    <mergeCell ref="D29:G29"/>
    <mergeCell ref="D38:I38"/>
    <mergeCell ref="D39:I39"/>
    <mergeCell ref="L4:L5"/>
    <mergeCell ref="B5:C5"/>
    <mergeCell ref="D5:G5"/>
    <mergeCell ref="D14:I14"/>
    <mergeCell ref="D15:I15"/>
  </mergeCells>
  <pageMargins left="0" right="0" top="0" bottom="0" header="0" footer="0"/>
  <pageSetup paperSize="8" fitToWidth="0" fitToHeight="0" orientation="landscape"/>
  <headerFooter>
    <oddFooter>&amp;R_x000D_&amp;1#&amp;"Calibri"&amp;8&amp;K000000 Cisco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D2E6-EC29-4DE9-9A35-26F5B0889613}">
  <sheetPr>
    <outlinePr summaryBelow="0" summaryRight="0"/>
  </sheetPr>
  <dimension ref="A1:Y886"/>
  <sheetViews>
    <sheetView showGridLines="0" zoomScale="90" zoomScaleNormal="90" workbookViewId="0">
      <selection activeCell="D7" sqref="D7:D13"/>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c r="C2" s="39" t="s">
        <v>44</v>
      </c>
      <c r="D2" s="39" t="s">
        <v>97</v>
      </c>
    </row>
    <row r="3" spans="1:25" ht="12.75">
      <c r="B3" s="1"/>
    </row>
    <row r="4" spans="1:25" ht="12.75">
      <c r="B4" s="1"/>
      <c r="L4" s="82" t="s">
        <v>45</v>
      </c>
    </row>
    <row r="5" spans="1:25" ht="12.75">
      <c r="B5" s="100" t="s">
        <v>1</v>
      </c>
      <c r="C5" s="101"/>
      <c r="D5" s="75">
        <v>46043</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c r="F7" s="59"/>
      <c r="G7" s="59"/>
      <c r="H7" s="59"/>
      <c r="I7" s="59"/>
      <c r="Q7">
        <f t="shared" ref="Q7:Q14" si="0">COUNTA(D7)*5 +COUNTA(E7)*4+COUNTA(F7)*3+COUNTA(G7)*2+COUNTA(H7)*1</f>
        <v>0</v>
      </c>
    </row>
    <row r="8" spans="1:25" ht="12.75">
      <c r="B8" s="4">
        <v>2</v>
      </c>
      <c r="C8" s="58" t="s">
        <v>21</v>
      </c>
      <c r="D8" s="59"/>
      <c r="E8" s="60"/>
      <c r="F8" s="59"/>
      <c r="G8" s="59"/>
      <c r="H8" s="59"/>
      <c r="I8" s="59"/>
      <c r="Q8">
        <f t="shared" si="0"/>
        <v>0</v>
      </c>
    </row>
    <row r="9" spans="1:25" ht="12.75">
      <c r="B9" s="4">
        <v>3</v>
      </c>
      <c r="C9" s="58" t="s">
        <v>22</v>
      </c>
      <c r="D9" s="59"/>
      <c r="E9" s="59"/>
      <c r="F9" s="59"/>
      <c r="G9" s="59"/>
      <c r="H9" s="59"/>
      <c r="I9" s="59"/>
      <c r="Q9">
        <f t="shared" si="0"/>
        <v>0</v>
      </c>
    </row>
    <row r="10" spans="1:25" ht="12.75">
      <c r="B10" s="4">
        <v>4</v>
      </c>
      <c r="C10" s="58" t="s">
        <v>23</v>
      </c>
      <c r="D10" s="59"/>
      <c r="E10" s="59"/>
      <c r="F10" s="59"/>
      <c r="G10" s="59"/>
      <c r="H10" s="59"/>
      <c r="I10" s="59"/>
      <c r="J10" s="7"/>
      <c r="Q10">
        <f t="shared" si="0"/>
        <v>0</v>
      </c>
    </row>
    <row r="11" spans="1:25" ht="12.75">
      <c r="B11" s="4">
        <v>5</v>
      </c>
      <c r="C11" s="58" t="s">
        <v>24</v>
      </c>
      <c r="D11" s="59"/>
      <c r="E11" s="59"/>
      <c r="F11" s="59"/>
      <c r="G11" s="59"/>
      <c r="H11" s="59"/>
      <c r="I11" s="59"/>
      <c r="J11" s="7"/>
      <c r="Q11">
        <f t="shared" si="0"/>
        <v>0</v>
      </c>
    </row>
    <row r="12" spans="1:25" ht="12.75">
      <c r="B12" s="4">
        <v>6</v>
      </c>
      <c r="C12" s="58" t="s">
        <v>25</v>
      </c>
      <c r="D12" s="59"/>
      <c r="E12" s="59"/>
      <c r="F12" s="59"/>
      <c r="G12" s="59"/>
      <c r="H12" s="59"/>
      <c r="I12" s="59"/>
      <c r="J12" s="7"/>
      <c r="Q12">
        <f t="shared" si="0"/>
        <v>0</v>
      </c>
    </row>
    <row r="13" spans="1:25" ht="12.75">
      <c r="B13" s="4">
        <v>7</v>
      </c>
      <c r="C13" s="61" t="s">
        <v>26</v>
      </c>
      <c r="D13" s="59"/>
      <c r="E13" s="62"/>
      <c r="F13" s="63"/>
      <c r="G13" s="63"/>
      <c r="H13" s="63"/>
      <c r="I13" s="63"/>
      <c r="J13" s="7"/>
      <c r="Q13">
        <f t="shared" si="0"/>
        <v>0</v>
      </c>
    </row>
    <row r="14" spans="1:25" ht="12.75">
      <c r="B14" s="4">
        <v>8</v>
      </c>
      <c r="C14" s="66" t="s">
        <v>27</v>
      </c>
      <c r="D14" s="76"/>
      <c r="E14" s="77"/>
      <c r="F14" s="77"/>
      <c r="G14" s="77"/>
      <c r="H14" s="77"/>
      <c r="I14" s="78"/>
      <c r="J14" s="7"/>
      <c r="Q14">
        <f>IF(COUNTA(D14) &gt;=1, 2, 5)</f>
        <v>5</v>
      </c>
    </row>
    <row r="15" spans="1:25" ht="30.75" customHeight="1">
      <c r="B15" s="65">
        <v>9</v>
      </c>
      <c r="C15" s="67" t="s">
        <v>46</v>
      </c>
      <c r="D15" s="81"/>
      <c r="E15" s="104"/>
      <c r="F15" s="104"/>
      <c r="G15" s="104"/>
      <c r="H15" s="104"/>
      <c r="I15" s="104"/>
      <c r="J15" s="7"/>
    </row>
    <row r="16" spans="1:25" ht="13.5" customHeight="1">
      <c r="B16" s="64"/>
      <c r="C16" s="22"/>
      <c r="D16" s="68"/>
      <c r="E16" s="69"/>
      <c r="F16" s="69"/>
      <c r="G16" s="69"/>
      <c r="H16" s="23"/>
      <c r="I16" s="23"/>
      <c r="J16" s="7"/>
      <c r="Q16">
        <f>IF(Q14&gt;0,AVERAGE(Q7:Q14),AVERAGE(Q7:Q13))</f>
        <v>0.625</v>
      </c>
    </row>
    <row r="17" spans="2:17" ht="12.75">
      <c r="B17" s="64"/>
      <c r="C17" s="22"/>
      <c r="D17" s="68"/>
      <c r="E17" s="69"/>
      <c r="F17" s="69"/>
      <c r="G17" s="69"/>
      <c r="H17" s="23"/>
      <c r="I17" s="23"/>
      <c r="J17" s="7"/>
      <c r="Q17" t="e">
        <f>IF(#REF!&gt;0,AVERAGE(#REF!),AVERAGE(#REF!))</f>
        <v>#REF!</v>
      </c>
    </row>
    <row r="18" spans="2:17" ht="12.75">
      <c r="B18" s="1"/>
    </row>
    <row r="19" spans="2:17" ht="12.75">
      <c r="B19" s="1"/>
    </row>
    <row r="20" spans="2:17" ht="12.75">
      <c r="B20" s="1"/>
    </row>
    <row r="21" spans="2:17" ht="12.75">
      <c r="B21" s="1"/>
    </row>
    <row r="22" spans="2:17" ht="12.75">
      <c r="B22" s="1"/>
    </row>
    <row r="23" spans="2:17" ht="12.75">
      <c r="B23" s="1"/>
    </row>
    <row r="24" spans="2:17" ht="12.75">
      <c r="B24" s="1"/>
    </row>
    <row r="25" spans="2:17" ht="12.75">
      <c r="B25" s="1"/>
    </row>
    <row r="26" spans="2:17" ht="12.75">
      <c r="B26" s="1"/>
    </row>
    <row r="27" spans="2:17" ht="12.75">
      <c r="B27" s="1"/>
    </row>
    <row r="28" spans="2:17" ht="12.75">
      <c r="B28" s="1"/>
    </row>
    <row r="29" spans="2:17" ht="12.75">
      <c r="B29" s="1"/>
    </row>
    <row r="30" spans="2:17" ht="12.75">
      <c r="B30" s="1"/>
    </row>
    <row r="31" spans="2:17" ht="12.75">
      <c r="B31" s="1"/>
    </row>
    <row r="32" spans="2:17" ht="12.75">
      <c r="B32" s="1"/>
    </row>
    <row r="33" spans="2:2" ht="12.75">
      <c r="B33" s="1"/>
    </row>
    <row r="34" spans="2:2" ht="12.75">
      <c r="B34" s="1"/>
    </row>
    <row r="35" spans="2:2" ht="12.75">
      <c r="B35" s="1"/>
    </row>
    <row r="36" spans="2:2" ht="12.75">
      <c r="B36" s="1"/>
    </row>
    <row r="37" spans="2:2" ht="12.75">
      <c r="B37" s="1"/>
    </row>
    <row r="38" spans="2:2" ht="12.75">
      <c r="B38" s="1"/>
    </row>
    <row r="39" spans="2:2" ht="12.75">
      <c r="B39" s="1"/>
    </row>
    <row r="40" spans="2:2" ht="12.75">
      <c r="B40" s="1"/>
    </row>
    <row r="41" spans="2:2" ht="12.75">
      <c r="B41" s="1"/>
    </row>
    <row r="42" spans="2:2" ht="12.75">
      <c r="B42" s="1"/>
    </row>
    <row r="43" spans="2:2" ht="12.75">
      <c r="B43" s="1"/>
    </row>
    <row r="44" spans="2:2" ht="12.75">
      <c r="B44" s="1"/>
    </row>
    <row r="45" spans="2:2" ht="12.75">
      <c r="B45" s="1"/>
    </row>
    <row r="46" spans="2:2" ht="12.75">
      <c r="B46" s="1"/>
    </row>
    <row r="47" spans="2:2" ht="12.75">
      <c r="B47" s="1"/>
    </row>
    <row r="48" spans="2:2" ht="12.75">
      <c r="B48" s="1"/>
    </row>
    <row r="49" spans="2:2" ht="12.75">
      <c r="B49" s="1"/>
    </row>
    <row r="50" spans="2:2" ht="12.75">
      <c r="B50" s="1"/>
    </row>
    <row r="51" spans="2:2" ht="12.75">
      <c r="B51" s="1"/>
    </row>
    <row r="52" spans="2:2" ht="12.75">
      <c r="B52" s="1"/>
    </row>
    <row r="53" spans="2:2" ht="12.75">
      <c r="B53" s="1"/>
    </row>
    <row r="54" spans="2:2" ht="12.75">
      <c r="B54" s="1"/>
    </row>
    <row r="55" spans="2:2" ht="12.75">
      <c r="B55" s="1"/>
    </row>
    <row r="56" spans="2:2" ht="12.75">
      <c r="B56" s="1"/>
    </row>
    <row r="57" spans="2:2" ht="12.75">
      <c r="B57" s="1"/>
    </row>
    <row r="58" spans="2:2" ht="12.75">
      <c r="B58" s="1"/>
    </row>
    <row r="59" spans="2:2" ht="12.75">
      <c r="B59" s="1"/>
    </row>
    <row r="60" spans="2:2" ht="12.75">
      <c r="B60" s="1"/>
    </row>
    <row r="61" spans="2:2" ht="12.75">
      <c r="B61" s="1"/>
    </row>
    <row r="62" spans="2:2" ht="12.75">
      <c r="B62" s="1"/>
    </row>
    <row r="63" spans="2:2" ht="12.75">
      <c r="B63" s="1"/>
    </row>
    <row r="64" spans="2:2" ht="12.75">
      <c r="B64" s="1"/>
    </row>
    <row r="65" spans="2:2" ht="12.75">
      <c r="B65" s="1"/>
    </row>
    <row r="66" spans="2:2" ht="12.75">
      <c r="B66" s="1"/>
    </row>
    <row r="67" spans="2:2" ht="12.75">
      <c r="B67" s="1"/>
    </row>
    <row r="68" spans="2:2" ht="12.75">
      <c r="B68" s="1"/>
    </row>
    <row r="69" spans="2:2" ht="12.75">
      <c r="B69" s="1"/>
    </row>
    <row r="70" spans="2:2" ht="12.75">
      <c r="B70" s="1"/>
    </row>
    <row r="71" spans="2:2" ht="12.75">
      <c r="B71" s="1"/>
    </row>
    <row r="72" spans="2:2" ht="12.75">
      <c r="B72" s="1"/>
    </row>
    <row r="73" spans="2:2" ht="12.75">
      <c r="B73" s="1"/>
    </row>
    <row r="74" spans="2:2" ht="12.75">
      <c r="B74" s="1"/>
    </row>
    <row r="75" spans="2:2" ht="12.75">
      <c r="B75" s="1"/>
    </row>
    <row r="76" spans="2:2" ht="12.75">
      <c r="B76" s="1"/>
    </row>
    <row r="77" spans="2:2" ht="12.75">
      <c r="B77" s="1"/>
    </row>
    <row r="78" spans="2:2" ht="12.75">
      <c r="B78" s="1"/>
    </row>
    <row r="79" spans="2:2" ht="12.75">
      <c r="B79" s="1"/>
    </row>
    <row r="80" spans="2:2" ht="12.75">
      <c r="B80" s="1"/>
    </row>
    <row r="81" spans="2:2" ht="12.75">
      <c r="B81" s="1"/>
    </row>
    <row r="82" spans="2:2" ht="12.75">
      <c r="B82" s="1"/>
    </row>
    <row r="83" spans="2:2" ht="12.75">
      <c r="B83" s="1"/>
    </row>
    <row r="84" spans="2:2" ht="12.75">
      <c r="B84" s="1"/>
    </row>
    <row r="85" spans="2:2" ht="12.75">
      <c r="B85" s="1"/>
    </row>
    <row r="86" spans="2:2" ht="12.75">
      <c r="B86" s="1"/>
    </row>
    <row r="87" spans="2:2" ht="12.75">
      <c r="B87" s="1"/>
    </row>
    <row r="88" spans="2:2" ht="12.75">
      <c r="B88" s="1"/>
    </row>
    <row r="89" spans="2:2" ht="12.75">
      <c r="B89" s="1"/>
    </row>
    <row r="90" spans="2:2" ht="12.75">
      <c r="B90" s="1"/>
    </row>
    <row r="91" spans="2:2" ht="12.75">
      <c r="B91" s="1"/>
    </row>
    <row r="92" spans="2:2" ht="12.75">
      <c r="B92" s="1"/>
    </row>
    <row r="93" spans="2:2" ht="12.75">
      <c r="B93" s="1"/>
    </row>
    <row r="94" spans="2:2" ht="12.75">
      <c r="B94" s="1"/>
    </row>
    <row r="95" spans="2:2" ht="12.75">
      <c r="B95" s="1"/>
    </row>
    <row r="96" spans="2:2" ht="12.75">
      <c r="B96" s="1"/>
    </row>
    <row r="97" spans="2:2" ht="12.75">
      <c r="B97" s="1"/>
    </row>
    <row r="98" spans="2:2" ht="12.75">
      <c r="B98" s="1"/>
    </row>
    <row r="99" spans="2:2" ht="12.75">
      <c r="B99" s="1"/>
    </row>
    <row r="100" spans="2:2" ht="12.75">
      <c r="B100" s="1"/>
    </row>
    <row r="101" spans="2:2" ht="12.75">
      <c r="B101" s="1"/>
    </row>
    <row r="102" spans="2:2" ht="12.75">
      <c r="B102" s="1"/>
    </row>
    <row r="103" spans="2:2" ht="12.75">
      <c r="B103" s="1"/>
    </row>
    <row r="104" spans="2:2" ht="12.75">
      <c r="B104" s="1"/>
    </row>
    <row r="105" spans="2:2" ht="12.75">
      <c r="B105" s="1"/>
    </row>
    <row r="106" spans="2:2" ht="12.75">
      <c r="B106" s="1"/>
    </row>
    <row r="107" spans="2:2" ht="12.75">
      <c r="B107" s="1"/>
    </row>
    <row r="108" spans="2:2" ht="12.75">
      <c r="B108" s="1"/>
    </row>
    <row r="109" spans="2:2" ht="12.75">
      <c r="B109" s="1"/>
    </row>
    <row r="110" spans="2:2" ht="12.75">
      <c r="B110" s="1"/>
    </row>
    <row r="111" spans="2:2" ht="12.75">
      <c r="B111" s="1"/>
    </row>
    <row r="112" spans="2:2"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sheetData>
  <mergeCells count="5">
    <mergeCell ref="L4:L5"/>
    <mergeCell ref="B5:C5"/>
    <mergeCell ref="D5:G5"/>
    <mergeCell ref="D14:I14"/>
    <mergeCell ref="D15:I15"/>
  </mergeCells>
  <pageMargins left="0" right="0" top="0" bottom="0" header="0" footer="0"/>
  <pageSetup paperSize="8" fitToWidth="0" fitToHeight="0" orientation="landscape"/>
  <headerFooter>
    <oddFooter>&amp;R_x000D_&amp;1#&amp;"Calibri"&amp;8&amp;K000000 Cisco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15D8-121E-4F46-960F-ABC1C8A872A8}">
  <sheetPr>
    <outlinePr summaryBelow="0" summaryRight="0"/>
  </sheetPr>
  <dimension ref="A1:Y897"/>
  <sheetViews>
    <sheetView showGridLines="0" tabSelected="1" topLeftCell="A30" zoomScale="90" zoomScaleNormal="90" workbookViewId="0">
      <selection activeCell="D51" sqref="D51:I51"/>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c r="C2" s="39" t="s">
        <v>44</v>
      </c>
      <c r="D2" s="39" t="s">
        <v>98</v>
      </c>
    </row>
    <row r="3" spans="1:25" ht="12.75">
      <c r="B3" s="1"/>
    </row>
    <row r="4" spans="1:25" ht="12.75">
      <c r="B4" s="1"/>
      <c r="L4" s="82" t="s">
        <v>45</v>
      </c>
    </row>
    <row r="5" spans="1:25" ht="12.75">
      <c r="B5" s="100" t="s">
        <v>1</v>
      </c>
      <c r="C5" s="101"/>
      <c r="D5" s="75">
        <v>45904</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L7">
        <f>COUNTA(D7)*5 +COUNTA(E7)*4+COUNTA(F7)*3+COUNTA(G7)*2+COUNTA(H7)*1</f>
        <v>5</v>
      </c>
    </row>
    <row r="8" spans="1:25" ht="12.75">
      <c r="B8" s="4">
        <v>2</v>
      </c>
      <c r="C8" s="58" t="s">
        <v>21</v>
      </c>
      <c r="D8" s="59" t="s">
        <v>59</v>
      </c>
      <c r="E8" s="60"/>
      <c r="F8" s="59"/>
      <c r="G8" s="59"/>
      <c r="H8" s="59"/>
      <c r="I8" s="59"/>
      <c r="L8">
        <f>COUNTA(D8)*5 +COUNTA(E8)*4+COUNTA(F8)*3+COUNTA(G8)*2+COUNTA(H8)*1</f>
        <v>5</v>
      </c>
    </row>
    <row r="9" spans="1:25" ht="12.75">
      <c r="B9" s="4">
        <v>3</v>
      </c>
      <c r="C9" s="58" t="s">
        <v>22</v>
      </c>
      <c r="D9" s="59" t="s">
        <v>59</v>
      </c>
      <c r="E9" s="59"/>
      <c r="F9" s="59"/>
      <c r="G9" s="59"/>
      <c r="H9" s="59"/>
      <c r="I9" s="59"/>
      <c r="L9">
        <f>COUNTA(D9)*5 +COUNTA(E9)*4+COUNTA(F9)*3+COUNTA(G9)*2+COUNTA(H9)*1</f>
        <v>5</v>
      </c>
    </row>
    <row r="10" spans="1:25" ht="12.75">
      <c r="B10" s="4">
        <v>4</v>
      </c>
      <c r="C10" s="58" t="s">
        <v>23</v>
      </c>
      <c r="D10" s="59" t="s">
        <v>59</v>
      </c>
      <c r="E10" s="59"/>
      <c r="F10" s="59"/>
      <c r="G10" s="59"/>
      <c r="H10" s="59"/>
      <c r="I10" s="59"/>
      <c r="J10" s="7"/>
      <c r="L10">
        <f>COUNTA(D10)*5 +COUNTA(E10)*4+COUNTA(F10)*3+COUNTA(G10)*2+COUNTA(H10)*1</f>
        <v>5</v>
      </c>
    </row>
    <row r="11" spans="1:25" ht="12.75">
      <c r="B11" s="4">
        <v>5</v>
      </c>
      <c r="C11" s="58" t="s">
        <v>24</v>
      </c>
      <c r="D11" s="59" t="s">
        <v>59</v>
      </c>
      <c r="E11" s="59"/>
      <c r="F11" s="59"/>
      <c r="G11" s="59"/>
      <c r="H11" s="59"/>
      <c r="I11" s="59"/>
      <c r="J11" s="7"/>
      <c r="L11">
        <f>COUNTA(D11)*5 +COUNTA(E11)*4+COUNTA(F11)*3+COUNTA(G11)*2+COUNTA(H11)*1</f>
        <v>5</v>
      </c>
    </row>
    <row r="12" spans="1:25" ht="12.75">
      <c r="B12" s="4">
        <v>6</v>
      </c>
      <c r="C12" s="58" t="s">
        <v>25</v>
      </c>
      <c r="D12" s="59" t="s">
        <v>59</v>
      </c>
      <c r="E12" s="59"/>
      <c r="F12" s="59"/>
      <c r="G12" s="59"/>
      <c r="H12" s="59"/>
      <c r="I12" s="59"/>
      <c r="J12" s="7"/>
      <c r="L12">
        <f>COUNTA(D12)*5 +COUNTA(E12)*4+COUNTA(F12)*3+COUNTA(G12)*2+COUNTA(H12)*1</f>
        <v>5</v>
      </c>
    </row>
    <row r="13" spans="1:25" ht="12.75">
      <c r="B13" s="4">
        <v>7</v>
      </c>
      <c r="C13" s="61" t="s">
        <v>26</v>
      </c>
      <c r="D13" s="59" t="s">
        <v>59</v>
      </c>
      <c r="E13" s="62"/>
      <c r="F13" s="63"/>
      <c r="G13" s="63"/>
      <c r="H13" s="63"/>
      <c r="I13" s="63"/>
      <c r="J13" s="7"/>
      <c r="L13">
        <f>COUNTA(D13)*5 +COUNTA(E13)*4+COUNTA(F13)*3+COUNTA(G13)*2+COUNTA(H13)*1</f>
        <v>5</v>
      </c>
    </row>
    <row r="14" spans="1:25" ht="12.75">
      <c r="B14" s="4">
        <v>8</v>
      </c>
      <c r="C14" s="66" t="s">
        <v>27</v>
      </c>
      <c r="D14" s="76"/>
      <c r="E14" s="77"/>
      <c r="F14" s="77"/>
      <c r="G14" s="77"/>
      <c r="H14" s="77"/>
      <c r="I14" s="78"/>
      <c r="J14" s="7"/>
      <c r="L14">
        <f>IF(COUNTA(D14) &gt;=1, 2, 5)</f>
        <v>5</v>
      </c>
    </row>
    <row r="15" spans="1:25" ht="30.75" customHeight="1">
      <c r="B15" s="65">
        <v>9</v>
      </c>
      <c r="C15" s="67" t="s">
        <v>46</v>
      </c>
      <c r="D15" s="81"/>
      <c r="E15" s="104"/>
      <c r="F15" s="104"/>
      <c r="G15" s="104"/>
      <c r="H15" s="104"/>
      <c r="I15" s="104"/>
      <c r="J15" s="7"/>
    </row>
    <row r="16" spans="1:25" ht="13.5" customHeight="1">
      <c r="B16" s="64"/>
      <c r="C16" s="22"/>
      <c r="D16" s="68"/>
      <c r="E16" s="69"/>
      <c r="F16" s="69"/>
      <c r="G16" s="69"/>
      <c r="H16" s="23"/>
      <c r="I16" s="23"/>
      <c r="J16" s="7"/>
      <c r="L16">
        <f>IF(L14&gt;0,AVERAGE(L7:L14),AVERAGE(L7:L13))</f>
        <v>5</v>
      </c>
    </row>
    <row r="17" spans="2:17" ht="20.25">
      <c r="B17" s="100" t="s">
        <v>1</v>
      </c>
      <c r="C17" s="101"/>
      <c r="D17" s="75" t="s">
        <v>99</v>
      </c>
      <c r="E17" s="105"/>
      <c r="F17" s="105"/>
      <c r="G17" s="106"/>
      <c r="L17" s="57"/>
    </row>
    <row r="18" spans="2:17" ht="24">
      <c r="B18" s="3" t="s">
        <v>0</v>
      </c>
      <c r="C18" s="3" t="s">
        <v>13</v>
      </c>
      <c r="D18" s="3" t="s">
        <v>14</v>
      </c>
      <c r="E18" s="3" t="s">
        <v>15</v>
      </c>
      <c r="F18" s="3" t="s">
        <v>16</v>
      </c>
      <c r="G18" s="3" t="s">
        <v>17</v>
      </c>
      <c r="H18" s="3" t="s">
        <v>18</v>
      </c>
      <c r="I18" s="3" t="s">
        <v>5</v>
      </c>
      <c r="J18" s="2"/>
      <c r="K18" s="2"/>
      <c r="L18" s="2"/>
      <c r="M18" s="2"/>
      <c r="N18" s="2"/>
      <c r="O18" s="2"/>
      <c r="P18" s="2"/>
      <c r="Q18" s="2"/>
    </row>
    <row r="19" spans="2:17" ht="12.75">
      <c r="B19" s="4">
        <v>1</v>
      </c>
      <c r="C19" s="58" t="s">
        <v>19</v>
      </c>
      <c r="D19" s="59" t="s">
        <v>59</v>
      </c>
      <c r="E19" s="59"/>
      <c r="F19" s="59"/>
      <c r="G19" s="59"/>
      <c r="H19" s="59"/>
      <c r="I19" s="59"/>
      <c r="L19">
        <f>COUNTA(D19)*5 +COUNTA(E19)*4+COUNTA(F19)*3+COUNTA(G19)*2+COUNTA(H19)*1</f>
        <v>5</v>
      </c>
    </row>
    <row r="20" spans="2:17" ht="12.75">
      <c r="B20" s="4">
        <v>2</v>
      </c>
      <c r="C20" s="58" t="s">
        <v>21</v>
      </c>
      <c r="D20" s="59" t="s">
        <v>59</v>
      </c>
      <c r="E20" s="60"/>
      <c r="F20" s="59"/>
      <c r="G20" s="59"/>
      <c r="H20" s="59"/>
      <c r="I20" s="59"/>
      <c r="L20">
        <f>COUNTA(D20)*5 +COUNTA(E20)*4+COUNTA(F20)*3+COUNTA(G20)*2+COUNTA(H20)*1</f>
        <v>5</v>
      </c>
    </row>
    <row r="21" spans="2:17" ht="12.75">
      <c r="B21" s="4">
        <v>3</v>
      </c>
      <c r="C21" s="58" t="s">
        <v>22</v>
      </c>
      <c r="D21" s="59" t="s">
        <v>59</v>
      </c>
      <c r="E21" s="59"/>
      <c r="F21" s="59"/>
      <c r="G21" s="59"/>
      <c r="H21" s="59"/>
      <c r="I21" s="59"/>
      <c r="L21">
        <f>COUNTA(D21)*5 +COUNTA(E21)*4+COUNTA(F21)*3+COUNTA(G21)*2+COUNTA(H21)*1</f>
        <v>5</v>
      </c>
    </row>
    <row r="22" spans="2:17" ht="12.75">
      <c r="B22" s="4">
        <v>4</v>
      </c>
      <c r="C22" s="58" t="s">
        <v>23</v>
      </c>
      <c r="D22" s="59" t="s">
        <v>59</v>
      </c>
      <c r="E22" s="59"/>
      <c r="F22" s="59"/>
      <c r="G22" s="59"/>
      <c r="H22" s="59"/>
      <c r="I22" s="59"/>
      <c r="J22" s="7"/>
      <c r="L22">
        <f>COUNTA(D22)*5 +COUNTA(E22)*4+COUNTA(F22)*3+COUNTA(G22)*2+COUNTA(H22)*1</f>
        <v>5</v>
      </c>
    </row>
    <row r="23" spans="2:17" ht="12.75">
      <c r="B23" s="4">
        <v>5</v>
      </c>
      <c r="C23" s="58" t="s">
        <v>24</v>
      </c>
      <c r="D23" s="59" t="s">
        <v>59</v>
      </c>
      <c r="E23" s="59"/>
      <c r="F23" s="59"/>
      <c r="G23" s="59"/>
      <c r="H23" s="59"/>
      <c r="I23" s="59"/>
      <c r="J23" s="7"/>
      <c r="L23">
        <f>COUNTA(D23)*5 +COUNTA(E23)*4+COUNTA(F23)*3+COUNTA(G23)*2+COUNTA(H23)*1</f>
        <v>5</v>
      </c>
    </row>
    <row r="24" spans="2:17" ht="12.75">
      <c r="B24" s="4">
        <v>6</v>
      </c>
      <c r="C24" s="58" t="s">
        <v>25</v>
      </c>
      <c r="D24" s="59" t="s">
        <v>59</v>
      </c>
      <c r="E24" s="59"/>
      <c r="F24" s="59"/>
      <c r="G24" s="59"/>
      <c r="H24" s="59"/>
      <c r="I24" s="59"/>
      <c r="J24" s="7"/>
      <c r="L24">
        <f>COUNTA(D24)*5 +COUNTA(E24)*4+COUNTA(F24)*3+COUNTA(G24)*2+COUNTA(H24)*1</f>
        <v>5</v>
      </c>
    </row>
    <row r="25" spans="2:17" ht="12.75">
      <c r="B25" s="4">
        <v>7</v>
      </c>
      <c r="C25" s="61" t="s">
        <v>26</v>
      </c>
      <c r="D25" s="59" t="s">
        <v>59</v>
      </c>
      <c r="E25" s="62"/>
      <c r="F25" s="63"/>
      <c r="G25" s="63"/>
      <c r="H25" s="63"/>
      <c r="I25" s="63"/>
      <c r="J25" s="7"/>
      <c r="L25">
        <f>COUNTA(D25)*5 +COUNTA(E25)*4+COUNTA(F25)*3+COUNTA(G25)*2+COUNTA(H25)*1</f>
        <v>5</v>
      </c>
    </row>
    <row r="26" spans="2:17" ht="12.75">
      <c r="B26" s="4">
        <v>8</v>
      </c>
      <c r="C26" s="66" t="s">
        <v>27</v>
      </c>
      <c r="D26" s="76"/>
      <c r="E26" s="77"/>
      <c r="F26" s="77"/>
      <c r="G26" s="77"/>
      <c r="H26" s="77"/>
      <c r="I26" s="78"/>
      <c r="J26" s="7"/>
      <c r="L26">
        <f>IF(COUNTA(D26) &gt;=1, 2, 5)</f>
        <v>5</v>
      </c>
    </row>
    <row r="27" spans="2:17" ht="12.75">
      <c r="B27" s="65">
        <v>9</v>
      </c>
      <c r="C27" s="67" t="s">
        <v>46</v>
      </c>
      <c r="D27" s="81"/>
      <c r="E27" s="104"/>
      <c r="F27" s="104"/>
      <c r="G27" s="104"/>
      <c r="H27" s="104"/>
      <c r="I27" s="104"/>
      <c r="J27" s="7"/>
    </row>
    <row r="28" spans="2:17" ht="12.75">
      <c r="B28" s="64"/>
      <c r="C28" s="22"/>
      <c r="D28" s="68"/>
      <c r="E28" s="69"/>
      <c r="F28" s="69"/>
      <c r="G28" s="69"/>
      <c r="H28" s="23"/>
      <c r="I28" s="23"/>
      <c r="J28" s="7"/>
      <c r="L28">
        <f>IF(L26&gt;0,AVERAGE(L19:L26),AVERAGE(L19:L25))</f>
        <v>5</v>
      </c>
    </row>
    <row r="29" spans="2:17" ht="20.25">
      <c r="B29" s="100" t="s">
        <v>1</v>
      </c>
      <c r="C29" s="101"/>
      <c r="D29" s="75" t="s">
        <v>100</v>
      </c>
      <c r="E29" s="105"/>
      <c r="F29" s="105"/>
      <c r="G29" s="106"/>
      <c r="L29" s="57"/>
    </row>
    <row r="30" spans="2:17" ht="24">
      <c r="B30" s="3" t="s">
        <v>0</v>
      </c>
      <c r="C30" s="3" t="s">
        <v>13</v>
      </c>
      <c r="D30" s="3" t="s">
        <v>14</v>
      </c>
      <c r="E30" s="3" t="s">
        <v>15</v>
      </c>
      <c r="F30" s="3" t="s">
        <v>16</v>
      </c>
      <c r="G30" s="3" t="s">
        <v>17</v>
      </c>
      <c r="H30" s="3" t="s">
        <v>18</v>
      </c>
      <c r="I30" s="3" t="s">
        <v>5</v>
      </c>
      <c r="J30" s="2"/>
      <c r="K30" s="2"/>
      <c r="L30" s="2"/>
      <c r="M30" s="2"/>
      <c r="N30" s="2"/>
      <c r="O30" s="2"/>
      <c r="P30" s="2"/>
      <c r="Q30" s="2"/>
    </row>
    <row r="31" spans="2:17" ht="12.75">
      <c r="B31" s="4">
        <v>1</v>
      </c>
      <c r="C31" s="58" t="s">
        <v>19</v>
      </c>
      <c r="D31" s="59" t="s">
        <v>59</v>
      </c>
      <c r="E31" s="59"/>
      <c r="F31" s="59"/>
      <c r="G31" s="59"/>
      <c r="H31" s="59"/>
      <c r="I31" s="59"/>
      <c r="L31">
        <f>COUNTA(D31)*5 +COUNTA(E31)*4+COUNTA(F31)*3+COUNTA(G31)*2+COUNTA(H31)*1</f>
        <v>5</v>
      </c>
    </row>
    <row r="32" spans="2:17" ht="12.75">
      <c r="B32" s="4">
        <v>2</v>
      </c>
      <c r="C32" s="58" t="s">
        <v>21</v>
      </c>
      <c r="D32" s="59" t="s">
        <v>59</v>
      </c>
      <c r="E32" s="60"/>
      <c r="F32" s="59"/>
      <c r="G32" s="59"/>
      <c r="H32" s="59"/>
      <c r="I32" s="59"/>
      <c r="L32">
        <f>COUNTA(D32)*5 +COUNTA(E32)*4+COUNTA(F32)*3+COUNTA(G32)*2+COUNTA(H32)*1</f>
        <v>5</v>
      </c>
    </row>
    <row r="33" spans="2:17" ht="12.75">
      <c r="B33" s="4">
        <v>3</v>
      </c>
      <c r="C33" s="58" t="s">
        <v>22</v>
      </c>
      <c r="D33" s="59" t="s">
        <v>59</v>
      </c>
      <c r="E33" s="59"/>
      <c r="F33" s="59"/>
      <c r="G33" s="59"/>
      <c r="H33" s="59"/>
      <c r="I33" s="59"/>
      <c r="L33">
        <f>COUNTA(D33)*5 +COUNTA(E33)*4+COUNTA(F33)*3+COUNTA(G33)*2+COUNTA(H33)*1</f>
        <v>5</v>
      </c>
    </row>
    <row r="34" spans="2:17" ht="12.75">
      <c r="B34" s="4">
        <v>4</v>
      </c>
      <c r="C34" s="58" t="s">
        <v>23</v>
      </c>
      <c r="D34" s="59" t="s">
        <v>59</v>
      </c>
      <c r="E34" s="59"/>
      <c r="F34" s="59"/>
      <c r="G34" s="59"/>
      <c r="H34" s="59"/>
      <c r="I34" s="59"/>
      <c r="J34" s="7"/>
      <c r="L34">
        <f>COUNTA(D34)*5 +COUNTA(E34)*4+COUNTA(F34)*3+COUNTA(G34)*2+COUNTA(H34)*1</f>
        <v>5</v>
      </c>
    </row>
    <row r="35" spans="2:17" ht="12.75">
      <c r="B35" s="4">
        <v>5</v>
      </c>
      <c r="C35" s="58" t="s">
        <v>24</v>
      </c>
      <c r="D35" s="59" t="s">
        <v>59</v>
      </c>
      <c r="E35" s="59"/>
      <c r="F35" s="59"/>
      <c r="G35" s="59"/>
      <c r="H35" s="59"/>
      <c r="I35" s="59"/>
      <c r="J35" s="7"/>
      <c r="L35">
        <f>COUNTA(D35)*5 +COUNTA(E35)*4+COUNTA(F35)*3+COUNTA(G35)*2+COUNTA(H35)*1</f>
        <v>5</v>
      </c>
    </row>
    <row r="36" spans="2:17" ht="12.75">
      <c r="B36" s="4">
        <v>6</v>
      </c>
      <c r="C36" s="58" t="s">
        <v>25</v>
      </c>
      <c r="D36" s="59" t="s">
        <v>59</v>
      </c>
      <c r="E36" s="59"/>
      <c r="F36" s="59"/>
      <c r="G36" s="59"/>
      <c r="H36" s="59"/>
      <c r="I36" s="59"/>
      <c r="J36" s="7"/>
      <c r="L36">
        <f>COUNTA(D36)*5 +COUNTA(E36)*4+COUNTA(F36)*3+COUNTA(G36)*2+COUNTA(H36)*1</f>
        <v>5</v>
      </c>
    </row>
    <row r="37" spans="2:17" ht="12.75">
      <c r="B37" s="4">
        <v>7</v>
      </c>
      <c r="C37" s="61" t="s">
        <v>26</v>
      </c>
      <c r="D37" s="59" t="s">
        <v>59</v>
      </c>
      <c r="E37" s="62"/>
      <c r="F37" s="63"/>
      <c r="G37" s="63"/>
      <c r="H37" s="63"/>
      <c r="I37" s="63"/>
      <c r="J37" s="7"/>
      <c r="L37">
        <f>COUNTA(D37)*5 +COUNTA(E37)*4+COUNTA(F37)*3+COUNTA(G37)*2+COUNTA(H37)*1</f>
        <v>5</v>
      </c>
    </row>
    <row r="38" spans="2:17" ht="12.75">
      <c r="B38" s="4">
        <v>8</v>
      </c>
      <c r="C38" s="66" t="s">
        <v>27</v>
      </c>
      <c r="D38" s="76"/>
      <c r="E38" s="77"/>
      <c r="F38" s="77"/>
      <c r="G38" s="77"/>
      <c r="H38" s="77"/>
      <c r="I38" s="78"/>
      <c r="J38" s="7"/>
      <c r="L38">
        <f>IF(COUNTA(D38) &gt;=1, 2, 5)</f>
        <v>5</v>
      </c>
    </row>
    <row r="39" spans="2:17" ht="12.75">
      <c r="B39" s="65">
        <v>9</v>
      </c>
      <c r="C39" s="67" t="s">
        <v>46</v>
      </c>
      <c r="D39" s="81"/>
      <c r="E39" s="104"/>
      <c r="F39" s="104"/>
      <c r="G39" s="104"/>
      <c r="H39" s="104"/>
      <c r="I39" s="104"/>
      <c r="J39" s="7"/>
    </row>
    <row r="40" spans="2:17" ht="12.75">
      <c r="B40" s="64"/>
      <c r="C40" s="22"/>
      <c r="D40" s="68"/>
      <c r="E40" s="69"/>
      <c r="F40" s="69"/>
      <c r="G40" s="69"/>
      <c r="H40" s="23"/>
      <c r="I40" s="23"/>
      <c r="J40" s="7"/>
      <c r="L40">
        <f>IF(L38&gt;0,AVERAGE(L31:L38),AVERAGE(L31:L37))</f>
        <v>5</v>
      </c>
    </row>
    <row r="41" spans="2:17" ht="20.25">
      <c r="B41" s="100" t="s">
        <v>1</v>
      </c>
      <c r="C41" s="101"/>
      <c r="D41" s="75" t="s">
        <v>101</v>
      </c>
      <c r="E41" s="105"/>
      <c r="F41" s="105"/>
      <c r="G41" s="106"/>
      <c r="L41" s="57"/>
    </row>
    <row r="42" spans="2:17" ht="24">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59</v>
      </c>
      <c r="E43" s="59"/>
      <c r="F43" s="59"/>
      <c r="G43" s="59"/>
      <c r="H43" s="59"/>
      <c r="I43" s="59"/>
      <c r="L43">
        <f>COUNTA(D43)*5 +COUNTA(E43)*4+COUNTA(F43)*3+COUNTA(G43)*2+COUNTA(H43)*1</f>
        <v>5</v>
      </c>
    </row>
    <row r="44" spans="2:17" ht="12.75">
      <c r="B44" s="4">
        <v>2</v>
      </c>
      <c r="C44" s="58" t="s">
        <v>21</v>
      </c>
      <c r="D44" s="59" t="s">
        <v>59</v>
      </c>
      <c r="E44" s="60"/>
      <c r="F44" s="59"/>
      <c r="G44" s="59"/>
      <c r="H44" s="59"/>
      <c r="I44" s="59"/>
      <c r="L44">
        <f>COUNTA(D44)*5 +COUNTA(E44)*4+COUNTA(F44)*3+COUNTA(G44)*2+COUNTA(H44)*1</f>
        <v>5</v>
      </c>
    </row>
    <row r="45" spans="2:17" ht="12.75">
      <c r="B45" s="4">
        <v>3</v>
      </c>
      <c r="C45" s="58" t="s">
        <v>22</v>
      </c>
      <c r="D45" s="59" t="s">
        <v>59</v>
      </c>
      <c r="E45" s="59"/>
      <c r="F45" s="59"/>
      <c r="G45" s="59"/>
      <c r="H45" s="59"/>
      <c r="I45" s="59"/>
      <c r="L45">
        <f>COUNTA(D45)*5 +COUNTA(E45)*4+COUNTA(F45)*3+COUNTA(G45)*2+COUNTA(H45)*1</f>
        <v>5</v>
      </c>
    </row>
    <row r="46" spans="2:17" ht="12.75">
      <c r="B46" s="4">
        <v>4</v>
      </c>
      <c r="C46" s="58" t="s">
        <v>23</v>
      </c>
      <c r="D46" s="59" t="s">
        <v>59</v>
      </c>
      <c r="E46" s="59"/>
      <c r="F46" s="59"/>
      <c r="G46" s="59"/>
      <c r="H46" s="59"/>
      <c r="I46" s="59"/>
      <c r="J46" s="7"/>
      <c r="L46">
        <f>COUNTA(D46)*5 +COUNTA(E46)*4+COUNTA(F46)*3+COUNTA(G46)*2+COUNTA(H46)*1</f>
        <v>5</v>
      </c>
    </row>
    <row r="47" spans="2:17" ht="12.75">
      <c r="B47" s="4">
        <v>5</v>
      </c>
      <c r="C47" s="58" t="s">
        <v>24</v>
      </c>
      <c r="D47" s="59" t="s">
        <v>59</v>
      </c>
      <c r="E47" s="59"/>
      <c r="F47" s="59"/>
      <c r="G47" s="59"/>
      <c r="H47" s="59"/>
      <c r="I47" s="59"/>
      <c r="J47" s="7"/>
      <c r="L47">
        <f>COUNTA(D47)*5 +COUNTA(E47)*4+COUNTA(F47)*3+COUNTA(G47)*2+COUNTA(H47)*1</f>
        <v>5</v>
      </c>
    </row>
    <row r="48" spans="2:17" ht="12.75">
      <c r="B48" s="4">
        <v>6</v>
      </c>
      <c r="C48" s="58" t="s">
        <v>25</v>
      </c>
      <c r="D48" s="59" t="s">
        <v>59</v>
      </c>
      <c r="E48" s="59"/>
      <c r="F48" s="59"/>
      <c r="G48" s="59"/>
      <c r="H48" s="59"/>
      <c r="I48" s="59"/>
      <c r="J48" s="7"/>
      <c r="L48">
        <f>COUNTA(D48)*5 +COUNTA(E48)*4+COUNTA(F48)*3+COUNTA(G48)*2+COUNTA(H48)*1</f>
        <v>5</v>
      </c>
    </row>
    <row r="49" spans="2:12" ht="12.75">
      <c r="B49" s="4">
        <v>7</v>
      </c>
      <c r="C49" s="61" t="s">
        <v>26</v>
      </c>
      <c r="D49" s="59" t="s">
        <v>59</v>
      </c>
      <c r="E49" s="62"/>
      <c r="F49" s="63"/>
      <c r="G49" s="63"/>
      <c r="H49" s="63"/>
      <c r="I49" s="63"/>
      <c r="J49" s="7"/>
      <c r="L49">
        <f>COUNTA(D49)*5 +COUNTA(E49)*4+COUNTA(F49)*3+COUNTA(G49)*2+COUNTA(H49)*1</f>
        <v>5</v>
      </c>
    </row>
    <row r="50" spans="2:12" ht="12.75">
      <c r="B50" s="4">
        <v>8</v>
      </c>
      <c r="C50" s="66" t="s">
        <v>27</v>
      </c>
      <c r="D50" s="76"/>
      <c r="E50" s="77"/>
      <c r="F50" s="77"/>
      <c r="G50" s="77"/>
      <c r="H50" s="77"/>
      <c r="I50" s="78"/>
      <c r="J50" s="7"/>
      <c r="L50">
        <f>IF(COUNTA(D50) &gt;=1, 2, 5)</f>
        <v>5</v>
      </c>
    </row>
    <row r="51" spans="2:12" ht="12.75">
      <c r="B51" s="65">
        <v>9</v>
      </c>
      <c r="C51" s="67" t="s">
        <v>46</v>
      </c>
      <c r="D51" s="81" t="s">
        <v>102</v>
      </c>
      <c r="E51" s="104"/>
      <c r="F51" s="104"/>
      <c r="G51" s="104"/>
      <c r="H51" s="104"/>
      <c r="I51" s="104"/>
      <c r="J51" s="7"/>
    </row>
    <row r="52" spans="2:12" ht="12.75">
      <c r="B52" s="64"/>
      <c r="C52" s="22"/>
      <c r="D52" s="68"/>
      <c r="E52" s="69"/>
      <c r="F52" s="69"/>
      <c r="G52" s="69"/>
      <c r="H52" s="23"/>
      <c r="I52" s="23"/>
      <c r="J52" s="7"/>
      <c r="L52">
        <f>IF(L50&gt;0,AVERAGE(L43:L50),AVERAGE(L43:L49))</f>
        <v>5</v>
      </c>
    </row>
    <row r="53" spans="2:12" ht="12.75">
      <c r="B53" s="1"/>
    </row>
    <row r="54" spans="2:12" ht="12.75">
      <c r="B54" s="1"/>
    </row>
    <row r="55" spans="2:12" ht="12.75">
      <c r="B55" s="1"/>
    </row>
    <row r="56" spans="2:12" ht="12.75">
      <c r="B56" s="1"/>
    </row>
    <row r="57" spans="2:12" ht="12.75">
      <c r="B57" s="1"/>
    </row>
    <row r="58" spans="2:12" ht="12.75">
      <c r="B58" s="1"/>
    </row>
    <row r="59" spans="2:12" ht="12.75">
      <c r="B59" s="1"/>
    </row>
    <row r="60" spans="2:12" ht="12.75">
      <c r="B60" s="1"/>
    </row>
    <row r="61" spans="2:12" ht="12.75">
      <c r="B61" s="1"/>
    </row>
    <row r="62" spans="2:12" ht="12.75">
      <c r="B62" s="1"/>
    </row>
    <row r="63" spans="2:12" ht="12.75">
      <c r="B63" s="1"/>
    </row>
    <row r="64" spans="2:12" ht="12.75">
      <c r="B64" s="1"/>
    </row>
    <row r="65" spans="2:2" ht="12.75">
      <c r="B65" s="1"/>
    </row>
    <row r="66" spans="2:2" ht="12.75">
      <c r="B66" s="1"/>
    </row>
    <row r="67" spans="2:2" ht="12.75">
      <c r="B67" s="1"/>
    </row>
    <row r="68" spans="2:2" ht="12.75">
      <c r="B68" s="1"/>
    </row>
    <row r="69" spans="2:2" ht="12.75">
      <c r="B69" s="1"/>
    </row>
    <row r="70" spans="2:2" ht="12.75">
      <c r="B70" s="1"/>
    </row>
    <row r="71" spans="2:2" ht="12.75">
      <c r="B71" s="1"/>
    </row>
    <row r="72" spans="2:2" ht="12.75">
      <c r="B72" s="1"/>
    </row>
    <row r="73" spans="2:2" ht="12.75">
      <c r="B73" s="1"/>
    </row>
    <row r="74" spans="2:2" ht="12.75">
      <c r="B74" s="1"/>
    </row>
    <row r="75" spans="2:2" ht="12.75">
      <c r="B75" s="1"/>
    </row>
    <row r="76" spans="2:2" ht="12.75">
      <c r="B76" s="1"/>
    </row>
    <row r="77" spans="2:2" ht="12.75">
      <c r="B77" s="1"/>
    </row>
    <row r="78" spans="2:2" ht="12.75">
      <c r="B78" s="1"/>
    </row>
    <row r="79" spans="2:2" ht="12.75">
      <c r="B79" s="1"/>
    </row>
    <row r="80" spans="2:2" ht="12.75">
      <c r="B80" s="1"/>
    </row>
    <row r="81" spans="2:2" ht="12.75">
      <c r="B81" s="1"/>
    </row>
    <row r="82" spans="2:2" ht="12.75">
      <c r="B82" s="1"/>
    </row>
    <row r="83" spans="2:2" ht="12.75">
      <c r="B83" s="1"/>
    </row>
    <row r="84" spans="2:2" ht="12.75">
      <c r="B84" s="1"/>
    </row>
    <row r="85" spans="2:2" ht="12.75">
      <c r="B85" s="1"/>
    </row>
    <row r="86" spans="2:2" ht="12.75">
      <c r="B86" s="1"/>
    </row>
    <row r="87" spans="2:2" ht="12.75">
      <c r="B87" s="1"/>
    </row>
    <row r="88" spans="2:2" ht="12.75">
      <c r="B88" s="1"/>
    </row>
    <row r="89" spans="2:2" ht="12.75">
      <c r="B89" s="1"/>
    </row>
    <row r="90" spans="2:2" ht="12.75">
      <c r="B90" s="1"/>
    </row>
    <row r="91" spans="2:2" ht="12.75">
      <c r="B91" s="1"/>
    </row>
    <row r="92" spans="2:2" ht="12.75">
      <c r="B92" s="1"/>
    </row>
    <row r="93" spans="2:2" ht="12.75">
      <c r="B93" s="1"/>
    </row>
    <row r="94" spans="2:2" ht="12.75">
      <c r="B94" s="1"/>
    </row>
    <row r="95" spans="2:2" ht="12.75">
      <c r="B95" s="1"/>
    </row>
    <row r="96" spans="2:2" ht="12.75">
      <c r="B96" s="1"/>
    </row>
    <row r="97" spans="2:2" ht="12.75">
      <c r="B97" s="1"/>
    </row>
    <row r="98" spans="2:2" ht="12.75">
      <c r="B98" s="1"/>
    </row>
    <row r="99" spans="2:2" ht="12.75">
      <c r="B99" s="1"/>
    </row>
    <row r="100" spans="2:2" ht="12.75">
      <c r="B100" s="1"/>
    </row>
    <row r="101" spans="2:2" ht="12.75">
      <c r="B101" s="1"/>
    </row>
    <row r="102" spans="2:2" ht="12.75">
      <c r="B102" s="1"/>
    </row>
    <row r="103" spans="2:2" ht="12.75">
      <c r="B103" s="1"/>
    </row>
    <row r="104" spans="2:2" ht="12.75">
      <c r="B104" s="1"/>
    </row>
    <row r="105" spans="2:2" ht="12.75">
      <c r="B105" s="1"/>
    </row>
    <row r="106" spans="2:2" ht="12.75">
      <c r="B106" s="1"/>
    </row>
    <row r="107" spans="2:2" ht="12.75">
      <c r="B107" s="1"/>
    </row>
    <row r="108" spans="2:2" ht="12.75">
      <c r="B108" s="1"/>
    </row>
    <row r="109" spans="2:2" ht="12.75">
      <c r="B109" s="1"/>
    </row>
    <row r="110" spans="2:2" ht="12.75">
      <c r="B110" s="1"/>
    </row>
    <row r="111" spans="2:2" ht="12.75">
      <c r="B111" s="1"/>
    </row>
    <row r="112" spans="2:2"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sheetData>
  <mergeCells count="17">
    <mergeCell ref="B17:C17"/>
    <mergeCell ref="D17:G17"/>
    <mergeCell ref="D26:I26"/>
    <mergeCell ref="L4:L5"/>
    <mergeCell ref="B5:C5"/>
    <mergeCell ref="D5:G5"/>
    <mergeCell ref="D14:I14"/>
    <mergeCell ref="D15:I15"/>
    <mergeCell ref="D27:I27"/>
    <mergeCell ref="B41:C41"/>
    <mergeCell ref="D41:G41"/>
    <mergeCell ref="D50:I50"/>
    <mergeCell ref="D51:I51"/>
    <mergeCell ref="B29:C29"/>
    <mergeCell ref="D29:G29"/>
    <mergeCell ref="D38:I38"/>
    <mergeCell ref="D39:I39"/>
  </mergeCells>
  <pageMargins left="0" right="0" top="0" bottom="0" header="0" footer="0"/>
  <pageSetup paperSize="8" fitToWidth="0" fitToHeight="0" orientation="landscape"/>
  <headerFooter>
    <oddFooter>&amp;R_x000D_&amp;1#&amp;"Calibri"&amp;8&amp;K000000 Cisco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690BF-AF5A-49DF-AB34-2A2CF0B38569}">
  <sheetPr>
    <outlinePr summaryBelow="0" summaryRight="0"/>
  </sheetPr>
  <dimension ref="A1:Y967"/>
  <sheetViews>
    <sheetView showGridLines="0" topLeftCell="A15" zoomScale="90" zoomScaleNormal="90" workbookViewId="0">
      <selection activeCell="Q40" sqref="Q40"/>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row>
    <row r="3" spans="1:25" ht="12.75">
      <c r="B3" s="1"/>
    </row>
    <row r="4" spans="1:25" ht="12.75">
      <c r="B4" s="1"/>
      <c r="L4" s="82" t="s">
        <v>45</v>
      </c>
    </row>
    <row r="5" spans="1:25" ht="12.75">
      <c r="B5" s="100" t="s">
        <v>1</v>
      </c>
      <c r="C5" s="101"/>
      <c r="D5" s="75" t="s">
        <v>103</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Q7">
        <f>COUNTA(D7)*5 +COUNTA(E7)*4+COUNTA(F7)*3+COUNTA(G7)*2+COUNTA(H7)*1</f>
        <v>5</v>
      </c>
    </row>
    <row r="8" spans="1:25" ht="12.75">
      <c r="B8" s="4">
        <v>2</v>
      </c>
      <c r="C8" s="58" t="s">
        <v>21</v>
      </c>
      <c r="D8" s="59" t="s">
        <v>59</v>
      </c>
      <c r="E8" s="60"/>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t="s">
        <v>59</v>
      </c>
      <c r="E11" s="59"/>
      <c r="F11" s="59"/>
      <c r="G11" s="59"/>
      <c r="H11" s="59"/>
      <c r="I11" s="59"/>
      <c r="J11" s="7"/>
      <c r="Q11">
        <f t="shared" si="0"/>
        <v>5</v>
      </c>
    </row>
    <row r="12" spans="1:25" ht="12.75">
      <c r="B12" s="4">
        <v>6</v>
      </c>
      <c r="C12" s="58" t="s">
        <v>25</v>
      </c>
      <c r="D12" s="59" t="s">
        <v>59</v>
      </c>
      <c r="E12" s="59"/>
      <c r="F12" s="59"/>
      <c r="G12" s="59"/>
      <c r="H12" s="59"/>
      <c r="I12" s="59"/>
      <c r="J12" s="7"/>
      <c r="Q12">
        <f t="shared" si="0"/>
        <v>5</v>
      </c>
    </row>
    <row r="13" spans="1:25" ht="12.75">
      <c r="B13" s="4">
        <v>7</v>
      </c>
      <c r="C13" s="61" t="s">
        <v>26</v>
      </c>
      <c r="D13" s="59" t="s">
        <v>59</v>
      </c>
      <c r="E13" s="62"/>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1:25" ht="15" customHeight="1">
      <c r="B17" s="100" t="s">
        <v>1</v>
      </c>
      <c r="C17" s="101"/>
      <c r="D17" s="75" t="s">
        <v>104</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59</v>
      </c>
      <c r="E19" s="59"/>
      <c r="F19" s="59"/>
      <c r="G19" s="59"/>
      <c r="H19" s="59"/>
      <c r="I19" s="59"/>
      <c r="Q19">
        <f>COUNTA(D19)*5 +COUNTA(E19)*4+COUNTA(F19)*3+COUNTA(G19)*2+COUNTA(H19)*1</f>
        <v>5</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t="s">
        <v>59</v>
      </c>
      <c r="E23" s="59"/>
      <c r="F23" s="59"/>
      <c r="G23" s="59"/>
      <c r="H23" s="59"/>
      <c r="I23" s="59"/>
      <c r="J23" s="7"/>
      <c r="Q23">
        <f t="shared" si="1"/>
        <v>5</v>
      </c>
    </row>
    <row r="24" spans="1:25" ht="12.75">
      <c r="B24" s="4">
        <v>6</v>
      </c>
      <c r="C24" s="58" t="s">
        <v>25</v>
      </c>
      <c r="D24" s="59" t="s">
        <v>59</v>
      </c>
      <c r="E24" s="59"/>
      <c r="F24" s="59"/>
      <c r="G24" s="59"/>
      <c r="H24" s="59"/>
      <c r="I24" s="59"/>
      <c r="J24" s="7"/>
      <c r="Q24">
        <f t="shared" si="1"/>
        <v>5</v>
      </c>
    </row>
    <row r="25" spans="1:25" ht="12.75">
      <c r="B25" s="4">
        <v>7</v>
      </c>
      <c r="C25" s="61" t="s">
        <v>26</v>
      </c>
      <c r="D25" s="59" t="s">
        <v>59</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5</v>
      </c>
    </row>
    <row r="29" spans="1:25" ht="20.25">
      <c r="B29" s="100" t="s">
        <v>1</v>
      </c>
      <c r="C29" s="101"/>
      <c r="D29" s="75" t="s">
        <v>78</v>
      </c>
      <c r="E29" s="105"/>
      <c r="F29" s="105"/>
      <c r="G29" s="106"/>
      <c r="L29" s="57"/>
    </row>
    <row r="30" spans="1:25" ht="23.25">
      <c r="A30" s="2"/>
      <c r="B30" s="3" t="s">
        <v>0</v>
      </c>
      <c r="C30" s="3" t="s">
        <v>13</v>
      </c>
      <c r="D30" s="3" t="s">
        <v>14</v>
      </c>
      <c r="E30" s="3" t="s">
        <v>15</v>
      </c>
      <c r="F30" s="3" t="s">
        <v>16</v>
      </c>
      <c r="G30" s="3" t="s">
        <v>17</v>
      </c>
      <c r="H30" s="3" t="s">
        <v>18</v>
      </c>
      <c r="I30" s="3" t="s">
        <v>5</v>
      </c>
      <c r="J30" s="2"/>
      <c r="K30" s="2"/>
      <c r="L30" s="2"/>
      <c r="M30" s="2"/>
      <c r="N30" s="2"/>
      <c r="O30" s="2"/>
      <c r="P30" s="2"/>
      <c r="Q30" s="2"/>
      <c r="R30" s="2"/>
      <c r="S30" s="2"/>
      <c r="T30" s="2"/>
      <c r="U30" s="2"/>
      <c r="V30" s="2"/>
      <c r="W30" s="2"/>
      <c r="X30" s="2"/>
      <c r="Y30" s="2"/>
    </row>
    <row r="31" spans="1:25" ht="12.75">
      <c r="B31" s="4">
        <v>1</v>
      </c>
      <c r="C31" s="58" t="s">
        <v>19</v>
      </c>
      <c r="D31" s="59" t="s">
        <v>59</v>
      </c>
      <c r="E31" s="59"/>
      <c r="F31" s="59"/>
      <c r="G31" s="59"/>
      <c r="H31" s="59"/>
      <c r="I31" s="59"/>
      <c r="Q31">
        <f>COUNTA(D31)*5 +COUNTA(E31)*4+COUNTA(F31)*3+COUNTA(G31)*2+COUNTA(H31)*1</f>
        <v>5</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t="s">
        <v>59</v>
      </c>
      <c r="E35" s="59"/>
      <c r="F35" s="59"/>
      <c r="G35" s="59"/>
      <c r="H35" s="59"/>
      <c r="I35" s="59"/>
      <c r="J35" s="7"/>
      <c r="Q35">
        <f t="shared" si="2"/>
        <v>5</v>
      </c>
    </row>
    <row r="36" spans="2:17" ht="12.75">
      <c r="B36" s="4">
        <v>6</v>
      </c>
      <c r="C36" s="58" t="s">
        <v>25</v>
      </c>
      <c r="D36" s="59" t="s">
        <v>59</v>
      </c>
      <c r="E36" s="59"/>
      <c r="F36" s="59"/>
      <c r="G36" s="59"/>
      <c r="H36" s="59"/>
      <c r="I36" s="59"/>
      <c r="J36" s="7"/>
      <c r="Q36">
        <f t="shared" si="2"/>
        <v>5</v>
      </c>
    </row>
    <row r="37" spans="2:17" ht="12.75">
      <c r="B37" s="4">
        <v>7</v>
      </c>
      <c r="C37" s="61" t="s">
        <v>26</v>
      </c>
      <c r="D37" s="59" t="s">
        <v>59</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5</v>
      </c>
    </row>
    <row r="41" spans="2:17" ht="12.75">
      <c r="B41" s="1"/>
    </row>
    <row r="42" spans="2:17" ht="12.75">
      <c r="B42" s="1"/>
    </row>
    <row r="43" spans="2:17" ht="12.75">
      <c r="B43" s="1"/>
    </row>
    <row r="44" spans="2:17" ht="12.75">
      <c r="B44" s="1"/>
    </row>
    <row r="45" spans="2:17" ht="12.75">
      <c r="B45" s="1"/>
    </row>
    <row r="46" spans="2:17" ht="12.75">
      <c r="B46" s="1"/>
    </row>
    <row r="47" spans="2:17" ht="12.75">
      <c r="B47" s="1"/>
    </row>
    <row r="48" spans="2:17" ht="12.75">
      <c r="B48" s="1"/>
    </row>
    <row r="49" spans="2:2" ht="12.75">
      <c r="B49" s="1"/>
    </row>
    <row r="50" spans="2:2" ht="12.75">
      <c r="B50" s="1"/>
    </row>
    <row r="51" spans="2:2" ht="12.75">
      <c r="B51" s="1"/>
    </row>
    <row r="52" spans="2:2" ht="12.75">
      <c r="B52" s="1"/>
    </row>
    <row r="53" spans="2:2" ht="12.75">
      <c r="B53" s="1"/>
    </row>
    <row r="54" spans="2:2" ht="12.75">
      <c r="B54" s="1"/>
    </row>
    <row r="55" spans="2:2" ht="12.75">
      <c r="B55" s="1"/>
    </row>
    <row r="56" spans="2:2" ht="12.75">
      <c r="B56" s="1"/>
    </row>
    <row r="57" spans="2:2" ht="12.75">
      <c r="B57" s="1"/>
    </row>
    <row r="58" spans="2:2" ht="12.75">
      <c r="B58" s="1"/>
    </row>
    <row r="59" spans="2:2" ht="12.75">
      <c r="B59" s="1"/>
    </row>
    <row r="60" spans="2:2" ht="12.75">
      <c r="B60" s="1"/>
    </row>
    <row r="61" spans="2:2" ht="12.75">
      <c r="B61" s="1"/>
    </row>
    <row r="62" spans="2:2" ht="12.75">
      <c r="B62" s="1"/>
    </row>
    <row r="63" spans="2:2" ht="12.75">
      <c r="B63" s="1"/>
    </row>
    <row r="64" spans="2:2" ht="12.75">
      <c r="B64" s="1"/>
    </row>
    <row r="65" spans="2:2" ht="12.75">
      <c r="B65" s="1"/>
    </row>
    <row r="66" spans="2:2" ht="12.75">
      <c r="B66" s="1"/>
    </row>
    <row r="67" spans="2:2" ht="12.75">
      <c r="B67" s="1"/>
    </row>
    <row r="68" spans="2:2" ht="12.75">
      <c r="B68" s="1"/>
    </row>
    <row r="69" spans="2:2" ht="12.75">
      <c r="B69" s="1"/>
    </row>
    <row r="70" spans="2:2" ht="12.75">
      <c r="B70" s="1"/>
    </row>
    <row r="71" spans="2:2" ht="12.75">
      <c r="B71" s="1"/>
    </row>
    <row r="72" spans="2:2" ht="12.75">
      <c r="B72" s="1"/>
    </row>
    <row r="73" spans="2:2" ht="12.75">
      <c r="B73" s="1"/>
    </row>
    <row r="74" spans="2:2" ht="12.75">
      <c r="B74" s="1"/>
    </row>
    <row r="75" spans="2:2" ht="12.75">
      <c r="B75" s="1"/>
    </row>
    <row r="76" spans="2:2" ht="12.75">
      <c r="B76" s="1"/>
    </row>
    <row r="77" spans="2:2" ht="12.75">
      <c r="B77" s="1"/>
    </row>
    <row r="78" spans="2:2" ht="12.75">
      <c r="B78" s="1"/>
    </row>
    <row r="79" spans="2:2" ht="12.75">
      <c r="B79" s="1"/>
    </row>
    <row r="80" spans="2:2" ht="12.75">
      <c r="B80" s="1"/>
    </row>
    <row r="81" spans="2:2" ht="12.75">
      <c r="B81" s="1"/>
    </row>
    <row r="82" spans="2:2" ht="12.75">
      <c r="B82" s="1"/>
    </row>
    <row r="83" spans="2:2" ht="12.75">
      <c r="B83" s="1"/>
    </row>
    <row r="84" spans="2:2" ht="12.75">
      <c r="B84" s="1"/>
    </row>
    <row r="85" spans="2:2" ht="12.75">
      <c r="B85" s="1"/>
    </row>
    <row r="86" spans="2:2" ht="12.75">
      <c r="B86" s="1"/>
    </row>
    <row r="87" spans="2:2" ht="12.75">
      <c r="B87" s="1"/>
    </row>
    <row r="88" spans="2:2" ht="12.75">
      <c r="B88" s="1"/>
    </row>
    <row r="89" spans="2:2" ht="12.75">
      <c r="B89" s="1"/>
    </row>
    <row r="90" spans="2:2" ht="12.75">
      <c r="B90" s="1"/>
    </row>
    <row r="91" spans="2:2" ht="12.75">
      <c r="B91" s="1"/>
    </row>
    <row r="92" spans="2:2" ht="12.75">
      <c r="B92" s="1"/>
    </row>
    <row r="93" spans="2:2" ht="12.75">
      <c r="B93" s="1"/>
    </row>
    <row r="94" spans="2:2" ht="12.75">
      <c r="B94" s="1"/>
    </row>
    <row r="95" spans="2:2" ht="12.75">
      <c r="B95" s="1"/>
    </row>
    <row r="96" spans="2:2" ht="12.75">
      <c r="B96" s="1"/>
    </row>
    <row r="97" spans="2:2" ht="12.75">
      <c r="B97" s="1"/>
    </row>
    <row r="98" spans="2:2" ht="12.75">
      <c r="B98" s="1"/>
    </row>
    <row r="99" spans="2:2" ht="12.75">
      <c r="B99" s="1"/>
    </row>
    <row r="100" spans="2:2" ht="12.75">
      <c r="B100" s="1"/>
    </row>
    <row r="101" spans="2:2" ht="12.75">
      <c r="B101" s="1"/>
    </row>
    <row r="102" spans="2:2" ht="12.75">
      <c r="B102" s="1"/>
    </row>
    <row r="103" spans="2:2" ht="12.75">
      <c r="B103" s="1"/>
    </row>
    <row r="104" spans="2:2" ht="12.75">
      <c r="B104" s="1"/>
    </row>
    <row r="105" spans="2:2" ht="12.75">
      <c r="B105" s="1"/>
    </row>
    <row r="106" spans="2:2" ht="12.75">
      <c r="B106" s="1"/>
    </row>
    <row r="107" spans="2:2" ht="12.75">
      <c r="B107" s="1"/>
    </row>
    <row r="108" spans="2:2" ht="12.75">
      <c r="B108" s="1"/>
    </row>
    <row r="109" spans="2:2" ht="12.75">
      <c r="B109" s="1"/>
    </row>
    <row r="110" spans="2:2" ht="12.75">
      <c r="B110" s="1"/>
    </row>
    <row r="111" spans="2:2" ht="12.75">
      <c r="B111" s="1"/>
    </row>
    <row r="112" spans="2:2" ht="12.75">
      <c r="B112" s="1"/>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13">
    <mergeCell ref="B29:C29"/>
    <mergeCell ref="D29:G29"/>
    <mergeCell ref="D38:I38"/>
    <mergeCell ref="D39:I39"/>
    <mergeCell ref="D26:I26"/>
    <mergeCell ref="D27:I27"/>
    <mergeCell ref="B17:C17"/>
    <mergeCell ref="D17:G17"/>
    <mergeCell ref="L4:L5"/>
    <mergeCell ref="B5:C5"/>
    <mergeCell ref="D5:G5"/>
    <mergeCell ref="D14:I14"/>
    <mergeCell ref="D15:I15"/>
  </mergeCells>
  <pageMargins left="0" right="0" top="0" bottom="0" header="0" footer="0"/>
  <pageSetup orientation="portrait"/>
  <headerFooter>
    <oddFooter>&amp;R_x000D_&amp;1#&amp;"Calibri"&amp;8&amp;K000000 Cisco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FB0E-B8AE-4F1A-95E6-4B6FDD64138C}">
  <sheetPr>
    <outlinePr summaryBelow="0" summaryRight="0"/>
  </sheetPr>
  <dimension ref="A1:Y967"/>
  <sheetViews>
    <sheetView showGridLines="0" topLeftCell="A78" zoomScale="90" zoomScaleNormal="90" workbookViewId="0">
      <selection activeCell="D76" sqref="D76"/>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t="s">
        <v>73</v>
      </c>
      <c r="D1" t="s">
        <v>105</v>
      </c>
    </row>
    <row r="2" spans="1:25" s="39" customFormat="1" ht="12.75" customHeight="1">
      <c r="B2" s="40"/>
      <c r="C2" s="39" t="s">
        <v>106</v>
      </c>
      <c r="D2" s="39" t="s">
        <v>107</v>
      </c>
    </row>
    <row r="3" spans="1:25" ht="12.75">
      <c r="B3" s="1"/>
    </row>
    <row r="4" spans="1:25" ht="12.75">
      <c r="B4" s="1"/>
      <c r="L4" s="82" t="s">
        <v>45</v>
      </c>
    </row>
    <row r="5" spans="1:25" ht="12.75">
      <c r="B5" s="100" t="s">
        <v>1</v>
      </c>
      <c r="C5" s="101"/>
      <c r="D5" s="75" t="s">
        <v>108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59</v>
      </c>
      <c r="F7" s="59"/>
      <c r="G7" s="59"/>
      <c r="H7" s="59"/>
      <c r="I7" s="59"/>
      <c r="Q7">
        <f>COUNTA(D7)*5 +COUNTA(E7)*4+COUNTA(F7)*3+COUNTA(G7)*2+COUNTA(H7)*1</f>
        <v>4</v>
      </c>
    </row>
    <row r="8" spans="1:25" ht="12.75">
      <c r="B8" s="4">
        <v>2</v>
      </c>
      <c r="C8" s="58" t="s">
        <v>21</v>
      </c>
      <c r="D8" s="59" t="s">
        <v>59</v>
      </c>
      <c r="E8" s="60"/>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c r="E11" s="59" t="s">
        <v>59</v>
      </c>
      <c r="F11" s="59"/>
      <c r="G11" s="59"/>
      <c r="H11" s="59"/>
      <c r="I11" s="59"/>
      <c r="J11" s="7"/>
      <c r="Q11">
        <f t="shared" si="0"/>
        <v>4</v>
      </c>
    </row>
    <row r="12" spans="1:25" ht="12.75">
      <c r="B12" s="4">
        <v>6</v>
      </c>
      <c r="C12" s="58" t="s">
        <v>25</v>
      </c>
      <c r="D12" s="59" t="s">
        <v>59</v>
      </c>
      <c r="E12" s="59"/>
      <c r="F12" s="59"/>
      <c r="G12" s="59"/>
      <c r="H12" s="59"/>
      <c r="I12" s="59"/>
      <c r="J12" s="7"/>
      <c r="Q12">
        <f t="shared" si="0"/>
        <v>5</v>
      </c>
    </row>
    <row r="13" spans="1:25" ht="12.75">
      <c r="B13" s="4">
        <v>7</v>
      </c>
      <c r="C13" s="61" t="s">
        <v>26</v>
      </c>
      <c r="D13" s="62"/>
      <c r="E13" s="62" t="s">
        <v>59</v>
      </c>
      <c r="F13" s="63"/>
      <c r="G13" s="63"/>
      <c r="H13" s="63"/>
      <c r="I13" s="63"/>
      <c r="J13" s="7"/>
      <c r="Q13">
        <f t="shared" si="0"/>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1:25" ht="15" customHeight="1">
      <c r="B17" s="100" t="s">
        <v>1</v>
      </c>
      <c r="C17" s="101"/>
      <c r="D17" s="75" t="s">
        <v>109</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c r="E19" s="59" t="s">
        <v>59</v>
      </c>
      <c r="F19" s="59"/>
      <c r="G19" s="59"/>
      <c r="H19" s="59"/>
      <c r="I19" s="59"/>
      <c r="Q19">
        <f>COUNTA(D19)*5 +COUNTA(E19)*4+COUNTA(F19)*3+COUNTA(G19)*2+COUNTA(H19)*1</f>
        <v>4</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c r="E23" s="59" t="s">
        <v>59</v>
      </c>
      <c r="F23" s="59"/>
      <c r="G23" s="59"/>
      <c r="H23" s="59"/>
      <c r="I23" s="59"/>
      <c r="J23" s="7"/>
      <c r="Q23">
        <f t="shared" si="1"/>
        <v>4</v>
      </c>
    </row>
    <row r="24" spans="1:25" ht="12.75">
      <c r="B24" s="4">
        <v>6</v>
      </c>
      <c r="C24" s="58" t="s">
        <v>25</v>
      </c>
      <c r="D24" s="59" t="s">
        <v>59</v>
      </c>
      <c r="E24" s="59"/>
      <c r="F24" s="59"/>
      <c r="G24" s="59"/>
      <c r="H24" s="59"/>
      <c r="I24" s="59"/>
      <c r="J24" s="7"/>
      <c r="Q24">
        <f t="shared" si="1"/>
        <v>5</v>
      </c>
    </row>
    <row r="25" spans="1:25" ht="12.75">
      <c r="B25" s="4">
        <v>7</v>
      </c>
      <c r="C25" s="61" t="s">
        <v>26</v>
      </c>
      <c r="D25" s="62"/>
      <c r="E25" s="62" t="s">
        <v>59</v>
      </c>
      <c r="F25" s="63"/>
      <c r="G25" s="63"/>
      <c r="H25" s="63"/>
      <c r="I25" s="63"/>
      <c r="J25" s="7"/>
      <c r="Q25">
        <f t="shared" si="1"/>
        <v>4</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4.625</v>
      </c>
    </row>
    <row r="29" spans="1:25" ht="20.25">
      <c r="B29" s="100" t="s">
        <v>1</v>
      </c>
      <c r="C29" s="101"/>
      <c r="D29" s="75" t="s">
        <v>110</v>
      </c>
      <c r="E29" s="105"/>
      <c r="F29" s="105"/>
      <c r="G29" s="106"/>
      <c r="L29" s="57"/>
    </row>
    <row r="30" spans="1:25" ht="23.25">
      <c r="B30" s="3" t="s">
        <v>0</v>
      </c>
      <c r="C30" s="3" t="s">
        <v>13</v>
      </c>
      <c r="D30" s="3" t="s">
        <v>14</v>
      </c>
      <c r="E30" s="3" t="s">
        <v>15</v>
      </c>
      <c r="F30" s="3" t="s">
        <v>16</v>
      </c>
      <c r="G30" s="3" t="s">
        <v>17</v>
      </c>
      <c r="H30" s="3" t="s">
        <v>18</v>
      </c>
      <c r="I30" s="3" t="s">
        <v>5</v>
      </c>
      <c r="J30" s="2"/>
      <c r="K30" s="2"/>
      <c r="L30" s="2"/>
      <c r="M30" s="2"/>
      <c r="N30" s="2"/>
      <c r="O30" s="2"/>
      <c r="P30" s="2"/>
      <c r="Q30" s="2"/>
    </row>
    <row r="31" spans="1:25" ht="12.75">
      <c r="B31" s="4">
        <v>1</v>
      </c>
      <c r="C31" s="58" t="s">
        <v>19</v>
      </c>
      <c r="D31" s="59"/>
      <c r="E31" s="59" t="s">
        <v>59</v>
      </c>
      <c r="F31" s="59"/>
      <c r="G31" s="59"/>
      <c r="H31" s="59"/>
      <c r="I31" s="59"/>
      <c r="Q31">
        <f>COUNTA(D31)*5 +COUNTA(E31)*4+COUNTA(F31)*3+COUNTA(G31)*2+COUNTA(H31)*1</f>
        <v>4</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c r="E35" s="59" t="s">
        <v>59</v>
      </c>
      <c r="F35" s="59"/>
      <c r="G35" s="59"/>
      <c r="H35" s="59"/>
      <c r="I35" s="59"/>
      <c r="J35" s="7"/>
      <c r="Q35">
        <f t="shared" si="2"/>
        <v>4</v>
      </c>
    </row>
    <row r="36" spans="2:17" ht="12.75">
      <c r="B36" s="4">
        <v>6</v>
      </c>
      <c r="C36" s="58" t="s">
        <v>25</v>
      </c>
      <c r="D36" s="59" t="s">
        <v>59</v>
      </c>
      <c r="E36" s="59"/>
      <c r="F36" s="59"/>
      <c r="G36" s="59"/>
      <c r="H36" s="59"/>
      <c r="I36" s="59"/>
      <c r="J36" s="7"/>
      <c r="Q36">
        <f t="shared" si="2"/>
        <v>5</v>
      </c>
    </row>
    <row r="37" spans="2:17" ht="12.75">
      <c r="B37" s="4">
        <v>7</v>
      </c>
      <c r="C37" s="61" t="s">
        <v>26</v>
      </c>
      <c r="D37" s="62"/>
      <c r="E37" s="62" t="s">
        <v>59</v>
      </c>
      <c r="F37" s="63"/>
      <c r="G37" s="63"/>
      <c r="H37" s="63"/>
      <c r="I37" s="63"/>
      <c r="J37" s="7"/>
      <c r="Q37">
        <f t="shared" si="2"/>
        <v>4</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4.625</v>
      </c>
    </row>
    <row r="41" spans="2:17" ht="20.25">
      <c r="B41" s="100" t="s">
        <v>1</v>
      </c>
      <c r="C41" s="101"/>
      <c r="D41" s="75" t="s">
        <v>111</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c r="E43" s="59" t="s">
        <v>59</v>
      </c>
      <c r="F43" s="59"/>
      <c r="G43" s="59"/>
      <c r="H43" s="59"/>
      <c r="I43" s="59"/>
      <c r="Q43">
        <f>COUNTA(D43)*5 +COUNTA(E43)*4+COUNTA(F43)*3+COUNTA(G43)*2+COUNTA(H43)*1</f>
        <v>4</v>
      </c>
    </row>
    <row r="44" spans="2:17" ht="12.75">
      <c r="B44" s="4">
        <v>2</v>
      </c>
      <c r="C44" s="58" t="s">
        <v>21</v>
      </c>
      <c r="D44" s="59" t="s">
        <v>59</v>
      </c>
      <c r="E44" s="60"/>
      <c r="F44" s="59"/>
      <c r="G44" s="59"/>
      <c r="H44" s="59"/>
      <c r="I44" s="59"/>
      <c r="Q44">
        <f t="shared" ref="Q44:Q50" si="3">COUNTA(D44)*5 +COUNTA(E44)*4+COUNTA(F44)*3+COUNTA(G44)*2+COUNTA(H44)*1</f>
        <v>5</v>
      </c>
    </row>
    <row r="45" spans="2:17" ht="12.75">
      <c r="B45" s="4">
        <v>3</v>
      </c>
      <c r="C45" s="58" t="s">
        <v>22</v>
      </c>
      <c r="D45" s="59"/>
      <c r="E45" s="59" t="s">
        <v>59</v>
      </c>
      <c r="F45" s="59"/>
      <c r="G45" s="59"/>
      <c r="H45" s="59"/>
      <c r="I45" s="59"/>
      <c r="Q45">
        <f t="shared" si="3"/>
        <v>4</v>
      </c>
    </row>
    <row r="46" spans="2:17" ht="12.75">
      <c r="B46" s="4">
        <v>4</v>
      </c>
      <c r="C46" s="58" t="s">
        <v>23</v>
      </c>
      <c r="D46" s="59" t="s">
        <v>59</v>
      </c>
      <c r="E46" s="59"/>
      <c r="F46" s="59"/>
      <c r="G46" s="59"/>
      <c r="H46" s="59"/>
      <c r="I46" s="59"/>
      <c r="J46" s="7"/>
      <c r="Q46">
        <f t="shared" si="3"/>
        <v>5</v>
      </c>
    </row>
    <row r="47" spans="2:17" ht="12.75">
      <c r="B47" s="4">
        <v>5</v>
      </c>
      <c r="C47" s="58" t="s">
        <v>24</v>
      </c>
      <c r="D47" s="59"/>
      <c r="E47" s="59"/>
      <c r="F47" s="59" t="s">
        <v>59</v>
      </c>
      <c r="G47" s="59"/>
      <c r="H47" s="59"/>
      <c r="I47" s="59"/>
      <c r="J47" s="7"/>
      <c r="Q47">
        <f t="shared" si="3"/>
        <v>3</v>
      </c>
    </row>
    <row r="48" spans="2:17" ht="12.75">
      <c r="B48" s="4">
        <v>6</v>
      </c>
      <c r="C48" s="58" t="s">
        <v>25</v>
      </c>
      <c r="D48" s="59"/>
      <c r="E48" s="59" t="s">
        <v>59</v>
      </c>
      <c r="F48" s="59"/>
      <c r="G48" s="59"/>
      <c r="H48" s="59"/>
      <c r="I48" s="59"/>
      <c r="J48" s="7"/>
      <c r="Q48">
        <f t="shared" si="3"/>
        <v>4</v>
      </c>
    </row>
    <row r="49" spans="2:17" ht="12.75">
      <c r="B49" s="4">
        <v>7</v>
      </c>
      <c r="C49" s="61" t="s">
        <v>26</v>
      </c>
      <c r="D49" s="62" t="s">
        <v>59</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c r="Q52">
        <f>IF(Q50&gt;0,AVERAGE(Q43:Q50),AVERAGE(Q43:Q49))</f>
        <v>4.375</v>
      </c>
    </row>
    <row r="53" spans="2:17" ht="20.25">
      <c r="B53" s="100" t="s">
        <v>1</v>
      </c>
      <c r="C53" s="101"/>
      <c r="D53" s="75" t="s">
        <v>112</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c r="E55" s="59" t="s">
        <v>59</v>
      </c>
      <c r="F55" s="59"/>
      <c r="G55" s="59"/>
      <c r="H55" s="59"/>
      <c r="I55" s="59"/>
      <c r="Q55">
        <f>COUNTA(D55)*5 +COUNTA(E55)*4+COUNTA(F55)*3+COUNTA(G55)*2+COUNTA(H55)*1</f>
        <v>4</v>
      </c>
    </row>
    <row r="56" spans="2:17" ht="12.75">
      <c r="B56" s="4">
        <v>2</v>
      </c>
      <c r="C56" s="58" t="s">
        <v>21</v>
      </c>
      <c r="D56" s="59" t="s">
        <v>59</v>
      </c>
      <c r="E56" s="60"/>
      <c r="F56" s="59"/>
      <c r="G56" s="59"/>
      <c r="H56" s="59"/>
      <c r="I56" s="59"/>
      <c r="Q56">
        <f t="shared" ref="Q56:Q62" si="4">COUNTA(D56)*5 +COUNTA(E56)*4+COUNTA(F56)*3+COUNTA(G56)*2+COUNTA(H56)*1</f>
        <v>5</v>
      </c>
    </row>
    <row r="57" spans="2:17" ht="12.75">
      <c r="B57" s="4">
        <v>3</v>
      </c>
      <c r="C57" s="58" t="s">
        <v>22</v>
      </c>
      <c r="D57" s="59"/>
      <c r="E57" s="59" t="s">
        <v>59</v>
      </c>
      <c r="F57" s="59"/>
      <c r="G57" s="59"/>
      <c r="H57" s="59"/>
      <c r="I57" s="59"/>
      <c r="Q57">
        <f t="shared" si="4"/>
        <v>4</v>
      </c>
    </row>
    <row r="58" spans="2:17" ht="12.75">
      <c r="B58" s="4">
        <v>4</v>
      </c>
      <c r="C58" s="58" t="s">
        <v>23</v>
      </c>
      <c r="D58" s="59" t="s">
        <v>59</v>
      </c>
      <c r="E58" s="59"/>
      <c r="F58" s="59"/>
      <c r="G58" s="59"/>
      <c r="H58" s="59"/>
      <c r="I58" s="59"/>
      <c r="J58" s="7"/>
      <c r="Q58">
        <f t="shared" si="4"/>
        <v>5</v>
      </c>
    </row>
    <row r="59" spans="2:17" ht="12.75">
      <c r="B59" s="4">
        <v>5</v>
      </c>
      <c r="C59" s="58" t="s">
        <v>24</v>
      </c>
      <c r="D59" s="59"/>
      <c r="E59" s="59"/>
      <c r="F59" s="59" t="s">
        <v>59</v>
      </c>
      <c r="G59" s="59"/>
      <c r="H59" s="59"/>
      <c r="I59" s="59"/>
      <c r="J59" s="7"/>
      <c r="Q59">
        <f t="shared" si="4"/>
        <v>3</v>
      </c>
    </row>
    <row r="60" spans="2:17" ht="12.75">
      <c r="B60" s="4">
        <v>6</v>
      </c>
      <c r="C60" s="58" t="s">
        <v>25</v>
      </c>
      <c r="D60" s="59"/>
      <c r="E60" s="59" t="s">
        <v>59</v>
      </c>
      <c r="F60" s="59"/>
      <c r="G60" s="59"/>
      <c r="H60" s="59"/>
      <c r="I60" s="59"/>
      <c r="J60" s="7"/>
      <c r="Q60">
        <f t="shared" si="4"/>
        <v>4</v>
      </c>
    </row>
    <row r="61" spans="2:17" ht="12.75">
      <c r="B61" s="4">
        <v>7</v>
      </c>
      <c r="C61" s="61" t="s">
        <v>26</v>
      </c>
      <c r="D61" s="62" t="s">
        <v>59</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4.375</v>
      </c>
    </row>
    <row r="65" spans="2:17" ht="20.25">
      <c r="B65" s="100" t="s">
        <v>1</v>
      </c>
      <c r="C65" s="101"/>
      <c r="D65" s="75" t="s">
        <v>113</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c r="E67" s="59" t="s">
        <v>59</v>
      </c>
      <c r="F67" s="59"/>
      <c r="G67" s="59"/>
      <c r="H67" s="59"/>
      <c r="I67" s="59"/>
      <c r="Q67">
        <f>COUNTA(D67)*5 +COUNTA(E67)*4+COUNTA(F67)*3+COUNTA(G67)*2+COUNTA(H67)*1</f>
        <v>4</v>
      </c>
    </row>
    <row r="68" spans="2:17" ht="12.75">
      <c r="B68" s="4">
        <v>2</v>
      </c>
      <c r="C68" s="58" t="s">
        <v>21</v>
      </c>
      <c r="D68" s="59" t="s">
        <v>59</v>
      </c>
      <c r="E68" s="60"/>
      <c r="F68" s="59"/>
      <c r="G68" s="59"/>
      <c r="H68" s="59"/>
      <c r="I68" s="59"/>
      <c r="Q68">
        <f t="shared" ref="Q68:Q74" si="5">COUNTA(D68)*5 +COUNTA(E68)*4+COUNTA(F68)*3+COUNTA(G68)*2+COUNTA(H68)*1</f>
        <v>5</v>
      </c>
    </row>
    <row r="69" spans="2:17" ht="12.75">
      <c r="B69" s="4">
        <v>3</v>
      </c>
      <c r="C69" s="58" t="s">
        <v>22</v>
      </c>
      <c r="D69" s="59"/>
      <c r="E69" s="59" t="s">
        <v>59</v>
      </c>
      <c r="F69" s="59"/>
      <c r="G69" s="59"/>
      <c r="H69" s="59"/>
      <c r="I69" s="59"/>
      <c r="Q69">
        <f t="shared" si="5"/>
        <v>4</v>
      </c>
    </row>
    <row r="70" spans="2:17" ht="12.75">
      <c r="B70" s="4">
        <v>4</v>
      </c>
      <c r="C70" s="58" t="s">
        <v>23</v>
      </c>
      <c r="D70" s="59" t="s">
        <v>59</v>
      </c>
      <c r="E70" s="59"/>
      <c r="F70" s="59"/>
      <c r="G70" s="59"/>
      <c r="H70" s="59"/>
      <c r="I70" s="59"/>
      <c r="J70" s="7"/>
      <c r="Q70">
        <f t="shared" si="5"/>
        <v>5</v>
      </c>
    </row>
    <row r="71" spans="2:17" ht="12.75">
      <c r="B71" s="4">
        <v>5</v>
      </c>
      <c r="C71" s="58" t="s">
        <v>24</v>
      </c>
      <c r="D71" s="59"/>
      <c r="E71" s="59"/>
      <c r="F71" s="59" t="s">
        <v>59</v>
      </c>
      <c r="G71" s="59"/>
      <c r="H71" s="59"/>
      <c r="I71" s="59"/>
      <c r="J71" s="7"/>
      <c r="Q71">
        <f t="shared" si="5"/>
        <v>3</v>
      </c>
    </row>
    <row r="72" spans="2:17" ht="12.75">
      <c r="B72" s="4">
        <v>6</v>
      </c>
      <c r="C72" s="58" t="s">
        <v>25</v>
      </c>
      <c r="D72" s="59"/>
      <c r="E72" s="59" t="s">
        <v>59</v>
      </c>
      <c r="F72" s="59"/>
      <c r="G72" s="59"/>
      <c r="H72" s="59"/>
      <c r="I72" s="59"/>
      <c r="J72" s="7"/>
      <c r="Q72">
        <f t="shared" si="5"/>
        <v>4</v>
      </c>
    </row>
    <row r="73" spans="2:17" ht="12.75">
      <c r="B73" s="4">
        <v>7</v>
      </c>
      <c r="C73" s="61" t="s">
        <v>26</v>
      </c>
      <c r="D73" s="62" t="s">
        <v>59</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4.375</v>
      </c>
    </row>
    <row r="77" spans="2:17" ht="20.25">
      <c r="B77" s="100" t="s">
        <v>1</v>
      </c>
      <c r="C77" s="101"/>
      <c r="D77" s="75" t="s">
        <v>114</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c r="E79" s="59" t="s">
        <v>59</v>
      </c>
      <c r="F79" s="59"/>
      <c r="G79" s="59"/>
      <c r="H79" s="59"/>
      <c r="I79" s="59"/>
      <c r="Q79">
        <f>COUNTA(D79)*5 +COUNTA(E79)*4+COUNTA(F79)*3+COUNTA(G79)*2+COUNTA(H79)*1</f>
        <v>4</v>
      </c>
    </row>
    <row r="80" spans="2:17" ht="12.75">
      <c r="B80" s="4">
        <v>2</v>
      </c>
      <c r="C80" s="58" t="s">
        <v>21</v>
      </c>
      <c r="D80" s="59" t="s">
        <v>59</v>
      </c>
      <c r="E80" s="60"/>
      <c r="F80" s="59"/>
      <c r="G80" s="59"/>
      <c r="H80" s="59"/>
      <c r="I80" s="59"/>
      <c r="Q80">
        <f t="shared" ref="Q80:Q86" si="6">COUNTA(D80)*5 +COUNTA(E80)*4+COUNTA(F80)*3+COUNTA(G80)*2+COUNTA(H80)*1</f>
        <v>5</v>
      </c>
    </row>
    <row r="81" spans="2:17" ht="12.75">
      <c r="B81" s="4">
        <v>3</v>
      </c>
      <c r="C81" s="58" t="s">
        <v>22</v>
      </c>
      <c r="D81" s="59"/>
      <c r="E81" s="59" t="s">
        <v>59</v>
      </c>
      <c r="F81" s="59"/>
      <c r="G81" s="59"/>
      <c r="H81" s="59"/>
      <c r="I81" s="59"/>
      <c r="Q81">
        <f t="shared" si="6"/>
        <v>4</v>
      </c>
    </row>
    <row r="82" spans="2:17" ht="12.75">
      <c r="B82" s="4">
        <v>4</v>
      </c>
      <c r="C82" s="58" t="s">
        <v>23</v>
      </c>
      <c r="D82" s="59" t="s">
        <v>59</v>
      </c>
      <c r="E82" s="59"/>
      <c r="F82" s="59"/>
      <c r="G82" s="59"/>
      <c r="H82" s="59"/>
      <c r="I82" s="59"/>
      <c r="J82" s="7"/>
      <c r="Q82">
        <f t="shared" si="6"/>
        <v>5</v>
      </c>
    </row>
    <row r="83" spans="2:17" ht="12.75">
      <c r="B83" s="4">
        <v>5</v>
      </c>
      <c r="C83" s="58" t="s">
        <v>24</v>
      </c>
      <c r="D83" s="59"/>
      <c r="E83" s="59"/>
      <c r="F83" s="59" t="s">
        <v>59</v>
      </c>
      <c r="G83" s="59"/>
      <c r="H83" s="59"/>
      <c r="I83" s="59"/>
      <c r="J83" s="7"/>
      <c r="Q83">
        <f t="shared" si="6"/>
        <v>3</v>
      </c>
    </row>
    <row r="84" spans="2:17" ht="12.75">
      <c r="B84" s="4">
        <v>6</v>
      </c>
      <c r="C84" s="58" t="s">
        <v>25</v>
      </c>
      <c r="D84" s="59"/>
      <c r="E84" s="59" t="s">
        <v>59</v>
      </c>
      <c r="F84" s="59"/>
      <c r="G84" s="59"/>
      <c r="H84" s="59"/>
      <c r="I84" s="59"/>
      <c r="J84" s="7"/>
      <c r="Q84">
        <f t="shared" si="6"/>
        <v>4</v>
      </c>
    </row>
    <row r="85" spans="2:17" ht="12.75">
      <c r="B85" s="4">
        <v>7</v>
      </c>
      <c r="C85" s="61" t="s">
        <v>26</v>
      </c>
      <c r="D85" s="62" t="s">
        <v>59</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4.375</v>
      </c>
    </row>
    <row r="89" spans="2:17" ht="20.25">
      <c r="B89" s="100" t="s">
        <v>1</v>
      </c>
      <c r="C89" s="101"/>
      <c r="D89" s="75" t="s">
        <v>115</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c r="E91" s="59" t="s">
        <v>59</v>
      </c>
      <c r="F91" s="59"/>
      <c r="G91" s="59"/>
      <c r="H91" s="59"/>
      <c r="I91" s="59"/>
      <c r="Q91">
        <f>COUNTA(D91)*5 +COUNTA(E91)*4+COUNTA(F91)*3+COUNTA(G91)*2+COUNTA(H91)*1</f>
        <v>4</v>
      </c>
    </row>
    <row r="92" spans="2:17" ht="12.75">
      <c r="B92" s="4">
        <v>2</v>
      </c>
      <c r="C92" s="58" t="s">
        <v>21</v>
      </c>
      <c r="D92" s="59" t="s">
        <v>59</v>
      </c>
      <c r="E92" s="60"/>
      <c r="F92" s="59"/>
      <c r="G92" s="59"/>
      <c r="H92" s="59"/>
      <c r="I92" s="59"/>
      <c r="Q92">
        <f t="shared" ref="Q92:Q98" si="7">COUNTA(D92)*5 +COUNTA(E92)*4+COUNTA(F92)*3+COUNTA(G92)*2+COUNTA(H92)*1</f>
        <v>5</v>
      </c>
    </row>
    <row r="93" spans="2:17" ht="12.75">
      <c r="B93" s="4">
        <v>3</v>
      </c>
      <c r="C93" s="58" t="s">
        <v>22</v>
      </c>
      <c r="D93" s="59"/>
      <c r="E93" s="59" t="s">
        <v>59</v>
      </c>
      <c r="F93" s="59"/>
      <c r="G93" s="59"/>
      <c r="H93" s="59"/>
      <c r="I93" s="59"/>
      <c r="Q93">
        <f t="shared" si="7"/>
        <v>4</v>
      </c>
    </row>
    <row r="94" spans="2:17" ht="12.75">
      <c r="B94" s="4">
        <v>4</v>
      </c>
      <c r="C94" s="58" t="s">
        <v>23</v>
      </c>
      <c r="D94" s="59" t="s">
        <v>59</v>
      </c>
      <c r="E94" s="59"/>
      <c r="F94" s="59"/>
      <c r="G94" s="59"/>
      <c r="H94" s="59"/>
      <c r="I94" s="59"/>
      <c r="J94" s="7"/>
      <c r="Q94">
        <f t="shared" si="7"/>
        <v>5</v>
      </c>
    </row>
    <row r="95" spans="2:17" ht="12.75">
      <c r="B95" s="4">
        <v>5</v>
      </c>
      <c r="C95" s="58" t="s">
        <v>24</v>
      </c>
      <c r="D95" s="59"/>
      <c r="E95" s="59"/>
      <c r="F95" s="59" t="s">
        <v>59</v>
      </c>
      <c r="G95" s="59"/>
      <c r="H95" s="59"/>
      <c r="I95" s="59"/>
      <c r="J95" s="7"/>
      <c r="Q95">
        <f t="shared" si="7"/>
        <v>3</v>
      </c>
    </row>
    <row r="96" spans="2:17" ht="12.75">
      <c r="B96" s="4">
        <v>6</v>
      </c>
      <c r="C96" s="58" t="s">
        <v>25</v>
      </c>
      <c r="D96" s="59"/>
      <c r="E96" s="59" t="s">
        <v>59</v>
      </c>
      <c r="F96" s="59"/>
      <c r="G96" s="59"/>
      <c r="H96" s="59"/>
      <c r="I96" s="59"/>
      <c r="J96" s="7"/>
      <c r="Q96">
        <f t="shared" si="7"/>
        <v>4</v>
      </c>
    </row>
    <row r="97" spans="2:17" ht="12.75">
      <c r="B97" s="4">
        <v>7</v>
      </c>
      <c r="C97" s="61" t="s">
        <v>26</v>
      </c>
      <c r="D97" s="62" t="s">
        <v>59</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4.375</v>
      </c>
    </row>
    <row r="101" spans="2:17" ht="20.25">
      <c r="B101" s="100" t="s">
        <v>1</v>
      </c>
      <c r="C101" s="101"/>
      <c r="D101" s="75" t="s">
        <v>116</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c r="E103" s="59" t="s">
        <v>59</v>
      </c>
      <c r="F103" s="59"/>
      <c r="G103" s="59"/>
      <c r="H103" s="59"/>
      <c r="I103" s="59"/>
      <c r="Q103">
        <f>COUNTA(D103)*5 +COUNTA(E103)*4+COUNTA(F103)*3+COUNTA(G103)*2+COUNTA(H103)*1</f>
        <v>4</v>
      </c>
    </row>
    <row r="104" spans="2:17" ht="12.75">
      <c r="B104" s="4">
        <v>2</v>
      </c>
      <c r="C104" s="58" t="s">
        <v>21</v>
      </c>
      <c r="D104" s="59" t="s">
        <v>59</v>
      </c>
      <c r="E104" s="60"/>
      <c r="F104" s="59"/>
      <c r="G104" s="59"/>
      <c r="H104" s="59"/>
      <c r="I104" s="59"/>
      <c r="Q104">
        <f t="shared" ref="Q104:Q110" si="8">COUNTA(D104)*5 +COUNTA(E104)*4+COUNTA(F104)*3+COUNTA(G104)*2+COUNTA(H104)*1</f>
        <v>5</v>
      </c>
    </row>
    <row r="105" spans="2:17" ht="12.75">
      <c r="B105" s="4">
        <v>3</v>
      </c>
      <c r="C105" s="58" t="s">
        <v>22</v>
      </c>
      <c r="D105" s="59"/>
      <c r="E105" s="59" t="s">
        <v>59</v>
      </c>
      <c r="F105" s="59"/>
      <c r="G105" s="59"/>
      <c r="H105" s="59"/>
      <c r="I105" s="59"/>
      <c r="Q105">
        <f t="shared" si="8"/>
        <v>4</v>
      </c>
    </row>
    <row r="106" spans="2:17" ht="12.75">
      <c r="B106" s="4">
        <v>4</v>
      </c>
      <c r="C106" s="58" t="s">
        <v>23</v>
      </c>
      <c r="D106" s="59" t="s">
        <v>59</v>
      </c>
      <c r="E106" s="59"/>
      <c r="F106" s="59"/>
      <c r="G106" s="59"/>
      <c r="H106" s="59"/>
      <c r="I106" s="59"/>
      <c r="J106" s="7"/>
      <c r="Q106">
        <f t="shared" si="8"/>
        <v>5</v>
      </c>
    </row>
    <row r="107" spans="2:17" ht="12.75">
      <c r="B107" s="4">
        <v>5</v>
      </c>
      <c r="C107" s="58" t="s">
        <v>24</v>
      </c>
      <c r="D107" s="59"/>
      <c r="E107" s="59"/>
      <c r="F107" s="59" t="s">
        <v>59</v>
      </c>
      <c r="G107" s="59"/>
      <c r="H107" s="59"/>
      <c r="I107" s="59"/>
      <c r="J107" s="7"/>
      <c r="Q107">
        <f t="shared" si="8"/>
        <v>3</v>
      </c>
    </row>
    <row r="108" spans="2:17" ht="12.75">
      <c r="B108" s="4">
        <v>6</v>
      </c>
      <c r="C108" s="58" t="s">
        <v>25</v>
      </c>
      <c r="D108" s="59"/>
      <c r="E108" s="59" t="s">
        <v>59</v>
      </c>
      <c r="F108" s="59"/>
      <c r="G108" s="59"/>
      <c r="H108" s="59"/>
      <c r="I108" s="59"/>
      <c r="J108" s="7"/>
      <c r="Q108">
        <f t="shared" si="8"/>
        <v>4</v>
      </c>
    </row>
    <row r="109" spans="2:17" ht="12.75">
      <c r="B109" s="4">
        <v>7</v>
      </c>
      <c r="C109" s="61" t="s">
        <v>26</v>
      </c>
      <c r="D109" s="62" t="s">
        <v>59</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1"/>
      <c r="Q112">
        <f>IF(Q110&gt;0,AVERAGE(Q103:Q110),AVERAGE(Q103:Q109))</f>
        <v>4.375</v>
      </c>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37">
    <mergeCell ref="B77:C77"/>
    <mergeCell ref="D77:G77"/>
    <mergeCell ref="D86:I86"/>
    <mergeCell ref="B65:C65"/>
    <mergeCell ref="D65:G65"/>
    <mergeCell ref="D74:I74"/>
    <mergeCell ref="D75:I75"/>
    <mergeCell ref="B17:C17"/>
    <mergeCell ref="D17:G17"/>
    <mergeCell ref="L4:L5"/>
    <mergeCell ref="B5:C5"/>
    <mergeCell ref="D5:G5"/>
    <mergeCell ref="D14:I14"/>
    <mergeCell ref="D15:I15"/>
    <mergeCell ref="D26:I26"/>
    <mergeCell ref="D27:I27"/>
    <mergeCell ref="B29:C29"/>
    <mergeCell ref="D29:G29"/>
    <mergeCell ref="D38:I38"/>
    <mergeCell ref="D39:I39"/>
    <mergeCell ref="B53:C53"/>
    <mergeCell ref="D53:G53"/>
    <mergeCell ref="D62:I62"/>
    <mergeCell ref="D63:I63"/>
    <mergeCell ref="B41:C41"/>
    <mergeCell ref="D41:G41"/>
    <mergeCell ref="D50:I50"/>
    <mergeCell ref="D51:I51"/>
    <mergeCell ref="B101:C101"/>
    <mergeCell ref="D101:G101"/>
    <mergeCell ref="D110:I110"/>
    <mergeCell ref="D111:I111"/>
    <mergeCell ref="D87:I87"/>
    <mergeCell ref="B89:C89"/>
    <mergeCell ref="D89:G89"/>
    <mergeCell ref="D98:I98"/>
    <mergeCell ref="D99:I99"/>
  </mergeCells>
  <pageMargins left="0" right="0" top="0" bottom="0" header="0" footer="0"/>
  <pageSetup paperSize="8" fitToWidth="0" fitToHeight="0" orientation="portrait"/>
  <headerFooter>
    <oddFooter>&amp;R_x000D_&amp;1#&amp;"Calibri"&amp;8&amp;K000000 Cisco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B94C-65B3-4442-9559-9F60D0DC222B}">
  <sheetPr>
    <outlinePr summaryBelow="0" summaryRight="0"/>
  </sheetPr>
  <dimension ref="A1:Y967"/>
  <sheetViews>
    <sheetView showGridLines="0" topLeftCell="C100" zoomScale="90" zoomScaleNormal="90" workbookViewId="0">
      <selection activeCell="G115" sqref="G115"/>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t="s">
        <v>73</v>
      </c>
      <c r="D1" t="s">
        <v>105</v>
      </c>
    </row>
    <row r="2" spans="1:25" s="39" customFormat="1" ht="12.75" customHeight="1">
      <c r="B2" s="40"/>
      <c r="C2" s="39" t="s">
        <v>106</v>
      </c>
      <c r="D2" s="39" t="s">
        <v>117</v>
      </c>
    </row>
    <row r="3" spans="1:25" ht="12.75">
      <c r="B3" s="1"/>
    </row>
    <row r="4" spans="1:25" ht="12.75">
      <c r="B4" s="1"/>
      <c r="L4" s="82" t="s">
        <v>45</v>
      </c>
    </row>
    <row r="5" spans="1:25" ht="12.75">
      <c r="B5" s="100" t="s">
        <v>1</v>
      </c>
      <c r="C5" s="101"/>
      <c r="D5" s="75" t="s">
        <v>108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59</v>
      </c>
      <c r="F7" s="59"/>
      <c r="G7" s="59"/>
      <c r="H7" s="59"/>
      <c r="I7" s="59"/>
      <c r="Q7">
        <f>COUNTA(D7)*5 +COUNTA(E7)*4+COUNTA(F7)*3+COUNTA(G7)*2+COUNTA(H7)*1</f>
        <v>4</v>
      </c>
    </row>
    <row r="8" spans="1:25" ht="12.75">
      <c r="B8" s="4">
        <v>2</v>
      </c>
      <c r="C8" s="58" t="s">
        <v>21</v>
      </c>
      <c r="D8" s="59" t="s">
        <v>59</v>
      </c>
      <c r="E8" s="60"/>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c r="E11" s="59" t="s">
        <v>59</v>
      </c>
      <c r="F11" s="59"/>
      <c r="G11" s="59"/>
      <c r="H11" s="59"/>
      <c r="I11" s="59"/>
      <c r="J11" s="7"/>
      <c r="Q11">
        <f t="shared" si="0"/>
        <v>4</v>
      </c>
    </row>
    <row r="12" spans="1:25" ht="12.75">
      <c r="B12" s="4">
        <v>6</v>
      </c>
      <c r="C12" s="58" t="s">
        <v>25</v>
      </c>
      <c r="D12" s="59" t="s">
        <v>59</v>
      </c>
      <c r="E12" s="59"/>
      <c r="F12" s="59"/>
      <c r="G12" s="59"/>
      <c r="H12" s="59"/>
      <c r="I12" s="59"/>
      <c r="J12" s="7"/>
      <c r="Q12">
        <f t="shared" si="0"/>
        <v>5</v>
      </c>
    </row>
    <row r="13" spans="1:25" ht="12.75">
      <c r="B13" s="4">
        <v>7</v>
      </c>
      <c r="C13" s="61" t="s">
        <v>26</v>
      </c>
      <c r="D13" s="62"/>
      <c r="E13" s="62" t="s">
        <v>59</v>
      </c>
      <c r="F13" s="63"/>
      <c r="G13" s="63"/>
      <c r="H13" s="63"/>
      <c r="I13" s="63"/>
      <c r="J13" s="7"/>
      <c r="Q13">
        <f t="shared" si="0"/>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1:25" ht="15" customHeight="1">
      <c r="B17" s="100" t="s">
        <v>1</v>
      </c>
      <c r="C17" s="101"/>
      <c r="D17" s="75" t="s">
        <v>109</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c r="E19" s="59" t="s">
        <v>59</v>
      </c>
      <c r="F19" s="59"/>
      <c r="G19" s="59"/>
      <c r="H19" s="59"/>
      <c r="I19" s="59"/>
      <c r="Q19">
        <f>COUNTA(D19)*5 +COUNTA(E19)*4+COUNTA(F19)*3+COUNTA(G19)*2+COUNTA(H19)*1</f>
        <v>4</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c r="E23" s="59" t="s">
        <v>59</v>
      </c>
      <c r="F23" s="59"/>
      <c r="G23" s="59"/>
      <c r="H23" s="59"/>
      <c r="I23" s="59"/>
      <c r="J23" s="7"/>
      <c r="Q23">
        <f t="shared" si="1"/>
        <v>4</v>
      </c>
    </row>
    <row r="24" spans="1:25" ht="12.75">
      <c r="B24" s="4">
        <v>6</v>
      </c>
      <c r="C24" s="58" t="s">
        <v>25</v>
      </c>
      <c r="D24" s="59" t="s">
        <v>59</v>
      </c>
      <c r="E24" s="59"/>
      <c r="F24" s="59"/>
      <c r="G24" s="59"/>
      <c r="H24" s="59"/>
      <c r="I24" s="59"/>
      <c r="J24" s="7"/>
      <c r="Q24">
        <f t="shared" si="1"/>
        <v>5</v>
      </c>
    </row>
    <row r="25" spans="1:25" ht="12.75">
      <c r="B25" s="4">
        <v>7</v>
      </c>
      <c r="C25" s="61" t="s">
        <v>26</v>
      </c>
      <c r="D25" s="62"/>
      <c r="E25" s="62" t="s">
        <v>59</v>
      </c>
      <c r="F25" s="63"/>
      <c r="G25" s="63"/>
      <c r="H25" s="63"/>
      <c r="I25" s="63"/>
      <c r="J25" s="7"/>
      <c r="Q25">
        <f t="shared" si="1"/>
        <v>4</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4.625</v>
      </c>
    </row>
    <row r="29" spans="1:25" ht="20.25">
      <c r="B29" s="100" t="s">
        <v>1</v>
      </c>
      <c r="C29" s="101"/>
      <c r="D29" s="75" t="s">
        <v>110</v>
      </c>
      <c r="E29" s="105"/>
      <c r="F29" s="105"/>
      <c r="G29" s="106"/>
      <c r="L29" s="57"/>
    </row>
    <row r="30" spans="1:25" ht="23.25">
      <c r="B30" s="3" t="s">
        <v>0</v>
      </c>
      <c r="C30" s="3" t="s">
        <v>13</v>
      </c>
      <c r="D30" s="3" t="s">
        <v>14</v>
      </c>
      <c r="E30" s="3" t="s">
        <v>15</v>
      </c>
      <c r="F30" s="3" t="s">
        <v>16</v>
      </c>
      <c r="G30" s="3" t="s">
        <v>17</v>
      </c>
      <c r="H30" s="3" t="s">
        <v>18</v>
      </c>
      <c r="I30" s="3" t="s">
        <v>5</v>
      </c>
      <c r="J30" s="2"/>
      <c r="K30" s="2"/>
      <c r="L30" s="2"/>
      <c r="M30" s="2"/>
      <c r="N30" s="2"/>
      <c r="O30" s="2"/>
      <c r="P30" s="2"/>
      <c r="Q30" s="2"/>
    </row>
    <row r="31" spans="1:25" ht="12.75">
      <c r="B31" s="4">
        <v>1</v>
      </c>
      <c r="C31" s="58" t="s">
        <v>19</v>
      </c>
      <c r="D31" s="59"/>
      <c r="E31" s="59" t="s">
        <v>59</v>
      </c>
      <c r="F31" s="59"/>
      <c r="G31" s="59"/>
      <c r="H31" s="59"/>
      <c r="I31" s="59"/>
      <c r="Q31">
        <f>COUNTA(D31)*5 +COUNTA(E31)*4+COUNTA(F31)*3+COUNTA(G31)*2+COUNTA(H31)*1</f>
        <v>4</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c r="E35" s="59" t="s">
        <v>59</v>
      </c>
      <c r="F35" s="59"/>
      <c r="G35" s="59"/>
      <c r="H35" s="59"/>
      <c r="I35" s="59"/>
      <c r="J35" s="7"/>
      <c r="Q35">
        <f t="shared" si="2"/>
        <v>4</v>
      </c>
    </row>
    <row r="36" spans="2:17" ht="12.75">
      <c r="B36" s="4">
        <v>6</v>
      </c>
      <c r="C36" s="58" t="s">
        <v>25</v>
      </c>
      <c r="D36" s="59" t="s">
        <v>59</v>
      </c>
      <c r="E36" s="59"/>
      <c r="F36" s="59"/>
      <c r="G36" s="59"/>
      <c r="H36" s="59"/>
      <c r="I36" s="59"/>
      <c r="J36" s="7"/>
      <c r="Q36">
        <f t="shared" si="2"/>
        <v>5</v>
      </c>
    </row>
    <row r="37" spans="2:17" ht="12.75">
      <c r="B37" s="4">
        <v>7</v>
      </c>
      <c r="C37" s="61" t="s">
        <v>26</v>
      </c>
      <c r="D37" s="62"/>
      <c r="E37" s="62" t="s">
        <v>59</v>
      </c>
      <c r="F37" s="63"/>
      <c r="G37" s="63"/>
      <c r="H37" s="63"/>
      <c r="I37" s="63"/>
      <c r="J37" s="7"/>
      <c r="Q37">
        <f t="shared" si="2"/>
        <v>4</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4.625</v>
      </c>
    </row>
    <row r="41" spans="2:17" ht="20.25">
      <c r="B41" s="100" t="s">
        <v>1</v>
      </c>
      <c r="C41" s="101"/>
      <c r="D41" s="75" t="s">
        <v>111</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c r="E43" s="59" t="s">
        <v>59</v>
      </c>
      <c r="F43" s="59"/>
      <c r="G43" s="59"/>
      <c r="H43" s="59"/>
      <c r="I43" s="59"/>
      <c r="Q43">
        <f>COUNTA(D43)*5 +COUNTA(E43)*4+COUNTA(F43)*3+COUNTA(G43)*2+COUNTA(H43)*1</f>
        <v>4</v>
      </c>
    </row>
    <row r="44" spans="2:17" ht="12.75">
      <c r="B44" s="4">
        <v>2</v>
      </c>
      <c r="C44" s="58" t="s">
        <v>21</v>
      </c>
      <c r="D44" s="59" t="s">
        <v>59</v>
      </c>
      <c r="E44" s="60"/>
      <c r="F44" s="59"/>
      <c r="G44" s="59"/>
      <c r="H44" s="59"/>
      <c r="I44" s="59"/>
      <c r="Q44">
        <f t="shared" ref="Q44:Q50" si="3">COUNTA(D44)*5 +COUNTA(E44)*4+COUNTA(F44)*3+COUNTA(G44)*2+COUNTA(H44)*1</f>
        <v>5</v>
      </c>
    </row>
    <row r="45" spans="2:17" ht="12.75">
      <c r="B45" s="4">
        <v>3</v>
      </c>
      <c r="C45" s="58" t="s">
        <v>22</v>
      </c>
      <c r="D45" s="59"/>
      <c r="E45" s="59" t="s">
        <v>59</v>
      </c>
      <c r="F45" s="59"/>
      <c r="G45" s="59"/>
      <c r="H45" s="59"/>
      <c r="I45" s="59"/>
      <c r="Q45">
        <f t="shared" si="3"/>
        <v>4</v>
      </c>
    </row>
    <row r="46" spans="2:17" ht="12.75">
      <c r="B46" s="4">
        <v>4</v>
      </c>
      <c r="C46" s="58" t="s">
        <v>23</v>
      </c>
      <c r="D46" s="59" t="s">
        <v>59</v>
      </c>
      <c r="E46" s="59"/>
      <c r="F46" s="59"/>
      <c r="G46" s="59"/>
      <c r="H46" s="59"/>
      <c r="I46" s="59"/>
      <c r="J46" s="7"/>
      <c r="Q46">
        <f t="shared" si="3"/>
        <v>5</v>
      </c>
    </row>
    <row r="47" spans="2:17" ht="12.75">
      <c r="B47" s="4">
        <v>5</v>
      </c>
      <c r="C47" s="58" t="s">
        <v>24</v>
      </c>
      <c r="D47" s="59"/>
      <c r="E47" s="59"/>
      <c r="F47" s="59" t="s">
        <v>59</v>
      </c>
      <c r="G47" s="59"/>
      <c r="H47" s="59"/>
      <c r="I47" s="59"/>
      <c r="J47" s="7"/>
      <c r="Q47">
        <f t="shared" si="3"/>
        <v>3</v>
      </c>
    </row>
    <row r="48" spans="2:17" ht="12.75">
      <c r="B48" s="4">
        <v>6</v>
      </c>
      <c r="C48" s="58" t="s">
        <v>25</v>
      </c>
      <c r="D48" s="59"/>
      <c r="E48" s="59" t="s">
        <v>59</v>
      </c>
      <c r="F48" s="59"/>
      <c r="G48" s="59"/>
      <c r="H48" s="59"/>
      <c r="I48" s="59"/>
      <c r="J48" s="7"/>
      <c r="Q48">
        <f t="shared" si="3"/>
        <v>4</v>
      </c>
    </row>
    <row r="49" spans="2:17" ht="12.75">
      <c r="B49" s="4">
        <v>7</v>
      </c>
      <c r="C49" s="61" t="s">
        <v>26</v>
      </c>
      <c r="D49" s="62" t="s">
        <v>59</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32.25" customHeight="1">
      <c r="B51" s="65">
        <v>9</v>
      </c>
      <c r="C51" s="67" t="s">
        <v>28</v>
      </c>
      <c r="D51" s="81"/>
      <c r="E51" s="104"/>
      <c r="F51" s="104"/>
      <c r="G51" s="104"/>
      <c r="H51" s="104"/>
      <c r="I51" s="104"/>
      <c r="J51" s="7"/>
    </row>
    <row r="52" spans="2:17" ht="12.75">
      <c r="B52" s="1"/>
      <c r="Q52">
        <f>IF(Q50&gt;0,AVERAGE(Q43:Q50),AVERAGE(Q43:Q49))</f>
        <v>4.375</v>
      </c>
    </row>
    <row r="53" spans="2:17" ht="20.25">
      <c r="B53" s="100" t="s">
        <v>1</v>
      </c>
      <c r="C53" s="101"/>
      <c r="D53" s="75" t="s">
        <v>112</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c r="E55" s="59" t="s">
        <v>59</v>
      </c>
      <c r="F55" s="59"/>
      <c r="G55" s="59"/>
      <c r="H55" s="59"/>
      <c r="I55" s="59"/>
      <c r="Q55">
        <f>COUNTA(D55)*5 +COUNTA(E55)*4+COUNTA(F55)*3+COUNTA(G55)*2+COUNTA(H55)*1</f>
        <v>4</v>
      </c>
    </row>
    <row r="56" spans="2:17" ht="12.75">
      <c r="B56" s="4">
        <v>2</v>
      </c>
      <c r="C56" s="58" t="s">
        <v>21</v>
      </c>
      <c r="D56" s="59" t="s">
        <v>59</v>
      </c>
      <c r="E56" s="60"/>
      <c r="F56" s="59"/>
      <c r="G56" s="59"/>
      <c r="H56" s="59"/>
      <c r="I56" s="59"/>
      <c r="Q56">
        <f t="shared" ref="Q56:Q62" si="4">COUNTA(D56)*5 +COUNTA(E56)*4+COUNTA(F56)*3+COUNTA(G56)*2+COUNTA(H56)*1</f>
        <v>5</v>
      </c>
    </row>
    <row r="57" spans="2:17" ht="12.75">
      <c r="B57" s="4">
        <v>3</v>
      </c>
      <c r="C57" s="58" t="s">
        <v>22</v>
      </c>
      <c r="D57" s="59"/>
      <c r="E57" s="59" t="s">
        <v>59</v>
      </c>
      <c r="F57" s="59"/>
      <c r="G57" s="59"/>
      <c r="H57" s="59"/>
      <c r="I57" s="59"/>
      <c r="Q57">
        <f t="shared" si="4"/>
        <v>4</v>
      </c>
    </row>
    <row r="58" spans="2:17" ht="12.75">
      <c r="B58" s="4">
        <v>4</v>
      </c>
      <c r="C58" s="58" t="s">
        <v>23</v>
      </c>
      <c r="D58" s="59" t="s">
        <v>59</v>
      </c>
      <c r="E58" s="59"/>
      <c r="F58" s="59"/>
      <c r="G58" s="59"/>
      <c r="H58" s="59"/>
      <c r="I58" s="59"/>
      <c r="J58" s="7"/>
      <c r="Q58">
        <f t="shared" si="4"/>
        <v>5</v>
      </c>
    </row>
    <row r="59" spans="2:17" ht="12.75">
      <c r="B59" s="4">
        <v>5</v>
      </c>
      <c r="C59" s="58" t="s">
        <v>24</v>
      </c>
      <c r="D59" s="59"/>
      <c r="E59" s="59"/>
      <c r="F59" s="59" t="s">
        <v>59</v>
      </c>
      <c r="G59" s="59"/>
      <c r="H59" s="59"/>
      <c r="I59" s="59"/>
      <c r="J59" s="7"/>
      <c r="Q59">
        <f t="shared" si="4"/>
        <v>3</v>
      </c>
    </row>
    <row r="60" spans="2:17" ht="12.75">
      <c r="B60" s="4">
        <v>6</v>
      </c>
      <c r="C60" s="58" t="s">
        <v>25</v>
      </c>
      <c r="D60" s="59"/>
      <c r="E60" s="59" t="s">
        <v>59</v>
      </c>
      <c r="F60" s="59"/>
      <c r="G60" s="59"/>
      <c r="H60" s="59"/>
      <c r="I60" s="59"/>
      <c r="J60" s="7"/>
      <c r="Q60">
        <f t="shared" si="4"/>
        <v>4</v>
      </c>
    </row>
    <row r="61" spans="2:17" ht="12.75">
      <c r="B61" s="4">
        <v>7</v>
      </c>
      <c r="C61" s="61" t="s">
        <v>26</v>
      </c>
      <c r="D61" s="62" t="s">
        <v>59</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4.375</v>
      </c>
    </row>
    <row r="65" spans="2:17" ht="20.25">
      <c r="B65" s="100" t="s">
        <v>1</v>
      </c>
      <c r="C65" s="101"/>
      <c r="D65" s="75" t="s">
        <v>113</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c r="E67" s="59" t="s">
        <v>59</v>
      </c>
      <c r="F67" s="59"/>
      <c r="G67" s="59"/>
      <c r="H67" s="59"/>
      <c r="I67" s="59"/>
      <c r="Q67">
        <f>COUNTA(D67)*5 +COUNTA(E67)*4+COUNTA(F67)*3+COUNTA(G67)*2+COUNTA(H67)*1</f>
        <v>4</v>
      </c>
    </row>
    <row r="68" spans="2:17" ht="12.75">
      <c r="B68" s="4">
        <v>2</v>
      </c>
      <c r="C68" s="58" t="s">
        <v>21</v>
      </c>
      <c r="D68" s="59" t="s">
        <v>59</v>
      </c>
      <c r="E68" s="60"/>
      <c r="F68" s="59"/>
      <c r="G68" s="59"/>
      <c r="H68" s="59"/>
      <c r="I68" s="59"/>
      <c r="Q68">
        <f t="shared" ref="Q68:Q74" si="5">COUNTA(D68)*5 +COUNTA(E68)*4+COUNTA(F68)*3+COUNTA(G68)*2+COUNTA(H68)*1</f>
        <v>5</v>
      </c>
    </row>
    <row r="69" spans="2:17" ht="12.75">
      <c r="B69" s="4">
        <v>3</v>
      </c>
      <c r="C69" s="58" t="s">
        <v>22</v>
      </c>
      <c r="D69" s="59"/>
      <c r="E69" s="59" t="s">
        <v>59</v>
      </c>
      <c r="F69" s="59"/>
      <c r="G69" s="59"/>
      <c r="H69" s="59"/>
      <c r="I69" s="59"/>
      <c r="Q69">
        <f t="shared" si="5"/>
        <v>4</v>
      </c>
    </row>
    <row r="70" spans="2:17" ht="12.75">
      <c r="B70" s="4">
        <v>4</v>
      </c>
      <c r="C70" s="58" t="s">
        <v>23</v>
      </c>
      <c r="D70" s="59" t="s">
        <v>59</v>
      </c>
      <c r="E70" s="59"/>
      <c r="F70" s="59"/>
      <c r="G70" s="59"/>
      <c r="H70" s="59"/>
      <c r="I70" s="59"/>
      <c r="J70" s="7"/>
      <c r="Q70">
        <f t="shared" si="5"/>
        <v>5</v>
      </c>
    </row>
    <row r="71" spans="2:17" ht="12.75">
      <c r="B71" s="4">
        <v>5</v>
      </c>
      <c r="C71" s="58" t="s">
        <v>24</v>
      </c>
      <c r="D71" s="59"/>
      <c r="E71" s="59"/>
      <c r="F71" s="59" t="s">
        <v>59</v>
      </c>
      <c r="G71" s="59"/>
      <c r="H71" s="59"/>
      <c r="I71" s="59"/>
      <c r="J71" s="7"/>
      <c r="Q71">
        <f t="shared" si="5"/>
        <v>3</v>
      </c>
    </row>
    <row r="72" spans="2:17" ht="12.75">
      <c r="B72" s="4">
        <v>6</v>
      </c>
      <c r="C72" s="58" t="s">
        <v>25</v>
      </c>
      <c r="D72" s="59"/>
      <c r="E72" s="59" t="s">
        <v>59</v>
      </c>
      <c r="F72" s="59"/>
      <c r="G72" s="59"/>
      <c r="H72" s="59"/>
      <c r="I72" s="59"/>
      <c r="J72" s="7"/>
      <c r="Q72">
        <f t="shared" si="5"/>
        <v>4</v>
      </c>
    </row>
    <row r="73" spans="2:17" ht="12.75">
      <c r="B73" s="4">
        <v>7</v>
      </c>
      <c r="C73" s="61" t="s">
        <v>26</v>
      </c>
      <c r="D73" s="62" t="s">
        <v>59</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4.375</v>
      </c>
    </row>
    <row r="77" spans="2:17" ht="20.25">
      <c r="B77" s="100" t="s">
        <v>1</v>
      </c>
      <c r="C77" s="101"/>
      <c r="D77" s="75" t="s">
        <v>114</v>
      </c>
      <c r="E77" s="105"/>
      <c r="F77" s="105"/>
      <c r="G77" s="106"/>
      <c r="L77" s="57"/>
    </row>
    <row r="78" spans="2:17" ht="23.25">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c r="E79" s="59" t="s">
        <v>59</v>
      </c>
      <c r="F79" s="59"/>
      <c r="G79" s="59"/>
      <c r="H79" s="59"/>
      <c r="I79" s="59"/>
      <c r="Q79">
        <f>COUNTA(D79)*5 +COUNTA(E79)*4+COUNTA(F79)*3+COUNTA(G79)*2+COUNTA(H79)*1</f>
        <v>4</v>
      </c>
    </row>
    <row r="80" spans="2:17" ht="12.75">
      <c r="B80" s="4">
        <v>2</v>
      </c>
      <c r="C80" s="58" t="s">
        <v>21</v>
      </c>
      <c r="D80" s="59" t="s">
        <v>59</v>
      </c>
      <c r="E80" s="60"/>
      <c r="F80" s="59"/>
      <c r="G80" s="59"/>
      <c r="H80" s="59"/>
      <c r="I80" s="59"/>
      <c r="Q80">
        <f t="shared" ref="Q80:Q86" si="6">COUNTA(D80)*5 +COUNTA(E80)*4+COUNTA(F80)*3+COUNTA(G80)*2+COUNTA(H80)*1</f>
        <v>5</v>
      </c>
    </row>
    <row r="81" spans="2:17" ht="12.75">
      <c r="B81" s="4">
        <v>3</v>
      </c>
      <c r="C81" s="58" t="s">
        <v>22</v>
      </c>
      <c r="D81" s="59"/>
      <c r="E81" s="59" t="s">
        <v>59</v>
      </c>
      <c r="F81" s="59"/>
      <c r="G81" s="59"/>
      <c r="H81" s="59"/>
      <c r="I81" s="59"/>
      <c r="Q81">
        <f t="shared" si="6"/>
        <v>4</v>
      </c>
    </row>
    <row r="82" spans="2:17" ht="12.75">
      <c r="B82" s="4">
        <v>4</v>
      </c>
      <c r="C82" s="58" t="s">
        <v>23</v>
      </c>
      <c r="D82" s="59" t="s">
        <v>59</v>
      </c>
      <c r="E82" s="59"/>
      <c r="F82" s="59"/>
      <c r="G82" s="59"/>
      <c r="H82" s="59"/>
      <c r="I82" s="59"/>
      <c r="J82" s="7"/>
      <c r="Q82">
        <f t="shared" si="6"/>
        <v>5</v>
      </c>
    </row>
    <row r="83" spans="2:17" ht="12.75">
      <c r="B83" s="4">
        <v>5</v>
      </c>
      <c r="C83" s="58" t="s">
        <v>24</v>
      </c>
      <c r="D83" s="59"/>
      <c r="E83" s="59"/>
      <c r="F83" s="59" t="s">
        <v>59</v>
      </c>
      <c r="G83" s="59"/>
      <c r="H83" s="59"/>
      <c r="I83" s="59"/>
      <c r="J83" s="7"/>
      <c r="Q83">
        <f t="shared" si="6"/>
        <v>3</v>
      </c>
    </row>
    <row r="84" spans="2:17" ht="12.75">
      <c r="B84" s="4">
        <v>6</v>
      </c>
      <c r="C84" s="58" t="s">
        <v>25</v>
      </c>
      <c r="D84" s="59"/>
      <c r="E84" s="59" t="s">
        <v>59</v>
      </c>
      <c r="F84" s="59"/>
      <c r="G84" s="59"/>
      <c r="H84" s="59"/>
      <c r="I84" s="59"/>
      <c r="J84" s="7"/>
      <c r="Q84">
        <f t="shared" si="6"/>
        <v>4</v>
      </c>
    </row>
    <row r="85" spans="2:17" ht="12.75">
      <c r="B85" s="4">
        <v>7</v>
      </c>
      <c r="C85" s="61" t="s">
        <v>26</v>
      </c>
      <c r="D85" s="62" t="s">
        <v>59</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4.375</v>
      </c>
    </row>
    <row r="89" spans="2:17" ht="20.25">
      <c r="B89" s="100" t="s">
        <v>1</v>
      </c>
      <c r="C89" s="101"/>
      <c r="D89" s="75" t="s">
        <v>115</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c r="E91" s="59" t="s">
        <v>59</v>
      </c>
      <c r="F91" s="59"/>
      <c r="G91" s="59"/>
      <c r="H91" s="59"/>
      <c r="I91" s="59"/>
      <c r="Q91">
        <f>COUNTA(D91)*5 +COUNTA(E91)*4+COUNTA(F91)*3+COUNTA(G91)*2+COUNTA(H91)*1</f>
        <v>4</v>
      </c>
    </row>
    <row r="92" spans="2:17" ht="12.75">
      <c r="B92" s="4">
        <v>2</v>
      </c>
      <c r="C92" s="58" t="s">
        <v>21</v>
      </c>
      <c r="D92" s="59" t="s">
        <v>59</v>
      </c>
      <c r="E92" s="60"/>
      <c r="F92" s="59"/>
      <c r="G92" s="59"/>
      <c r="H92" s="59"/>
      <c r="I92" s="59"/>
      <c r="Q92">
        <f t="shared" ref="Q92:Q98" si="7">COUNTA(D92)*5 +COUNTA(E92)*4+COUNTA(F92)*3+COUNTA(G92)*2+COUNTA(H92)*1</f>
        <v>5</v>
      </c>
    </row>
    <row r="93" spans="2:17" ht="12.75">
      <c r="B93" s="4">
        <v>3</v>
      </c>
      <c r="C93" s="58" t="s">
        <v>22</v>
      </c>
      <c r="D93" s="59"/>
      <c r="E93" s="59" t="s">
        <v>59</v>
      </c>
      <c r="F93" s="59"/>
      <c r="G93" s="59"/>
      <c r="H93" s="59"/>
      <c r="I93" s="59"/>
      <c r="Q93">
        <f t="shared" si="7"/>
        <v>4</v>
      </c>
    </row>
    <row r="94" spans="2:17" ht="12.75">
      <c r="B94" s="4">
        <v>4</v>
      </c>
      <c r="C94" s="58" t="s">
        <v>23</v>
      </c>
      <c r="D94" s="59" t="s">
        <v>59</v>
      </c>
      <c r="E94" s="59"/>
      <c r="F94" s="59"/>
      <c r="G94" s="59"/>
      <c r="H94" s="59"/>
      <c r="I94" s="59"/>
      <c r="J94" s="7"/>
      <c r="Q94">
        <f t="shared" si="7"/>
        <v>5</v>
      </c>
    </row>
    <row r="95" spans="2:17" ht="12.75">
      <c r="B95" s="4">
        <v>5</v>
      </c>
      <c r="C95" s="58" t="s">
        <v>24</v>
      </c>
      <c r="D95" s="59"/>
      <c r="E95" s="59"/>
      <c r="F95" s="59" t="s">
        <v>59</v>
      </c>
      <c r="G95" s="59"/>
      <c r="H95" s="59"/>
      <c r="I95" s="59"/>
      <c r="J95" s="7"/>
      <c r="Q95">
        <f t="shared" si="7"/>
        <v>3</v>
      </c>
    </row>
    <row r="96" spans="2:17" ht="12.75">
      <c r="B96" s="4">
        <v>6</v>
      </c>
      <c r="C96" s="58" t="s">
        <v>25</v>
      </c>
      <c r="D96" s="59"/>
      <c r="E96" s="59" t="s">
        <v>59</v>
      </c>
      <c r="F96" s="59"/>
      <c r="G96" s="59"/>
      <c r="H96" s="59"/>
      <c r="I96" s="59"/>
      <c r="J96" s="7"/>
      <c r="Q96">
        <f t="shared" si="7"/>
        <v>4</v>
      </c>
    </row>
    <row r="97" spans="2:17" ht="12.75">
      <c r="B97" s="4">
        <v>7</v>
      </c>
      <c r="C97" s="61" t="s">
        <v>26</v>
      </c>
      <c r="D97" s="62" t="s">
        <v>59</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4.375</v>
      </c>
    </row>
    <row r="101" spans="2:17" ht="20.25">
      <c r="B101" s="100" t="s">
        <v>1</v>
      </c>
      <c r="C101" s="101"/>
      <c r="D101" s="75" t="s">
        <v>116</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c r="E103" s="59" t="s">
        <v>59</v>
      </c>
      <c r="F103" s="59"/>
      <c r="G103" s="59"/>
      <c r="H103" s="59"/>
      <c r="I103" s="59"/>
      <c r="Q103">
        <f>COUNTA(D103)*5 +COUNTA(E103)*4+COUNTA(F103)*3+COUNTA(G103)*2+COUNTA(H103)*1</f>
        <v>4</v>
      </c>
    </row>
    <row r="104" spans="2:17" ht="12.75">
      <c r="B104" s="4">
        <v>2</v>
      </c>
      <c r="C104" s="58" t="s">
        <v>21</v>
      </c>
      <c r="D104" s="59" t="s">
        <v>59</v>
      </c>
      <c r="E104" s="60"/>
      <c r="F104" s="59"/>
      <c r="G104" s="59"/>
      <c r="H104" s="59"/>
      <c r="I104" s="59"/>
      <c r="Q104">
        <f t="shared" ref="Q104:Q110" si="8">COUNTA(D104)*5 +COUNTA(E104)*4+COUNTA(F104)*3+COUNTA(G104)*2+COUNTA(H104)*1</f>
        <v>5</v>
      </c>
    </row>
    <row r="105" spans="2:17" ht="12.75">
      <c r="B105" s="4">
        <v>3</v>
      </c>
      <c r="C105" s="58" t="s">
        <v>22</v>
      </c>
      <c r="D105" s="59"/>
      <c r="E105" s="59" t="s">
        <v>59</v>
      </c>
      <c r="F105" s="59"/>
      <c r="G105" s="59"/>
      <c r="H105" s="59"/>
      <c r="I105" s="59"/>
      <c r="Q105">
        <f t="shared" si="8"/>
        <v>4</v>
      </c>
    </row>
    <row r="106" spans="2:17" ht="12.75">
      <c r="B106" s="4">
        <v>4</v>
      </c>
      <c r="C106" s="58" t="s">
        <v>23</v>
      </c>
      <c r="D106" s="59" t="s">
        <v>59</v>
      </c>
      <c r="E106" s="59"/>
      <c r="F106" s="59"/>
      <c r="G106" s="59"/>
      <c r="H106" s="59"/>
      <c r="I106" s="59"/>
      <c r="J106" s="7"/>
      <c r="Q106">
        <f t="shared" si="8"/>
        <v>5</v>
      </c>
    </row>
    <row r="107" spans="2:17" ht="12.75">
      <c r="B107" s="4">
        <v>5</v>
      </c>
      <c r="C107" s="58" t="s">
        <v>24</v>
      </c>
      <c r="D107" s="59"/>
      <c r="E107" s="59" t="s">
        <v>59</v>
      </c>
      <c r="F107" s="59"/>
      <c r="G107" s="59"/>
      <c r="H107" s="59"/>
      <c r="I107" s="59"/>
      <c r="J107" s="7"/>
      <c r="Q107">
        <f t="shared" si="8"/>
        <v>4</v>
      </c>
    </row>
    <row r="108" spans="2:17" ht="12.75">
      <c r="B108" s="4">
        <v>6</v>
      </c>
      <c r="C108" s="58" t="s">
        <v>25</v>
      </c>
      <c r="D108" s="59"/>
      <c r="E108" s="59" t="s">
        <v>59</v>
      </c>
      <c r="F108" s="59"/>
      <c r="G108" s="59"/>
      <c r="H108" s="59"/>
      <c r="I108" s="59"/>
      <c r="J108" s="7"/>
      <c r="Q108">
        <f t="shared" si="8"/>
        <v>4</v>
      </c>
    </row>
    <row r="109" spans="2:17" ht="12.75">
      <c r="B109" s="4">
        <v>7</v>
      </c>
      <c r="C109" s="61" t="s">
        <v>26</v>
      </c>
      <c r="D109" s="62" t="s">
        <v>59</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1"/>
      <c r="Q112">
        <f>IF(Q110&gt;0,AVERAGE(Q103:Q110),AVERAGE(Q103:Q109))</f>
        <v>4.5</v>
      </c>
    </row>
    <row r="113" spans="2:17" ht="20.25">
      <c r="B113" s="100" t="s">
        <v>1</v>
      </c>
      <c r="C113" s="101"/>
      <c r="D113" s="75" t="s">
        <v>118</v>
      </c>
      <c r="E113" s="105"/>
      <c r="F113" s="105"/>
      <c r="G113" s="106"/>
      <c r="L113" s="57"/>
    </row>
    <row r="114" spans="2:17" ht="24">
      <c r="B114" s="3" t="s">
        <v>0</v>
      </c>
      <c r="C114" s="3" t="s">
        <v>13</v>
      </c>
      <c r="D114" s="3" t="s">
        <v>14</v>
      </c>
      <c r="E114" s="3" t="s">
        <v>15</v>
      </c>
      <c r="F114" s="3" t="s">
        <v>16</v>
      </c>
      <c r="G114" s="3" t="s">
        <v>17</v>
      </c>
      <c r="H114" s="3" t="s">
        <v>18</v>
      </c>
      <c r="I114" s="3" t="s">
        <v>5</v>
      </c>
      <c r="J114" s="2"/>
      <c r="K114" s="2"/>
      <c r="L114" s="2"/>
      <c r="M114" s="2"/>
      <c r="N114" s="2"/>
      <c r="O114" s="2"/>
      <c r="P114" s="2"/>
      <c r="Q114" s="2"/>
    </row>
    <row r="115" spans="2:17" ht="12.75">
      <c r="B115" s="4">
        <v>1</v>
      </c>
      <c r="C115" s="58" t="s">
        <v>19</v>
      </c>
      <c r="D115" s="59"/>
      <c r="E115" s="59" t="s">
        <v>59</v>
      </c>
      <c r="F115" s="59"/>
      <c r="G115" s="59"/>
      <c r="H115" s="59"/>
      <c r="I115" s="59"/>
      <c r="Q115">
        <f>COUNTA(D115)*5 +COUNTA(E115)*4+COUNTA(F115)*3+COUNTA(G115)*2+COUNTA(H115)*1</f>
        <v>4</v>
      </c>
    </row>
    <row r="116" spans="2:17" ht="12.75">
      <c r="B116" s="4">
        <v>2</v>
      </c>
      <c r="C116" s="58" t="s">
        <v>21</v>
      </c>
      <c r="D116" s="59" t="s">
        <v>59</v>
      </c>
      <c r="E116" s="60"/>
      <c r="F116" s="59"/>
      <c r="G116" s="59"/>
      <c r="H116" s="59"/>
      <c r="I116" s="59"/>
      <c r="Q116">
        <f t="shared" ref="Q116:Q122" si="9">COUNTA(D116)*5 +COUNTA(E116)*4+COUNTA(F116)*3+COUNTA(G116)*2+COUNTA(H116)*1</f>
        <v>5</v>
      </c>
    </row>
    <row r="117" spans="2:17" ht="12.75">
      <c r="B117" s="4">
        <v>3</v>
      </c>
      <c r="C117" s="58" t="s">
        <v>22</v>
      </c>
      <c r="D117" s="59"/>
      <c r="E117" s="59" t="s">
        <v>59</v>
      </c>
      <c r="F117" s="59"/>
      <c r="G117" s="59"/>
      <c r="H117" s="59"/>
      <c r="I117" s="59"/>
      <c r="Q117">
        <f t="shared" si="9"/>
        <v>4</v>
      </c>
    </row>
    <row r="118" spans="2:17" ht="12.75">
      <c r="B118" s="4">
        <v>4</v>
      </c>
      <c r="C118" s="58" t="s">
        <v>23</v>
      </c>
      <c r="D118" s="59" t="s">
        <v>59</v>
      </c>
      <c r="E118" s="59"/>
      <c r="F118" s="59"/>
      <c r="G118" s="59"/>
      <c r="H118" s="59"/>
      <c r="I118" s="59"/>
      <c r="J118" s="7"/>
      <c r="Q118">
        <f t="shared" si="9"/>
        <v>5</v>
      </c>
    </row>
    <row r="119" spans="2:17" ht="12.75">
      <c r="B119" s="4">
        <v>5</v>
      </c>
      <c r="C119" s="58" t="s">
        <v>24</v>
      </c>
      <c r="D119" s="59"/>
      <c r="E119" s="59" t="s">
        <v>59</v>
      </c>
      <c r="F119" s="59"/>
      <c r="G119" s="59"/>
      <c r="H119" s="59"/>
      <c r="I119" s="59"/>
      <c r="J119" s="7"/>
      <c r="Q119">
        <f t="shared" si="9"/>
        <v>4</v>
      </c>
    </row>
    <row r="120" spans="2:17" ht="12.75">
      <c r="B120" s="4">
        <v>6</v>
      </c>
      <c r="C120" s="58" t="s">
        <v>25</v>
      </c>
      <c r="D120" s="59"/>
      <c r="E120" s="59" t="s">
        <v>59</v>
      </c>
      <c r="F120" s="59"/>
      <c r="G120" s="59"/>
      <c r="H120" s="59"/>
      <c r="I120" s="59"/>
      <c r="J120" s="7"/>
      <c r="Q120">
        <f t="shared" si="9"/>
        <v>4</v>
      </c>
    </row>
    <row r="121" spans="2:17" ht="12.75">
      <c r="B121" s="4">
        <v>7</v>
      </c>
      <c r="C121" s="61" t="s">
        <v>26</v>
      </c>
      <c r="D121" s="62" t="s">
        <v>59</v>
      </c>
      <c r="E121" s="62"/>
      <c r="F121" s="63"/>
      <c r="G121" s="63"/>
      <c r="H121" s="63"/>
      <c r="I121" s="63"/>
      <c r="J121" s="7"/>
      <c r="Q121">
        <f t="shared" si="9"/>
        <v>5</v>
      </c>
    </row>
    <row r="122" spans="2:17" ht="12.75">
      <c r="B122" s="4">
        <v>8</v>
      </c>
      <c r="C122" s="66" t="s">
        <v>27</v>
      </c>
      <c r="D122" s="76"/>
      <c r="E122" s="77"/>
      <c r="F122" s="77"/>
      <c r="G122" s="77"/>
      <c r="H122" s="77"/>
      <c r="I122" s="78"/>
      <c r="J122" s="7"/>
      <c r="Q122">
        <f>IF(COUNTA(D122) &gt;=1, 2, 5)</f>
        <v>5</v>
      </c>
    </row>
    <row r="123" spans="2:17" ht="12.75">
      <c r="B123" s="65">
        <v>9</v>
      </c>
      <c r="C123" s="67" t="s">
        <v>28</v>
      </c>
      <c r="D123" s="81"/>
      <c r="E123" s="104"/>
      <c r="F123" s="104"/>
      <c r="G123" s="104"/>
      <c r="H123" s="104"/>
      <c r="I123" s="104"/>
      <c r="J123" s="7"/>
    </row>
    <row r="124" spans="2:17" ht="12.75">
      <c r="B124" s="1"/>
      <c r="Q124">
        <f>IF(Q122&gt;0,AVERAGE(Q115:Q122),AVERAGE(Q115:Q121))</f>
        <v>4.5</v>
      </c>
    </row>
    <row r="125" spans="2:17" ht="12.75">
      <c r="B125" s="1"/>
    </row>
    <row r="126" spans="2:17" ht="12.75">
      <c r="B126" s="1"/>
    </row>
    <row r="127" spans="2:17" ht="12.75">
      <c r="B127" s="1"/>
    </row>
    <row r="128" spans="2:17"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41">
    <mergeCell ref="B113:C113"/>
    <mergeCell ref="D113:G113"/>
    <mergeCell ref="D122:I122"/>
    <mergeCell ref="D123:I123"/>
    <mergeCell ref="D87:I87"/>
    <mergeCell ref="B101:C101"/>
    <mergeCell ref="D101:G101"/>
    <mergeCell ref="D110:I110"/>
    <mergeCell ref="D111:I111"/>
    <mergeCell ref="B89:C89"/>
    <mergeCell ref="D89:G89"/>
    <mergeCell ref="D98:I98"/>
    <mergeCell ref="D99:I99"/>
    <mergeCell ref="D39:I39"/>
    <mergeCell ref="D63:I63"/>
    <mergeCell ref="D26:I26"/>
    <mergeCell ref="D27:I27"/>
    <mergeCell ref="B53:C53"/>
    <mergeCell ref="D53:G53"/>
    <mergeCell ref="D62:I62"/>
    <mergeCell ref="B41:C41"/>
    <mergeCell ref="D41:G41"/>
    <mergeCell ref="D50:I50"/>
    <mergeCell ref="D51:I51"/>
    <mergeCell ref="B17:C17"/>
    <mergeCell ref="D17:G17"/>
    <mergeCell ref="B29:C29"/>
    <mergeCell ref="D29:G29"/>
    <mergeCell ref="D38:I38"/>
    <mergeCell ref="L4:L5"/>
    <mergeCell ref="B5:C5"/>
    <mergeCell ref="D5:G5"/>
    <mergeCell ref="D14:I14"/>
    <mergeCell ref="D15:I15"/>
    <mergeCell ref="D86:I86"/>
    <mergeCell ref="B77:C77"/>
    <mergeCell ref="D77:G77"/>
    <mergeCell ref="B65:C65"/>
    <mergeCell ref="D65:G65"/>
    <mergeCell ref="D74:I74"/>
    <mergeCell ref="D75:I75"/>
  </mergeCells>
  <pageMargins left="0" right="0" top="0" bottom="0" header="0" footer="0"/>
  <pageSetup orientation="portrait"/>
  <headerFooter>
    <oddFooter>&amp;R_x000D_&amp;1#&amp;"Calibri"&amp;8&amp;K000000 Cisco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5A17-5FE2-4F67-8D41-04A7BB7FE2F1}">
  <sheetPr>
    <outlinePr summaryBelow="0" summaryRight="0"/>
  </sheetPr>
  <dimension ref="A1:Y967"/>
  <sheetViews>
    <sheetView showGridLines="0" topLeftCell="A69" zoomScale="90" zoomScaleNormal="90" workbookViewId="0">
      <selection activeCell="D78" sqref="D78"/>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c r="C1" t="s">
        <v>73</v>
      </c>
      <c r="D1" t="s">
        <v>119</v>
      </c>
    </row>
    <row r="2" spans="1:25" s="39" customFormat="1" ht="12.75" customHeight="1">
      <c r="B2" s="40"/>
      <c r="C2" s="39" t="s">
        <v>106</v>
      </c>
      <c r="D2" s="39" t="s">
        <v>117</v>
      </c>
    </row>
    <row r="3" spans="1:25" ht="12.75">
      <c r="B3" s="1"/>
    </row>
    <row r="4" spans="1:25" ht="12.75">
      <c r="B4" s="1"/>
      <c r="L4" s="82" t="s">
        <v>45</v>
      </c>
    </row>
    <row r="5" spans="1:25" ht="12.75">
      <c r="B5" s="100" t="s">
        <v>1</v>
      </c>
      <c r="C5" s="101"/>
      <c r="D5" s="75" t="s">
        <v>108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Q7">
        <f>COUNTA(D7)*5 +COUNTA(E7)*4+COUNTA(F7)*3+COUNTA(G7)*2+COUNTA(H7)*1</f>
        <v>5</v>
      </c>
    </row>
    <row r="8" spans="1:25" ht="12.75">
      <c r="B8" s="4">
        <v>2</v>
      </c>
      <c r="C8" s="58" t="s">
        <v>21</v>
      </c>
      <c r="D8" s="59" t="s">
        <v>59</v>
      </c>
      <c r="E8" s="59"/>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t="s">
        <v>59</v>
      </c>
      <c r="E11" s="59"/>
      <c r="F11" s="59"/>
      <c r="G11" s="59"/>
      <c r="H11" s="59"/>
      <c r="I11" s="59"/>
      <c r="J11" s="7"/>
      <c r="Q11">
        <f t="shared" si="0"/>
        <v>5</v>
      </c>
    </row>
    <row r="12" spans="1:25" ht="12.75">
      <c r="B12" s="4">
        <v>6</v>
      </c>
      <c r="C12" s="58" t="s">
        <v>25</v>
      </c>
      <c r="D12" s="59" t="s">
        <v>59</v>
      </c>
      <c r="E12" s="59"/>
      <c r="F12" s="59"/>
      <c r="G12" s="59"/>
      <c r="H12" s="59"/>
      <c r="I12" s="59"/>
      <c r="J12" s="7"/>
      <c r="Q12">
        <f t="shared" si="0"/>
        <v>5</v>
      </c>
    </row>
    <row r="13" spans="1:25" ht="12.75">
      <c r="B13" s="4">
        <v>7</v>
      </c>
      <c r="C13" s="61" t="s">
        <v>26</v>
      </c>
      <c r="D13" s="59" t="s">
        <v>59</v>
      </c>
      <c r="E13" s="59"/>
      <c r="F13" s="63"/>
      <c r="G13" s="63"/>
      <c r="H13" s="63"/>
      <c r="I13" s="63"/>
      <c r="J13" s="7"/>
      <c r="Q13">
        <f t="shared" si="0"/>
        <v>5</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1:25" ht="15" customHeight="1">
      <c r="B17" s="100" t="s">
        <v>1</v>
      </c>
      <c r="C17" s="101"/>
      <c r="D17" s="75" t="s">
        <v>109</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59</v>
      </c>
      <c r="E19" s="59"/>
      <c r="F19" s="59"/>
      <c r="G19" s="59"/>
      <c r="H19" s="59"/>
      <c r="I19" s="59"/>
      <c r="Q19">
        <f>COUNTA(D19)*5 +COUNTA(E19)*4+COUNTA(F19)*3+COUNTA(G19)*2+COUNTA(H19)*1</f>
        <v>5</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t="s">
        <v>59</v>
      </c>
      <c r="E23" s="59"/>
      <c r="F23" s="59"/>
      <c r="G23" s="59"/>
      <c r="H23" s="59"/>
      <c r="I23" s="59"/>
      <c r="J23" s="7"/>
      <c r="Q23">
        <f t="shared" si="1"/>
        <v>5</v>
      </c>
    </row>
    <row r="24" spans="1:25" ht="12.75">
      <c r="B24" s="4">
        <v>6</v>
      </c>
      <c r="C24" s="58" t="s">
        <v>25</v>
      </c>
      <c r="D24" s="59" t="s">
        <v>59</v>
      </c>
      <c r="E24" s="59"/>
      <c r="F24" s="59"/>
      <c r="G24" s="59"/>
      <c r="H24" s="59"/>
      <c r="I24" s="59"/>
      <c r="J24" s="7"/>
      <c r="Q24">
        <f t="shared" si="1"/>
        <v>5</v>
      </c>
    </row>
    <row r="25" spans="1:25" ht="12.75">
      <c r="B25" s="4">
        <v>7</v>
      </c>
      <c r="C25" s="61" t="s">
        <v>26</v>
      </c>
      <c r="D25" s="59" t="s">
        <v>59</v>
      </c>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5</v>
      </c>
    </row>
    <row r="29" spans="1:25" ht="20.25">
      <c r="B29" s="100" t="s">
        <v>1</v>
      </c>
      <c r="C29" s="101"/>
      <c r="D29" s="75" t="s">
        <v>110</v>
      </c>
      <c r="E29" s="105"/>
      <c r="F29" s="105"/>
      <c r="G29" s="106"/>
      <c r="L29" s="57"/>
    </row>
    <row r="30" spans="1:25" ht="23.25">
      <c r="B30" s="3" t="s">
        <v>0</v>
      </c>
      <c r="C30" s="3" t="s">
        <v>13</v>
      </c>
      <c r="D30" s="3" t="s">
        <v>14</v>
      </c>
      <c r="E30" s="3" t="s">
        <v>15</v>
      </c>
      <c r="F30" s="3" t="s">
        <v>16</v>
      </c>
      <c r="G30" s="3" t="s">
        <v>17</v>
      </c>
      <c r="H30" s="3" t="s">
        <v>18</v>
      </c>
      <c r="I30" s="3" t="s">
        <v>5</v>
      </c>
      <c r="J30" s="2"/>
      <c r="K30" s="2"/>
      <c r="L30" s="2"/>
      <c r="M30" s="2"/>
      <c r="N30" s="2"/>
      <c r="O30" s="2"/>
      <c r="P30" s="2"/>
      <c r="Q30" s="2"/>
    </row>
    <row r="31" spans="1:25" ht="12.75">
      <c r="B31" s="4">
        <v>1</v>
      </c>
      <c r="C31" s="58" t="s">
        <v>19</v>
      </c>
      <c r="D31" s="59" t="s">
        <v>59</v>
      </c>
      <c r="E31" s="59"/>
      <c r="F31" s="59"/>
      <c r="G31" s="59"/>
      <c r="H31" s="59"/>
      <c r="I31" s="59"/>
      <c r="Q31">
        <f>COUNTA(D31)*5 +COUNTA(E31)*4+COUNTA(F31)*3+COUNTA(G31)*2+COUNTA(H31)*1</f>
        <v>5</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t="s">
        <v>59</v>
      </c>
      <c r="E35" s="59"/>
      <c r="F35" s="59"/>
      <c r="G35" s="59"/>
      <c r="H35" s="59"/>
      <c r="I35" s="59"/>
      <c r="J35" s="7"/>
      <c r="Q35">
        <f t="shared" si="2"/>
        <v>5</v>
      </c>
    </row>
    <row r="36" spans="2:17" ht="12.75">
      <c r="B36" s="4">
        <v>6</v>
      </c>
      <c r="C36" s="58" t="s">
        <v>25</v>
      </c>
      <c r="D36" s="59" t="s">
        <v>59</v>
      </c>
      <c r="E36" s="59"/>
      <c r="F36" s="59"/>
      <c r="G36" s="59"/>
      <c r="H36" s="59"/>
      <c r="I36" s="59"/>
      <c r="J36" s="7"/>
      <c r="Q36">
        <f t="shared" si="2"/>
        <v>5</v>
      </c>
    </row>
    <row r="37" spans="2:17" ht="12.75">
      <c r="B37" s="4">
        <v>7</v>
      </c>
      <c r="C37" s="61" t="s">
        <v>26</v>
      </c>
      <c r="D37" s="59" t="s">
        <v>59</v>
      </c>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5</v>
      </c>
    </row>
    <row r="41" spans="2:17" ht="20.25">
      <c r="B41" s="100" t="s">
        <v>1</v>
      </c>
      <c r="C41" s="101"/>
      <c r="D41" s="75" t="s">
        <v>111</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59</v>
      </c>
      <c r="E43" s="59"/>
      <c r="F43" s="59"/>
      <c r="G43" s="59"/>
      <c r="H43" s="59"/>
      <c r="I43" s="59"/>
      <c r="Q43">
        <f>COUNTA(D43)*5 +COUNTA(E43)*4+COUNTA(F43)*3+COUNTA(G43)*2+COUNTA(H43)*1</f>
        <v>5</v>
      </c>
    </row>
    <row r="44" spans="2:17" ht="12.75">
      <c r="B44" s="4">
        <v>2</v>
      </c>
      <c r="C44" s="58" t="s">
        <v>21</v>
      </c>
      <c r="D44" s="59" t="s">
        <v>59</v>
      </c>
      <c r="E44" s="60"/>
      <c r="F44" s="59"/>
      <c r="G44" s="59"/>
      <c r="H44" s="59"/>
      <c r="I44" s="59"/>
      <c r="Q44">
        <f t="shared" ref="Q44:Q50" si="3">COUNTA(D44)*5 +COUNTA(E44)*4+COUNTA(F44)*3+COUNTA(G44)*2+COUNTA(H44)*1</f>
        <v>5</v>
      </c>
    </row>
    <row r="45" spans="2:17" ht="12.75">
      <c r="B45" s="4">
        <v>3</v>
      </c>
      <c r="C45" s="58" t="s">
        <v>22</v>
      </c>
      <c r="D45" s="59" t="s">
        <v>59</v>
      </c>
      <c r="E45" s="59"/>
      <c r="F45" s="59"/>
      <c r="G45" s="59"/>
      <c r="H45" s="59"/>
      <c r="I45" s="59"/>
      <c r="Q45">
        <f t="shared" si="3"/>
        <v>5</v>
      </c>
    </row>
    <row r="46" spans="2:17" ht="12.75">
      <c r="B46" s="4">
        <v>4</v>
      </c>
      <c r="C46" s="58" t="s">
        <v>23</v>
      </c>
      <c r="D46" s="59" t="s">
        <v>59</v>
      </c>
      <c r="E46" s="59"/>
      <c r="F46" s="59"/>
      <c r="G46" s="59"/>
      <c r="H46" s="59"/>
      <c r="I46" s="59"/>
      <c r="J46" s="7"/>
      <c r="Q46">
        <f t="shared" si="3"/>
        <v>5</v>
      </c>
    </row>
    <row r="47" spans="2:17" ht="12.75">
      <c r="B47" s="4">
        <v>5</v>
      </c>
      <c r="C47" s="58" t="s">
        <v>24</v>
      </c>
      <c r="D47" s="59" t="s">
        <v>59</v>
      </c>
      <c r="E47" s="59"/>
      <c r="F47" s="59"/>
      <c r="G47" s="59"/>
      <c r="H47" s="59"/>
      <c r="I47" s="59"/>
      <c r="J47" s="7"/>
      <c r="Q47">
        <f t="shared" si="3"/>
        <v>5</v>
      </c>
    </row>
    <row r="48" spans="2:17" ht="12.75">
      <c r="B48" s="4">
        <v>6</v>
      </c>
      <c r="C48" s="58" t="s">
        <v>25</v>
      </c>
      <c r="D48" s="59" t="s">
        <v>59</v>
      </c>
      <c r="E48" s="59"/>
      <c r="F48" s="59"/>
      <c r="G48" s="59"/>
      <c r="H48" s="59"/>
      <c r="I48" s="59"/>
      <c r="J48" s="7"/>
      <c r="Q48">
        <f t="shared" si="3"/>
        <v>5</v>
      </c>
    </row>
    <row r="49" spans="2:17" ht="12.75">
      <c r="B49" s="4">
        <v>7</v>
      </c>
      <c r="C49" s="61" t="s">
        <v>26</v>
      </c>
      <c r="D49" s="59" t="s">
        <v>59</v>
      </c>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c r="Q52">
        <f>IF(Q50&gt;0,AVERAGE(Q43:Q50),AVERAGE(Q43:Q49))</f>
        <v>5</v>
      </c>
    </row>
    <row r="53" spans="2:17" ht="20.25">
      <c r="B53" s="100" t="s">
        <v>1</v>
      </c>
      <c r="C53" s="101"/>
      <c r="D53" s="75" t="s">
        <v>120</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59</v>
      </c>
      <c r="E55" s="59"/>
      <c r="F55" s="59"/>
      <c r="G55" s="59"/>
      <c r="H55" s="59"/>
      <c r="I55" s="59"/>
      <c r="Q55">
        <f>COUNTA(D55)*5 +COUNTA(E55)*4+COUNTA(F55)*3+COUNTA(G55)*2+COUNTA(H55)*1</f>
        <v>5</v>
      </c>
    </row>
    <row r="56" spans="2:17" ht="12.75">
      <c r="B56" s="4">
        <v>2</v>
      </c>
      <c r="C56" s="58" t="s">
        <v>21</v>
      </c>
      <c r="D56" s="59" t="s">
        <v>59</v>
      </c>
      <c r="E56" s="60"/>
      <c r="F56" s="59"/>
      <c r="G56" s="59"/>
      <c r="H56" s="59"/>
      <c r="I56" s="59"/>
      <c r="Q56">
        <f t="shared" ref="Q56:Q62" si="4">COUNTA(D56)*5 +COUNTA(E56)*4+COUNTA(F56)*3+COUNTA(G56)*2+COUNTA(H56)*1</f>
        <v>5</v>
      </c>
    </row>
    <row r="57" spans="2:17" ht="12.75">
      <c r="B57" s="4">
        <v>3</v>
      </c>
      <c r="C57" s="58" t="s">
        <v>22</v>
      </c>
      <c r="D57" s="59" t="s">
        <v>59</v>
      </c>
      <c r="E57" s="59"/>
      <c r="F57" s="59"/>
      <c r="G57" s="59"/>
      <c r="H57" s="59"/>
      <c r="I57" s="59"/>
      <c r="Q57">
        <f t="shared" si="4"/>
        <v>5</v>
      </c>
    </row>
    <row r="58" spans="2:17" ht="12.75">
      <c r="B58" s="4">
        <v>4</v>
      </c>
      <c r="C58" s="58" t="s">
        <v>23</v>
      </c>
      <c r="D58" s="59" t="s">
        <v>59</v>
      </c>
      <c r="E58" s="59"/>
      <c r="F58" s="59"/>
      <c r="G58" s="59"/>
      <c r="H58" s="59"/>
      <c r="I58" s="59"/>
      <c r="J58" s="7"/>
      <c r="Q58">
        <f t="shared" si="4"/>
        <v>5</v>
      </c>
    </row>
    <row r="59" spans="2:17" ht="12.75">
      <c r="B59" s="4">
        <v>5</v>
      </c>
      <c r="C59" s="58" t="s">
        <v>24</v>
      </c>
      <c r="D59" s="59" t="s">
        <v>59</v>
      </c>
      <c r="E59" s="59"/>
      <c r="F59" s="59"/>
      <c r="G59" s="59"/>
      <c r="H59" s="59"/>
      <c r="I59" s="59"/>
      <c r="J59" s="7"/>
      <c r="Q59">
        <f t="shared" si="4"/>
        <v>5</v>
      </c>
    </row>
    <row r="60" spans="2:17" ht="12.75">
      <c r="B60" s="4">
        <v>6</v>
      </c>
      <c r="C60" s="58" t="s">
        <v>25</v>
      </c>
      <c r="D60" s="59" t="s">
        <v>59</v>
      </c>
      <c r="E60" s="59"/>
      <c r="F60" s="59"/>
      <c r="G60" s="59"/>
      <c r="H60" s="59"/>
      <c r="I60" s="59"/>
      <c r="J60" s="7"/>
      <c r="Q60">
        <f t="shared" si="4"/>
        <v>5</v>
      </c>
    </row>
    <row r="61" spans="2:17" ht="12.75">
      <c r="B61" s="4">
        <v>7</v>
      </c>
      <c r="C61" s="61" t="s">
        <v>26</v>
      </c>
      <c r="D61" s="59" t="s">
        <v>59</v>
      </c>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5</v>
      </c>
    </row>
    <row r="65" spans="2:17" ht="20.25">
      <c r="B65" s="100" t="s">
        <v>1</v>
      </c>
      <c r="C65" s="101"/>
      <c r="D65" s="75" t="s">
        <v>121</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59</v>
      </c>
      <c r="E67" s="59"/>
      <c r="F67" s="59"/>
      <c r="G67" s="59"/>
      <c r="H67" s="59"/>
      <c r="I67" s="59"/>
      <c r="Q67">
        <f>COUNTA(D67)*5 +COUNTA(E67)*4+COUNTA(F67)*3+COUNTA(G67)*2+COUNTA(H67)*1</f>
        <v>5</v>
      </c>
    </row>
    <row r="68" spans="2:17" ht="12.75">
      <c r="B68" s="4">
        <v>2</v>
      </c>
      <c r="C68" s="58" t="s">
        <v>21</v>
      </c>
      <c r="D68" s="59" t="s">
        <v>59</v>
      </c>
      <c r="E68" s="60"/>
      <c r="F68" s="59"/>
      <c r="G68" s="59"/>
      <c r="H68" s="59"/>
      <c r="I68" s="59"/>
      <c r="Q68">
        <f t="shared" ref="Q68:Q74" si="5">COUNTA(D68)*5 +COUNTA(E68)*4+COUNTA(F68)*3+COUNTA(G68)*2+COUNTA(H68)*1</f>
        <v>5</v>
      </c>
    </row>
    <row r="69" spans="2:17" ht="12.75">
      <c r="B69" s="4">
        <v>3</v>
      </c>
      <c r="C69" s="58" t="s">
        <v>22</v>
      </c>
      <c r="D69" s="59" t="s">
        <v>59</v>
      </c>
      <c r="E69" s="59"/>
      <c r="F69" s="59"/>
      <c r="G69" s="59"/>
      <c r="H69" s="59"/>
      <c r="I69" s="59"/>
      <c r="Q69">
        <f t="shared" si="5"/>
        <v>5</v>
      </c>
    </row>
    <row r="70" spans="2:17" ht="12.75">
      <c r="B70" s="4">
        <v>4</v>
      </c>
      <c r="C70" s="58" t="s">
        <v>23</v>
      </c>
      <c r="D70" s="59" t="s">
        <v>59</v>
      </c>
      <c r="E70" s="59"/>
      <c r="F70" s="59"/>
      <c r="G70" s="59"/>
      <c r="H70" s="59"/>
      <c r="I70" s="59"/>
      <c r="J70" s="7"/>
      <c r="Q70">
        <f t="shared" si="5"/>
        <v>5</v>
      </c>
    </row>
    <row r="71" spans="2:17" ht="12.75">
      <c r="B71" s="4">
        <v>5</v>
      </c>
      <c r="C71" s="58" t="s">
        <v>24</v>
      </c>
      <c r="D71" s="59" t="s">
        <v>59</v>
      </c>
      <c r="E71" s="59"/>
      <c r="F71" s="59"/>
      <c r="G71" s="59"/>
      <c r="H71" s="59"/>
      <c r="I71" s="59"/>
      <c r="J71" s="7"/>
      <c r="Q71">
        <f t="shared" si="5"/>
        <v>5</v>
      </c>
    </row>
    <row r="72" spans="2:17" ht="12.75">
      <c r="B72" s="4">
        <v>6</v>
      </c>
      <c r="C72" s="58" t="s">
        <v>25</v>
      </c>
      <c r="D72" s="59" t="s">
        <v>59</v>
      </c>
      <c r="E72" s="59"/>
      <c r="F72" s="59"/>
      <c r="G72" s="59"/>
      <c r="H72" s="59"/>
      <c r="I72" s="59"/>
      <c r="J72" s="7"/>
      <c r="Q72">
        <f t="shared" si="5"/>
        <v>5</v>
      </c>
    </row>
    <row r="73" spans="2:17" ht="12.75">
      <c r="B73" s="4">
        <v>7</v>
      </c>
      <c r="C73" s="61" t="s">
        <v>26</v>
      </c>
      <c r="D73" s="59" t="s">
        <v>59</v>
      </c>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5</v>
      </c>
    </row>
    <row r="77" spans="2:17" ht="20.25">
      <c r="B77" s="100" t="s">
        <v>1</v>
      </c>
      <c r="C77" s="101"/>
      <c r="D77" s="75" t="s">
        <v>122</v>
      </c>
      <c r="E77" s="105"/>
      <c r="F77" s="105"/>
      <c r="G77" s="106"/>
      <c r="L77" s="57"/>
    </row>
    <row r="78" spans="2:17" ht="24">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59</v>
      </c>
      <c r="E79" s="59"/>
      <c r="F79" s="59"/>
      <c r="G79" s="59"/>
      <c r="H79" s="59"/>
      <c r="I79" s="59"/>
      <c r="Q79">
        <f>COUNTA(D79)*5 +COUNTA(E79)*4+COUNTA(F79)*3+COUNTA(G79)*2+COUNTA(H79)*1</f>
        <v>5</v>
      </c>
    </row>
    <row r="80" spans="2:17" ht="12.75">
      <c r="B80" s="4">
        <v>2</v>
      </c>
      <c r="C80" s="58" t="s">
        <v>21</v>
      </c>
      <c r="D80" s="59" t="s">
        <v>59</v>
      </c>
      <c r="E80" s="60"/>
      <c r="F80" s="59"/>
      <c r="G80" s="59"/>
      <c r="H80" s="59"/>
      <c r="I80" s="59"/>
      <c r="Q80">
        <f t="shared" ref="Q80:Q86" si="6">COUNTA(D80)*5 +COUNTA(E80)*4+COUNTA(F80)*3+COUNTA(G80)*2+COUNTA(H80)*1</f>
        <v>5</v>
      </c>
    </row>
    <row r="81" spans="2:17" ht="12.75">
      <c r="B81" s="4">
        <v>3</v>
      </c>
      <c r="C81" s="58" t="s">
        <v>22</v>
      </c>
      <c r="D81" s="59" t="s">
        <v>59</v>
      </c>
      <c r="E81" s="59"/>
      <c r="F81" s="59"/>
      <c r="G81" s="59"/>
      <c r="H81" s="59"/>
      <c r="I81" s="59"/>
      <c r="Q81">
        <f t="shared" si="6"/>
        <v>5</v>
      </c>
    </row>
    <row r="82" spans="2:17" ht="12.75">
      <c r="B82" s="4">
        <v>4</v>
      </c>
      <c r="C82" s="58" t="s">
        <v>23</v>
      </c>
      <c r="D82" s="59" t="s">
        <v>59</v>
      </c>
      <c r="E82" s="59"/>
      <c r="F82" s="59"/>
      <c r="G82" s="59"/>
      <c r="H82" s="59"/>
      <c r="I82" s="59"/>
      <c r="J82" s="7"/>
      <c r="Q82">
        <f t="shared" si="6"/>
        <v>5</v>
      </c>
    </row>
    <row r="83" spans="2:17" ht="12.75">
      <c r="B83" s="4">
        <v>5</v>
      </c>
      <c r="C83" s="58" t="s">
        <v>24</v>
      </c>
      <c r="D83" s="59" t="s">
        <v>59</v>
      </c>
      <c r="E83" s="59"/>
      <c r="F83" s="59"/>
      <c r="G83" s="59"/>
      <c r="H83" s="59"/>
      <c r="I83" s="59"/>
      <c r="J83" s="7"/>
      <c r="Q83">
        <f t="shared" si="6"/>
        <v>5</v>
      </c>
    </row>
    <row r="84" spans="2:17" ht="12.75">
      <c r="B84" s="4">
        <v>6</v>
      </c>
      <c r="C84" s="58" t="s">
        <v>25</v>
      </c>
      <c r="D84" s="59" t="s">
        <v>59</v>
      </c>
      <c r="E84" s="59"/>
      <c r="F84" s="59"/>
      <c r="G84" s="59"/>
      <c r="H84" s="59"/>
      <c r="I84" s="59"/>
      <c r="J84" s="7"/>
      <c r="Q84">
        <f t="shared" si="6"/>
        <v>5</v>
      </c>
    </row>
    <row r="85" spans="2:17" ht="12.75">
      <c r="B85" s="4">
        <v>7</v>
      </c>
      <c r="C85" s="61" t="s">
        <v>26</v>
      </c>
      <c r="D85" s="59" t="s">
        <v>59</v>
      </c>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5</v>
      </c>
    </row>
    <row r="89" spans="2:17" ht="20.25">
      <c r="B89" s="100" t="s">
        <v>1</v>
      </c>
      <c r="C89" s="101"/>
      <c r="D89" s="75" t="s">
        <v>123</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59</v>
      </c>
      <c r="E91" s="59"/>
      <c r="F91" s="59"/>
      <c r="G91" s="59"/>
      <c r="H91" s="59"/>
      <c r="I91" s="59"/>
      <c r="Q91">
        <f>COUNTA(D91)*5 +COUNTA(E91)*4+COUNTA(F91)*3+COUNTA(G91)*2+COUNTA(H91)*1</f>
        <v>5</v>
      </c>
    </row>
    <row r="92" spans="2:17" ht="12.75">
      <c r="B92" s="4">
        <v>2</v>
      </c>
      <c r="C92" s="58" t="s">
        <v>21</v>
      </c>
      <c r="D92" s="59" t="s">
        <v>59</v>
      </c>
      <c r="E92" s="60"/>
      <c r="F92" s="59"/>
      <c r="G92" s="59"/>
      <c r="H92" s="59"/>
      <c r="I92" s="59"/>
      <c r="Q92">
        <f t="shared" ref="Q92:Q98" si="7">COUNTA(D92)*5 +COUNTA(E92)*4+COUNTA(F92)*3+COUNTA(G92)*2+COUNTA(H92)*1</f>
        <v>5</v>
      </c>
    </row>
    <row r="93" spans="2:17" ht="12.75">
      <c r="B93" s="4">
        <v>3</v>
      </c>
      <c r="C93" s="58" t="s">
        <v>22</v>
      </c>
      <c r="D93" s="59" t="s">
        <v>59</v>
      </c>
      <c r="E93" s="59"/>
      <c r="F93" s="59"/>
      <c r="G93" s="59"/>
      <c r="H93" s="59"/>
      <c r="I93" s="59"/>
      <c r="Q93">
        <f t="shared" si="7"/>
        <v>5</v>
      </c>
    </row>
    <row r="94" spans="2:17" ht="12.75">
      <c r="B94" s="4">
        <v>4</v>
      </c>
      <c r="C94" s="58" t="s">
        <v>23</v>
      </c>
      <c r="D94" s="59" t="s">
        <v>59</v>
      </c>
      <c r="E94" s="59"/>
      <c r="F94" s="59"/>
      <c r="G94" s="59"/>
      <c r="H94" s="59"/>
      <c r="I94" s="59"/>
      <c r="J94" s="7"/>
      <c r="Q94">
        <f t="shared" si="7"/>
        <v>5</v>
      </c>
    </row>
    <row r="95" spans="2:17" ht="12.75">
      <c r="B95" s="4">
        <v>5</v>
      </c>
      <c r="C95" s="58" t="s">
        <v>24</v>
      </c>
      <c r="D95" s="59" t="s">
        <v>59</v>
      </c>
      <c r="E95" s="59"/>
      <c r="F95" s="59"/>
      <c r="G95" s="59"/>
      <c r="H95" s="59"/>
      <c r="I95" s="59"/>
      <c r="J95" s="7"/>
      <c r="Q95">
        <f t="shared" si="7"/>
        <v>5</v>
      </c>
    </row>
    <row r="96" spans="2:17" ht="12.75">
      <c r="B96" s="4">
        <v>6</v>
      </c>
      <c r="C96" s="58" t="s">
        <v>25</v>
      </c>
      <c r="D96" s="59" t="s">
        <v>59</v>
      </c>
      <c r="E96" s="59"/>
      <c r="F96" s="59"/>
      <c r="G96" s="59"/>
      <c r="H96" s="59"/>
      <c r="I96" s="59"/>
      <c r="J96" s="7"/>
      <c r="Q96">
        <f t="shared" si="7"/>
        <v>5</v>
      </c>
    </row>
    <row r="97" spans="2:17" ht="12.75">
      <c r="B97" s="4">
        <v>7</v>
      </c>
      <c r="C97" s="61" t="s">
        <v>26</v>
      </c>
      <c r="D97" s="59" t="s">
        <v>59</v>
      </c>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5</v>
      </c>
    </row>
    <row r="101" spans="2:17" ht="20.25">
      <c r="B101" s="100" t="s">
        <v>1</v>
      </c>
      <c r="C101" s="101"/>
      <c r="D101" s="75" t="s">
        <v>118</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c r="E103" s="59" t="s">
        <v>59</v>
      </c>
      <c r="F103" s="59"/>
      <c r="G103" s="59"/>
      <c r="H103" s="59"/>
      <c r="I103" s="59"/>
      <c r="Q103">
        <f>COUNTA(D103)*5 +COUNTA(E103)*4+COUNTA(F103)*3+COUNTA(G103)*2+COUNTA(H103)*1</f>
        <v>4</v>
      </c>
    </row>
    <row r="104" spans="2:17" ht="12.75">
      <c r="B104" s="4">
        <v>2</v>
      </c>
      <c r="C104" s="58" t="s">
        <v>21</v>
      </c>
      <c r="D104" s="59" t="s">
        <v>59</v>
      </c>
      <c r="E104" s="60"/>
      <c r="F104" s="59"/>
      <c r="G104" s="59"/>
      <c r="H104" s="59"/>
      <c r="I104" s="59"/>
      <c r="Q104">
        <f t="shared" ref="Q104:Q110" si="8">COUNTA(D104)*5 +COUNTA(E104)*4+COUNTA(F104)*3+COUNTA(G104)*2+COUNTA(H104)*1</f>
        <v>5</v>
      </c>
    </row>
    <row r="105" spans="2:17" ht="12.75">
      <c r="B105" s="4">
        <v>3</v>
      </c>
      <c r="C105" s="58" t="s">
        <v>22</v>
      </c>
      <c r="D105" s="59"/>
      <c r="E105" s="59" t="s">
        <v>59</v>
      </c>
      <c r="F105" s="59"/>
      <c r="G105" s="59"/>
      <c r="H105" s="59"/>
      <c r="I105" s="59"/>
      <c r="Q105">
        <f t="shared" si="8"/>
        <v>4</v>
      </c>
    </row>
    <row r="106" spans="2:17" ht="12.75">
      <c r="B106" s="4">
        <v>4</v>
      </c>
      <c r="C106" s="58" t="s">
        <v>23</v>
      </c>
      <c r="D106" s="59" t="s">
        <v>59</v>
      </c>
      <c r="E106" s="59"/>
      <c r="F106" s="59"/>
      <c r="G106" s="59"/>
      <c r="H106" s="59"/>
      <c r="I106" s="59"/>
      <c r="J106" s="7"/>
      <c r="Q106">
        <f t="shared" si="8"/>
        <v>5</v>
      </c>
    </row>
    <row r="107" spans="2:17" ht="12.75">
      <c r="B107" s="4">
        <v>5</v>
      </c>
      <c r="C107" s="58" t="s">
        <v>24</v>
      </c>
      <c r="D107" s="59"/>
      <c r="E107" s="59"/>
      <c r="F107" s="59" t="s">
        <v>59</v>
      </c>
      <c r="G107" s="59"/>
      <c r="H107" s="59"/>
      <c r="I107" s="59"/>
      <c r="J107" s="7"/>
      <c r="Q107">
        <f t="shared" si="8"/>
        <v>3</v>
      </c>
    </row>
    <row r="108" spans="2:17" ht="12.75">
      <c r="B108" s="4">
        <v>6</v>
      </c>
      <c r="C108" s="58" t="s">
        <v>25</v>
      </c>
      <c r="D108" s="59"/>
      <c r="E108" s="59" t="s">
        <v>59</v>
      </c>
      <c r="F108" s="59"/>
      <c r="G108" s="59"/>
      <c r="H108" s="59"/>
      <c r="I108" s="59"/>
      <c r="J108" s="7"/>
      <c r="Q108">
        <f t="shared" si="8"/>
        <v>4</v>
      </c>
    </row>
    <row r="109" spans="2:17" ht="12.75">
      <c r="B109" s="4">
        <v>7</v>
      </c>
      <c r="C109" s="61" t="s">
        <v>26</v>
      </c>
      <c r="D109" s="62" t="s">
        <v>59</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1"/>
      <c r="Q112">
        <f>IF(Q110&gt;0,AVERAGE(Q103:Q110),AVERAGE(Q103:Q109))</f>
        <v>4.375</v>
      </c>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37">
    <mergeCell ref="B101:C101"/>
    <mergeCell ref="D101:G101"/>
    <mergeCell ref="D110:I110"/>
    <mergeCell ref="D111:I111"/>
    <mergeCell ref="D98:I98"/>
    <mergeCell ref="D99:I99"/>
    <mergeCell ref="B77:C77"/>
    <mergeCell ref="D77:G77"/>
    <mergeCell ref="D86:I86"/>
    <mergeCell ref="D87:I87"/>
    <mergeCell ref="B89:C89"/>
    <mergeCell ref="D89:G89"/>
    <mergeCell ref="B29:C29"/>
    <mergeCell ref="D29:G29"/>
    <mergeCell ref="D38:I38"/>
    <mergeCell ref="D39:I39"/>
    <mergeCell ref="L4:L5"/>
    <mergeCell ref="B5:C5"/>
    <mergeCell ref="D5:G5"/>
    <mergeCell ref="D14:I14"/>
    <mergeCell ref="D15:I15"/>
    <mergeCell ref="B65:C65"/>
    <mergeCell ref="D65:G65"/>
    <mergeCell ref="D74:I74"/>
    <mergeCell ref="D75:I75"/>
    <mergeCell ref="B17:C17"/>
    <mergeCell ref="D17:G17"/>
    <mergeCell ref="B53:C53"/>
    <mergeCell ref="D53:G53"/>
    <mergeCell ref="D62:I62"/>
    <mergeCell ref="D63:I63"/>
    <mergeCell ref="D26:I26"/>
    <mergeCell ref="D27:I27"/>
    <mergeCell ref="B41:C41"/>
    <mergeCell ref="D41:G41"/>
    <mergeCell ref="D50:I50"/>
    <mergeCell ref="D51:I51"/>
  </mergeCells>
  <pageMargins left="0" right="0" top="0" bottom="0" header="0" footer="0"/>
  <pageSetup orientation="portrait"/>
  <headerFooter>
    <oddFooter>&amp;R_x000D_&amp;1#&amp;"Calibri"&amp;8&amp;K000000 Cisco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2C6B-E150-4360-B069-790947826E5C}">
  <sheetPr>
    <outlinePr summaryBelow="0" summaryRight="0"/>
  </sheetPr>
  <dimension ref="A1:Y967"/>
  <sheetViews>
    <sheetView showGridLines="0" topLeftCell="A83" zoomScale="90" zoomScaleNormal="90" workbookViewId="0">
      <selection activeCell="F107" sqref="F107"/>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 min="13" max="13" width="9.140625"/>
  </cols>
  <sheetData>
    <row r="1" spans="1:25" ht="12.75">
      <c r="B1" s="1"/>
    </row>
    <row r="2" spans="1:25" s="39" customFormat="1" ht="12.75" customHeight="1">
      <c r="B2" s="40"/>
      <c r="C2" s="39" t="s">
        <v>106</v>
      </c>
      <c r="D2" s="39" t="s">
        <v>124</v>
      </c>
    </row>
    <row r="3" spans="1:25" ht="12.75">
      <c r="B3" s="1"/>
      <c r="C3" s="39" t="s">
        <v>91</v>
      </c>
      <c r="D3" t="s">
        <v>125</v>
      </c>
    </row>
    <row r="4" spans="1:25" ht="12.75">
      <c r="B4" s="1"/>
      <c r="L4" s="82" t="s">
        <v>45</v>
      </c>
    </row>
    <row r="5" spans="1:25" ht="12.75">
      <c r="B5" s="100" t="s">
        <v>1</v>
      </c>
      <c r="C5" s="101"/>
      <c r="D5" s="75" t="s">
        <v>126</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c r="E7" s="59" t="s">
        <v>20</v>
      </c>
      <c r="F7" s="59"/>
      <c r="G7" s="59"/>
      <c r="H7" s="59"/>
      <c r="I7" s="59"/>
      <c r="Q7">
        <f>COUNTA(D7)*5 +COUNTA(E7)*4+COUNTA(F7)*3+COUNTA(G7)*2+COUNTA(H7)*1</f>
        <v>4</v>
      </c>
    </row>
    <row r="8" spans="1:25" ht="12.75">
      <c r="B8" s="4">
        <v>2</v>
      </c>
      <c r="C8" s="58" t="s">
        <v>21</v>
      </c>
      <c r="D8" s="59" t="s">
        <v>20</v>
      </c>
      <c r="E8" s="60"/>
      <c r="F8" s="59"/>
      <c r="G8" s="59"/>
      <c r="H8" s="59"/>
      <c r="I8" s="59"/>
      <c r="Q8">
        <f t="shared" ref="Q8:Q14" si="0">COUNTA(D8)*5 +COUNTA(E8)*4+COUNTA(F8)*3+COUNTA(G8)*2+COUNTA(H8)*1</f>
        <v>5</v>
      </c>
    </row>
    <row r="9" spans="1:25" ht="12.75">
      <c r="B9" s="4">
        <v>3</v>
      </c>
      <c r="C9" s="58" t="s">
        <v>22</v>
      </c>
      <c r="D9" s="59"/>
      <c r="E9" s="59" t="s">
        <v>20</v>
      </c>
      <c r="F9" s="59"/>
      <c r="G9" s="59"/>
      <c r="H9" s="59"/>
      <c r="I9" s="59"/>
      <c r="Q9">
        <f t="shared" si="0"/>
        <v>4</v>
      </c>
    </row>
    <row r="10" spans="1:25" ht="12.75">
      <c r="B10" s="4">
        <v>4</v>
      </c>
      <c r="C10" s="58" t="s">
        <v>23</v>
      </c>
      <c r="D10" s="59" t="s">
        <v>20</v>
      </c>
      <c r="E10" s="59"/>
      <c r="F10" s="59"/>
      <c r="G10" s="59"/>
      <c r="H10" s="59"/>
      <c r="I10" s="59"/>
      <c r="J10" s="7"/>
      <c r="Q10">
        <f t="shared" si="0"/>
        <v>5</v>
      </c>
    </row>
    <row r="11" spans="1:25" ht="12.75">
      <c r="B11" s="4">
        <v>5</v>
      </c>
      <c r="C11" s="58" t="s">
        <v>24</v>
      </c>
      <c r="D11" s="59" t="s">
        <v>20</v>
      </c>
      <c r="E11" s="59"/>
      <c r="F11" s="59"/>
      <c r="G11" s="59"/>
      <c r="H11" s="59"/>
      <c r="I11" s="59"/>
      <c r="J11" s="7"/>
      <c r="Q11">
        <f t="shared" si="0"/>
        <v>5</v>
      </c>
    </row>
    <row r="12" spans="1:25" ht="12.75">
      <c r="B12" s="4">
        <v>6</v>
      </c>
      <c r="C12" s="58" t="s">
        <v>25</v>
      </c>
      <c r="D12" s="59" t="s">
        <v>20</v>
      </c>
      <c r="E12" s="59"/>
      <c r="F12" s="59"/>
      <c r="G12" s="59"/>
      <c r="H12" s="59"/>
      <c r="I12" s="59"/>
      <c r="J12" s="7"/>
      <c r="Q12">
        <f t="shared" si="0"/>
        <v>5</v>
      </c>
    </row>
    <row r="13" spans="1:25" ht="12.75">
      <c r="B13" s="4">
        <v>7</v>
      </c>
      <c r="C13" s="61" t="s">
        <v>26</v>
      </c>
      <c r="D13" s="62"/>
      <c r="E13" s="62" t="s">
        <v>20</v>
      </c>
      <c r="F13" s="63"/>
      <c r="G13" s="63"/>
      <c r="H13" s="63"/>
      <c r="I13" s="63"/>
      <c r="J13" s="7"/>
      <c r="Q13">
        <f t="shared" si="0"/>
        <v>4</v>
      </c>
    </row>
    <row r="14" spans="1:25" ht="12.75">
      <c r="B14" s="4">
        <v>8</v>
      </c>
      <c r="C14" s="66" t="s">
        <v>27</v>
      </c>
      <c r="D14" s="76"/>
      <c r="E14" s="77"/>
      <c r="F14" s="77"/>
      <c r="G14" s="77"/>
      <c r="H14" s="77"/>
      <c r="I14" s="78"/>
      <c r="J14" s="7"/>
      <c r="Q14">
        <f>IF(COUNTA(D14) &gt;=1, 2, 5)</f>
        <v>5</v>
      </c>
    </row>
    <row r="15" spans="1:25" ht="30.75" customHeight="1">
      <c r="B15" s="65">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4.625</v>
      </c>
    </row>
    <row r="17" spans="1:25" ht="15" customHeight="1">
      <c r="B17" s="100" t="s">
        <v>1</v>
      </c>
      <c r="C17" s="101"/>
      <c r="D17" s="75" t="s">
        <v>127</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c r="E19" s="59" t="s">
        <v>20</v>
      </c>
      <c r="F19" s="59"/>
      <c r="G19" s="59"/>
      <c r="H19" s="59"/>
      <c r="I19" s="59"/>
      <c r="Q19">
        <f>COUNTA(D19)*5 +COUNTA(E19)*4+COUNTA(F19)*3+COUNTA(G19)*2+COUNTA(H19)*1</f>
        <v>4</v>
      </c>
    </row>
    <row r="20" spans="1:25" ht="12.75">
      <c r="B20" s="4">
        <v>2</v>
      </c>
      <c r="C20" s="58" t="s">
        <v>21</v>
      </c>
      <c r="D20" s="59" t="s">
        <v>20</v>
      </c>
      <c r="E20" s="60"/>
      <c r="F20" s="59"/>
      <c r="G20" s="59"/>
      <c r="H20" s="59"/>
      <c r="I20" s="59"/>
      <c r="Q20">
        <f t="shared" ref="Q20:Q26" si="1">COUNTA(D20)*5 +COUNTA(E20)*4+COUNTA(F20)*3+COUNTA(G20)*2+COUNTA(H20)*1</f>
        <v>5</v>
      </c>
    </row>
    <row r="21" spans="1:25" ht="12.75">
      <c r="B21" s="4">
        <v>3</v>
      </c>
      <c r="C21" s="58" t="s">
        <v>22</v>
      </c>
      <c r="D21" s="59"/>
      <c r="E21" s="59" t="s">
        <v>20</v>
      </c>
      <c r="F21" s="59"/>
      <c r="G21" s="59"/>
      <c r="H21" s="59"/>
      <c r="I21" s="59"/>
      <c r="Q21">
        <f t="shared" si="1"/>
        <v>4</v>
      </c>
    </row>
    <row r="22" spans="1:25" ht="12.75">
      <c r="B22" s="4">
        <v>4</v>
      </c>
      <c r="C22" s="58" t="s">
        <v>23</v>
      </c>
      <c r="D22" s="59" t="s">
        <v>20</v>
      </c>
      <c r="E22" s="59"/>
      <c r="F22" s="59"/>
      <c r="G22" s="59"/>
      <c r="H22" s="59"/>
      <c r="I22" s="59"/>
      <c r="J22" s="7"/>
      <c r="Q22">
        <f t="shared" si="1"/>
        <v>5</v>
      </c>
    </row>
    <row r="23" spans="1:25" ht="12.75">
      <c r="B23" s="4">
        <v>5</v>
      </c>
      <c r="C23" s="58" t="s">
        <v>24</v>
      </c>
      <c r="D23" s="59" t="s">
        <v>20</v>
      </c>
      <c r="E23" s="59"/>
      <c r="F23" s="59"/>
      <c r="G23" s="59"/>
      <c r="H23" s="59"/>
      <c r="I23" s="59"/>
      <c r="J23" s="7"/>
      <c r="Q23">
        <f t="shared" si="1"/>
        <v>5</v>
      </c>
    </row>
    <row r="24" spans="1:25" ht="12.75">
      <c r="B24" s="4">
        <v>6</v>
      </c>
      <c r="C24" s="58" t="s">
        <v>25</v>
      </c>
      <c r="D24" s="59" t="s">
        <v>20</v>
      </c>
      <c r="E24" s="59"/>
      <c r="F24" s="59"/>
      <c r="G24" s="59"/>
      <c r="H24" s="59"/>
      <c r="I24" s="59"/>
      <c r="J24" s="7"/>
      <c r="Q24">
        <f t="shared" si="1"/>
        <v>5</v>
      </c>
    </row>
    <row r="25" spans="1:25" ht="12.75">
      <c r="B25" s="4">
        <v>7</v>
      </c>
      <c r="C25" s="61" t="s">
        <v>26</v>
      </c>
      <c r="D25" s="62" t="s">
        <v>20</v>
      </c>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4.75</v>
      </c>
    </row>
    <row r="29" spans="1:25" ht="20.25">
      <c r="B29" s="100" t="s">
        <v>1</v>
      </c>
      <c r="C29" s="101"/>
      <c r="D29" s="75" t="s">
        <v>128</v>
      </c>
      <c r="E29" s="105"/>
      <c r="F29" s="105"/>
      <c r="G29" s="106"/>
      <c r="L29" s="57"/>
    </row>
    <row r="30" spans="1:25" ht="23.25">
      <c r="A30" s="2"/>
      <c r="B30" s="3" t="s">
        <v>0</v>
      </c>
      <c r="C30" s="3" t="s">
        <v>13</v>
      </c>
      <c r="D30" s="3" t="s">
        <v>14</v>
      </c>
      <c r="E30" s="3" t="s">
        <v>15</v>
      </c>
      <c r="F30" s="3" t="s">
        <v>16</v>
      </c>
      <c r="G30" s="3" t="s">
        <v>17</v>
      </c>
      <c r="H30" s="3" t="s">
        <v>18</v>
      </c>
      <c r="I30" s="3" t="s">
        <v>5</v>
      </c>
      <c r="J30" s="2"/>
      <c r="K30" s="2"/>
      <c r="L30" s="2"/>
      <c r="M30" s="2"/>
      <c r="N30" s="2"/>
      <c r="O30" s="2"/>
      <c r="P30" s="2"/>
      <c r="Q30" s="2"/>
      <c r="R30" s="2"/>
      <c r="S30" s="2"/>
      <c r="T30" s="2"/>
      <c r="U30" s="2"/>
      <c r="V30" s="2"/>
      <c r="W30" s="2"/>
      <c r="X30" s="2"/>
      <c r="Y30" s="2"/>
    </row>
    <row r="31" spans="1:25" ht="12.75">
      <c r="B31" s="4">
        <v>1</v>
      </c>
      <c r="C31" s="58" t="s">
        <v>19</v>
      </c>
      <c r="D31" s="59"/>
      <c r="E31" s="59" t="s">
        <v>20</v>
      </c>
      <c r="F31" s="59"/>
      <c r="G31" s="59"/>
      <c r="H31" s="59"/>
      <c r="I31" s="59"/>
      <c r="Q31">
        <f>COUNTA(D31)*5 +COUNTA(E31)*4+COUNTA(F31)*3+COUNTA(G31)*2+COUNTA(H31)*1</f>
        <v>4</v>
      </c>
    </row>
    <row r="32" spans="1:25" ht="12.75">
      <c r="B32" s="4">
        <v>2</v>
      </c>
      <c r="C32" s="58" t="s">
        <v>21</v>
      </c>
      <c r="D32" s="59" t="s">
        <v>20</v>
      </c>
      <c r="E32" s="60"/>
      <c r="F32" s="59"/>
      <c r="G32" s="59"/>
      <c r="H32" s="59"/>
      <c r="I32" s="59"/>
      <c r="Q32">
        <f t="shared" ref="Q32:Q38" si="2">COUNTA(D32)*5 +COUNTA(E32)*4+COUNTA(F32)*3+COUNTA(G32)*2+COUNTA(H32)*1</f>
        <v>5</v>
      </c>
    </row>
    <row r="33" spans="2:17" ht="12.75">
      <c r="B33" s="4">
        <v>3</v>
      </c>
      <c r="C33" s="58" t="s">
        <v>22</v>
      </c>
      <c r="D33" s="59"/>
      <c r="E33" s="59" t="s">
        <v>20</v>
      </c>
      <c r="F33" s="59"/>
      <c r="G33" s="59"/>
      <c r="H33" s="59"/>
      <c r="I33" s="59"/>
      <c r="Q33">
        <f t="shared" si="2"/>
        <v>4</v>
      </c>
    </row>
    <row r="34" spans="2:17" ht="12.75">
      <c r="B34" s="4">
        <v>4</v>
      </c>
      <c r="C34" s="58" t="s">
        <v>23</v>
      </c>
      <c r="D34" s="59" t="s">
        <v>20</v>
      </c>
      <c r="E34" s="59"/>
      <c r="F34" s="59"/>
      <c r="G34" s="59"/>
      <c r="H34" s="59"/>
      <c r="I34" s="59"/>
      <c r="J34" s="7"/>
      <c r="Q34">
        <f t="shared" si="2"/>
        <v>5</v>
      </c>
    </row>
    <row r="35" spans="2:17" ht="12.75">
      <c r="B35" s="4">
        <v>5</v>
      </c>
      <c r="C35" s="58" t="s">
        <v>24</v>
      </c>
      <c r="D35" s="59" t="s">
        <v>20</v>
      </c>
      <c r="E35" s="59"/>
      <c r="F35" s="59"/>
      <c r="G35" s="59"/>
      <c r="H35" s="59"/>
      <c r="I35" s="59"/>
      <c r="J35" s="7"/>
      <c r="Q35">
        <f t="shared" si="2"/>
        <v>5</v>
      </c>
    </row>
    <row r="36" spans="2:17" ht="12.75">
      <c r="B36" s="4">
        <v>6</v>
      </c>
      <c r="C36" s="58" t="s">
        <v>25</v>
      </c>
      <c r="D36" s="59" t="s">
        <v>20</v>
      </c>
      <c r="E36" s="59"/>
      <c r="F36" s="59"/>
      <c r="G36" s="59"/>
      <c r="H36" s="59"/>
      <c r="I36" s="59"/>
      <c r="J36" s="7"/>
      <c r="Q36">
        <f t="shared" si="2"/>
        <v>5</v>
      </c>
    </row>
    <row r="37" spans="2:17" ht="12.75">
      <c r="B37" s="4">
        <v>7</v>
      </c>
      <c r="C37" s="61" t="s">
        <v>26</v>
      </c>
      <c r="D37" s="62"/>
      <c r="E37" s="62" t="s">
        <v>20</v>
      </c>
      <c r="F37" s="63"/>
      <c r="G37" s="63"/>
      <c r="H37" s="63"/>
      <c r="I37" s="63"/>
      <c r="J37" s="7"/>
      <c r="Q37">
        <f t="shared" si="2"/>
        <v>4</v>
      </c>
    </row>
    <row r="38" spans="2:17" ht="12.75">
      <c r="B38" s="4">
        <v>8</v>
      </c>
      <c r="C38" s="66" t="s">
        <v>27</v>
      </c>
      <c r="D38" s="76"/>
      <c r="E38" s="77"/>
      <c r="F38" s="77"/>
      <c r="G38" s="77"/>
      <c r="H38" s="77"/>
      <c r="I38" s="78"/>
      <c r="J38" s="7"/>
      <c r="Q38">
        <f>IF(COUNTA(D38) &gt;=1, 2, 5)</f>
        <v>5</v>
      </c>
    </row>
    <row r="39" spans="2:17" ht="54" customHeight="1">
      <c r="B39" s="65">
        <v>9</v>
      </c>
      <c r="C39" s="67" t="s">
        <v>28</v>
      </c>
      <c r="D39" s="79"/>
      <c r="E39" s="80"/>
      <c r="F39" s="80"/>
      <c r="G39" s="80"/>
      <c r="H39" s="80"/>
      <c r="I39" s="80"/>
      <c r="J39" s="7"/>
    </row>
    <row r="40" spans="2:17" ht="12.75">
      <c r="B40" s="1"/>
      <c r="Q40">
        <f>IF(Q38&gt;0,AVERAGE(Q31:Q38),AVERAGE(Q31:Q37))</f>
        <v>4.625</v>
      </c>
    </row>
    <row r="41" spans="2:17" ht="20.25">
      <c r="B41" s="100" t="s">
        <v>1</v>
      </c>
      <c r="C41" s="101"/>
      <c r="D41" s="75" t="s">
        <v>79</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c r="E43" s="59" t="s">
        <v>20</v>
      </c>
      <c r="F43" s="59"/>
      <c r="G43" s="59"/>
      <c r="H43" s="59"/>
      <c r="I43" s="59"/>
      <c r="Q43">
        <f>COUNTA(D43)*5 +COUNTA(E43)*4+COUNTA(F43)*3+COUNTA(G43)*2+COUNTA(H43)*1</f>
        <v>4</v>
      </c>
    </row>
    <row r="44" spans="2:17" ht="12.75">
      <c r="B44" s="4">
        <v>2</v>
      </c>
      <c r="C44" s="58" t="s">
        <v>21</v>
      </c>
      <c r="D44" s="59" t="s">
        <v>20</v>
      </c>
      <c r="E44" s="60"/>
      <c r="F44" s="59"/>
      <c r="G44" s="59"/>
      <c r="H44" s="59"/>
      <c r="I44" s="59"/>
      <c r="Q44">
        <f t="shared" ref="Q44:Q50" si="3">COUNTA(D44)*5 +COUNTA(E44)*4+COUNTA(F44)*3+COUNTA(G44)*2+COUNTA(H44)*1</f>
        <v>5</v>
      </c>
    </row>
    <row r="45" spans="2:17" ht="12.75">
      <c r="B45" s="4">
        <v>3</v>
      </c>
      <c r="C45" s="58" t="s">
        <v>22</v>
      </c>
      <c r="D45" s="59" t="s">
        <v>20</v>
      </c>
      <c r="E45" s="59"/>
      <c r="F45" s="59"/>
      <c r="G45" s="59"/>
      <c r="H45" s="59"/>
      <c r="I45" s="59"/>
      <c r="Q45">
        <f t="shared" si="3"/>
        <v>5</v>
      </c>
    </row>
    <row r="46" spans="2:17" ht="12.75">
      <c r="B46" s="4">
        <v>4</v>
      </c>
      <c r="C46" s="58" t="s">
        <v>23</v>
      </c>
      <c r="D46" s="59" t="s">
        <v>20</v>
      </c>
      <c r="E46" s="59"/>
      <c r="F46" s="59"/>
      <c r="G46" s="59"/>
      <c r="H46" s="59"/>
      <c r="I46" s="59"/>
      <c r="J46" s="7"/>
      <c r="Q46">
        <f t="shared" si="3"/>
        <v>5</v>
      </c>
    </row>
    <row r="47" spans="2:17" ht="12.75">
      <c r="B47" s="4">
        <v>5</v>
      </c>
      <c r="C47" s="58" t="s">
        <v>24</v>
      </c>
      <c r="D47" s="59" t="s">
        <v>20</v>
      </c>
      <c r="E47" s="59"/>
      <c r="F47" s="59"/>
      <c r="G47" s="59"/>
      <c r="H47" s="59"/>
      <c r="I47" s="59"/>
      <c r="J47" s="7"/>
      <c r="Q47">
        <f t="shared" si="3"/>
        <v>5</v>
      </c>
    </row>
    <row r="48" spans="2:17" ht="12.75">
      <c r="B48" s="4">
        <v>6</v>
      </c>
      <c r="C48" s="58" t="s">
        <v>25</v>
      </c>
      <c r="D48" s="59" t="s">
        <v>20</v>
      </c>
      <c r="E48" s="59"/>
      <c r="F48" s="59"/>
      <c r="G48" s="59"/>
      <c r="H48" s="59"/>
      <c r="I48" s="59"/>
      <c r="J48" s="7"/>
      <c r="Q48">
        <f t="shared" si="3"/>
        <v>5</v>
      </c>
    </row>
    <row r="49" spans="2:17" ht="12.75">
      <c r="B49" s="4">
        <v>7</v>
      </c>
      <c r="C49" s="61" t="s">
        <v>26</v>
      </c>
      <c r="D49" s="62" t="s">
        <v>20</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26.25" customHeight="1">
      <c r="B51" s="65">
        <v>9</v>
      </c>
      <c r="C51" s="67" t="s">
        <v>28</v>
      </c>
      <c r="D51" s="79"/>
      <c r="E51" s="80"/>
      <c r="F51" s="80"/>
      <c r="G51" s="80"/>
      <c r="H51" s="80"/>
      <c r="I51" s="80"/>
      <c r="J51" s="7"/>
    </row>
    <row r="52" spans="2:17" ht="12.75">
      <c r="B52" s="1"/>
      <c r="Q52">
        <f>IF(Q50&gt;0,AVERAGE(Q43:Q50),AVERAGE(Q43:Q49))</f>
        <v>4.875</v>
      </c>
    </row>
    <row r="53" spans="2:17" ht="20.25">
      <c r="B53" s="100" t="s">
        <v>1</v>
      </c>
      <c r="C53" s="101"/>
      <c r="D53" s="75" t="s">
        <v>62</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c r="E55" s="59" t="s">
        <v>20</v>
      </c>
      <c r="F55" s="59"/>
      <c r="G55" s="59"/>
      <c r="H55" s="59"/>
      <c r="I55" s="59"/>
      <c r="Q55">
        <f>COUNTA(D55)*5 +COUNTA(E55)*4+COUNTA(F55)*3+COUNTA(G55)*2+COUNTA(H55)*1</f>
        <v>4</v>
      </c>
    </row>
    <row r="56" spans="2:17" ht="12.75">
      <c r="B56" s="4">
        <v>2</v>
      </c>
      <c r="C56" s="58" t="s">
        <v>21</v>
      </c>
      <c r="D56" s="59" t="s">
        <v>20</v>
      </c>
      <c r="E56" s="60"/>
      <c r="F56" s="59"/>
      <c r="G56" s="59"/>
      <c r="H56" s="59"/>
      <c r="I56" s="59"/>
      <c r="Q56">
        <f t="shared" ref="Q56:Q62" si="4">COUNTA(D56)*5 +COUNTA(E56)*4+COUNTA(F56)*3+COUNTA(G56)*2+COUNTA(H56)*1</f>
        <v>5</v>
      </c>
    </row>
    <row r="57" spans="2:17" ht="12.75">
      <c r="B57" s="4">
        <v>3</v>
      </c>
      <c r="C57" s="58" t="s">
        <v>22</v>
      </c>
      <c r="D57" s="59" t="s">
        <v>20</v>
      </c>
      <c r="E57" s="59"/>
      <c r="F57" s="59"/>
      <c r="G57" s="59"/>
      <c r="H57" s="59"/>
      <c r="I57" s="59"/>
      <c r="Q57">
        <f t="shared" si="4"/>
        <v>5</v>
      </c>
    </row>
    <row r="58" spans="2:17" ht="12.75">
      <c r="B58" s="4">
        <v>4</v>
      </c>
      <c r="C58" s="58" t="s">
        <v>23</v>
      </c>
      <c r="D58" s="59" t="s">
        <v>20</v>
      </c>
      <c r="E58" s="59"/>
      <c r="F58" s="59"/>
      <c r="G58" s="59"/>
      <c r="H58" s="59"/>
      <c r="I58" s="59"/>
      <c r="J58" s="7"/>
      <c r="Q58">
        <f t="shared" si="4"/>
        <v>5</v>
      </c>
    </row>
    <row r="59" spans="2:17" ht="12.75">
      <c r="B59" s="4">
        <v>5</v>
      </c>
      <c r="C59" s="58" t="s">
        <v>24</v>
      </c>
      <c r="D59" s="59" t="s">
        <v>20</v>
      </c>
      <c r="E59" s="59"/>
      <c r="F59" s="59"/>
      <c r="G59" s="59"/>
      <c r="H59" s="59"/>
      <c r="I59" s="59"/>
      <c r="J59" s="7"/>
      <c r="Q59">
        <f t="shared" si="4"/>
        <v>5</v>
      </c>
    </row>
    <row r="60" spans="2:17" ht="12.75">
      <c r="B60" s="4">
        <v>6</v>
      </c>
      <c r="C60" s="58" t="s">
        <v>25</v>
      </c>
      <c r="D60" s="59" t="s">
        <v>20</v>
      </c>
      <c r="E60" s="59"/>
      <c r="F60" s="59"/>
      <c r="G60" s="59"/>
      <c r="H60" s="59"/>
      <c r="I60" s="59"/>
      <c r="J60" s="7"/>
      <c r="Q60">
        <f t="shared" si="4"/>
        <v>5</v>
      </c>
    </row>
    <row r="61" spans="2:17" ht="12.75">
      <c r="B61" s="4">
        <v>7</v>
      </c>
      <c r="C61" s="61" t="s">
        <v>26</v>
      </c>
      <c r="D61" s="62" t="s">
        <v>20</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29.25" customHeight="1">
      <c r="B63" s="65">
        <v>9</v>
      </c>
      <c r="C63" s="67" t="s">
        <v>28</v>
      </c>
      <c r="D63" s="79"/>
      <c r="E63" s="80"/>
      <c r="F63" s="80"/>
      <c r="G63" s="80"/>
      <c r="H63" s="80"/>
      <c r="I63" s="80"/>
      <c r="J63" s="7"/>
    </row>
    <row r="64" spans="2:17" ht="12.75">
      <c r="B64" s="1"/>
      <c r="Q64">
        <f>IF(Q62&gt;0,AVERAGE(Q55:Q62),AVERAGE(Q55:Q61))</f>
        <v>4.875</v>
      </c>
    </row>
    <row r="65" spans="2:17" ht="20.25">
      <c r="B65" s="100" t="s">
        <v>1</v>
      </c>
      <c r="C65" s="101"/>
      <c r="D65" s="75" t="s">
        <v>129</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20</v>
      </c>
      <c r="E67" s="59"/>
      <c r="F67" s="59"/>
      <c r="G67" s="59"/>
      <c r="H67" s="59"/>
      <c r="I67" s="59"/>
      <c r="Q67">
        <f>COUNTA(D67)*5 +COUNTA(E67)*4+COUNTA(F67)*3+COUNTA(G67)*2+COUNTA(H67)*1</f>
        <v>5</v>
      </c>
    </row>
    <row r="68" spans="2:17" ht="12.75">
      <c r="B68" s="4">
        <v>2</v>
      </c>
      <c r="C68" s="58" t="s">
        <v>21</v>
      </c>
      <c r="D68" s="59" t="s">
        <v>20</v>
      </c>
      <c r="E68" s="60"/>
      <c r="F68" s="59"/>
      <c r="G68" s="59"/>
      <c r="H68" s="59"/>
      <c r="I68" s="59"/>
      <c r="Q68">
        <f t="shared" ref="Q68:Q74" si="5">COUNTA(D68)*5 +COUNTA(E68)*4+COUNTA(F68)*3+COUNTA(G68)*2+COUNTA(H68)*1</f>
        <v>5</v>
      </c>
    </row>
    <row r="69" spans="2:17" ht="12.75">
      <c r="B69" s="4">
        <v>3</v>
      </c>
      <c r="C69" s="58" t="s">
        <v>22</v>
      </c>
      <c r="D69" s="59" t="s">
        <v>20</v>
      </c>
      <c r="E69" s="59"/>
      <c r="F69" s="59"/>
      <c r="G69" s="59"/>
      <c r="H69" s="59"/>
      <c r="I69" s="59"/>
      <c r="Q69">
        <f t="shared" si="5"/>
        <v>5</v>
      </c>
    </row>
    <row r="70" spans="2:17" ht="12.75">
      <c r="B70" s="4">
        <v>4</v>
      </c>
      <c r="C70" s="58" t="s">
        <v>23</v>
      </c>
      <c r="D70" s="59" t="s">
        <v>20</v>
      </c>
      <c r="E70" s="59"/>
      <c r="F70" s="59"/>
      <c r="G70" s="59"/>
      <c r="H70" s="59"/>
      <c r="I70" s="59"/>
      <c r="J70" s="7"/>
      <c r="Q70">
        <f t="shared" si="5"/>
        <v>5</v>
      </c>
    </row>
    <row r="71" spans="2:17" ht="12.75">
      <c r="B71" s="4">
        <v>5</v>
      </c>
      <c r="C71" s="58" t="s">
        <v>24</v>
      </c>
      <c r="D71" s="59" t="s">
        <v>20</v>
      </c>
      <c r="E71" s="59"/>
      <c r="F71" s="59"/>
      <c r="G71" s="59"/>
      <c r="H71" s="59"/>
      <c r="I71" s="59"/>
      <c r="J71" s="7"/>
      <c r="Q71">
        <f t="shared" si="5"/>
        <v>5</v>
      </c>
    </row>
    <row r="72" spans="2:17" ht="12.75">
      <c r="B72" s="4">
        <v>6</v>
      </c>
      <c r="C72" s="58" t="s">
        <v>25</v>
      </c>
      <c r="D72" s="59" t="s">
        <v>20</v>
      </c>
      <c r="E72" s="59"/>
      <c r="F72" s="59"/>
      <c r="G72" s="59"/>
      <c r="H72" s="59"/>
      <c r="I72" s="59"/>
      <c r="J72" s="7"/>
      <c r="Q72">
        <f t="shared" si="5"/>
        <v>5</v>
      </c>
    </row>
    <row r="73" spans="2:17" ht="12.75">
      <c r="B73" s="4">
        <v>7</v>
      </c>
      <c r="C73" s="61" t="s">
        <v>26</v>
      </c>
      <c r="D73" s="62" t="s">
        <v>20</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24.75" customHeight="1">
      <c r="B75" s="65">
        <v>9</v>
      </c>
      <c r="C75" s="67" t="s">
        <v>28</v>
      </c>
      <c r="D75" s="79"/>
      <c r="E75" s="80"/>
      <c r="F75" s="80"/>
      <c r="G75" s="80"/>
      <c r="H75" s="80"/>
      <c r="I75" s="80"/>
      <c r="J75" s="7"/>
    </row>
    <row r="76" spans="2:17" ht="12.75">
      <c r="B76" s="1"/>
      <c r="Q76">
        <f>IF(Q74&gt;0,AVERAGE(Q67:Q74),AVERAGE(Q67:Q73))</f>
        <v>5</v>
      </c>
    </row>
    <row r="77" spans="2:17" ht="20.25">
      <c r="B77" s="100" t="s">
        <v>1</v>
      </c>
      <c r="C77" s="101"/>
      <c r="D77" s="75" t="s">
        <v>130</v>
      </c>
      <c r="E77" s="105"/>
      <c r="F77" s="105"/>
      <c r="G77" s="106"/>
      <c r="L77" s="57"/>
    </row>
    <row r="78" spans="2:17" ht="24">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20</v>
      </c>
      <c r="E79" s="59"/>
      <c r="F79" s="59"/>
      <c r="G79" s="59"/>
      <c r="H79" s="59"/>
      <c r="I79" s="59"/>
      <c r="Q79">
        <f>COUNTA(D79)*5 +COUNTA(E79)*4+COUNTA(F79)*3+COUNTA(G79)*2+COUNTA(H79)*1</f>
        <v>5</v>
      </c>
    </row>
    <row r="80" spans="2:17" ht="12.75">
      <c r="B80" s="4">
        <v>2</v>
      </c>
      <c r="C80" s="58" t="s">
        <v>21</v>
      </c>
      <c r="D80" s="59" t="s">
        <v>20</v>
      </c>
      <c r="E80" s="60"/>
      <c r="F80" s="59"/>
      <c r="G80" s="59"/>
      <c r="H80" s="59"/>
      <c r="I80" s="59"/>
      <c r="Q80">
        <f t="shared" ref="Q80:Q86" si="6">COUNTA(D80)*5 +COUNTA(E80)*4+COUNTA(F80)*3+COUNTA(G80)*2+COUNTA(H80)*1</f>
        <v>5</v>
      </c>
    </row>
    <row r="81" spans="2:17" ht="12.75">
      <c r="B81" s="4">
        <v>3</v>
      </c>
      <c r="C81" s="58" t="s">
        <v>22</v>
      </c>
      <c r="D81" s="59" t="s">
        <v>20</v>
      </c>
      <c r="E81" s="59"/>
      <c r="F81" s="59"/>
      <c r="G81" s="59"/>
      <c r="H81" s="59"/>
      <c r="I81" s="59"/>
      <c r="Q81">
        <f t="shared" si="6"/>
        <v>5</v>
      </c>
    </row>
    <row r="82" spans="2:17" ht="12.75">
      <c r="B82" s="4">
        <v>4</v>
      </c>
      <c r="C82" s="58" t="s">
        <v>23</v>
      </c>
      <c r="D82" s="59" t="s">
        <v>20</v>
      </c>
      <c r="E82" s="59"/>
      <c r="F82" s="59"/>
      <c r="G82" s="59"/>
      <c r="H82" s="59"/>
      <c r="I82" s="59"/>
      <c r="J82" s="7"/>
      <c r="Q82">
        <f t="shared" si="6"/>
        <v>5</v>
      </c>
    </row>
    <row r="83" spans="2:17" ht="12.75">
      <c r="B83" s="4">
        <v>5</v>
      </c>
      <c r="C83" s="58" t="s">
        <v>24</v>
      </c>
      <c r="D83" s="59" t="s">
        <v>20</v>
      </c>
      <c r="E83" s="59"/>
      <c r="F83" s="59"/>
      <c r="G83" s="59"/>
      <c r="H83" s="59"/>
      <c r="I83" s="59"/>
      <c r="J83" s="7"/>
      <c r="Q83">
        <f t="shared" si="6"/>
        <v>5</v>
      </c>
    </row>
    <row r="84" spans="2:17" ht="12.75">
      <c r="B84" s="4">
        <v>6</v>
      </c>
      <c r="C84" s="58" t="s">
        <v>25</v>
      </c>
      <c r="D84" s="59" t="s">
        <v>20</v>
      </c>
      <c r="E84" s="59"/>
      <c r="F84" s="59"/>
      <c r="G84" s="59"/>
      <c r="H84" s="59"/>
      <c r="I84" s="59"/>
      <c r="J84" s="7"/>
      <c r="Q84">
        <f t="shared" si="6"/>
        <v>5</v>
      </c>
    </row>
    <row r="85" spans="2:17" ht="12.75">
      <c r="B85" s="4">
        <v>7</v>
      </c>
      <c r="C85" s="61" t="s">
        <v>26</v>
      </c>
      <c r="D85" s="62" t="s">
        <v>20</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79"/>
      <c r="E87" s="80"/>
      <c r="F87" s="80"/>
      <c r="G87" s="80"/>
      <c r="H87" s="80"/>
      <c r="I87" s="80"/>
      <c r="J87" s="7"/>
    </row>
    <row r="88" spans="2:17" ht="12.75">
      <c r="B88" s="1"/>
      <c r="Q88">
        <f>IF(Q86&gt;0,AVERAGE(Q79:Q86),AVERAGE(Q79:Q85))</f>
        <v>5</v>
      </c>
    </row>
    <row r="89" spans="2:17" ht="20.25">
      <c r="B89" s="100" t="s">
        <v>1</v>
      </c>
      <c r="C89" s="101"/>
      <c r="D89" s="75" t="s">
        <v>131</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20</v>
      </c>
      <c r="E91" s="59"/>
      <c r="F91" s="59"/>
      <c r="G91" s="59"/>
      <c r="H91" s="59"/>
      <c r="I91" s="59"/>
      <c r="Q91">
        <f>COUNTA(D91)*5 +COUNTA(E91)*4+COUNTA(F91)*3+COUNTA(G91)*2+COUNTA(H91)*1</f>
        <v>5</v>
      </c>
    </row>
    <row r="92" spans="2:17" ht="12.75">
      <c r="B92" s="4">
        <v>2</v>
      </c>
      <c r="C92" s="58" t="s">
        <v>21</v>
      </c>
      <c r="D92" s="59" t="s">
        <v>20</v>
      </c>
      <c r="E92" s="60"/>
      <c r="F92" s="59"/>
      <c r="G92" s="59"/>
      <c r="H92" s="59"/>
      <c r="I92" s="59"/>
      <c r="Q92">
        <f t="shared" ref="Q92:Q98" si="7">COUNTA(D92)*5 +COUNTA(E92)*4+COUNTA(F92)*3+COUNTA(G92)*2+COUNTA(H92)*1</f>
        <v>5</v>
      </c>
    </row>
    <row r="93" spans="2:17" ht="12.75">
      <c r="B93" s="4">
        <v>3</v>
      </c>
      <c r="C93" s="58" t="s">
        <v>22</v>
      </c>
      <c r="D93" s="59" t="s">
        <v>20</v>
      </c>
      <c r="E93" s="59"/>
      <c r="F93" s="59"/>
      <c r="G93" s="59"/>
      <c r="H93" s="59"/>
      <c r="I93" s="59"/>
      <c r="Q93">
        <f t="shared" si="7"/>
        <v>5</v>
      </c>
    </row>
    <row r="94" spans="2:17" ht="12.75">
      <c r="B94" s="4">
        <v>4</v>
      </c>
      <c r="C94" s="58" t="s">
        <v>23</v>
      </c>
      <c r="D94" s="59" t="s">
        <v>20</v>
      </c>
      <c r="E94" s="59"/>
      <c r="F94" s="59"/>
      <c r="G94" s="59"/>
      <c r="H94" s="59"/>
      <c r="I94" s="59"/>
      <c r="J94" s="7"/>
      <c r="Q94">
        <f t="shared" si="7"/>
        <v>5</v>
      </c>
    </row>
    <row r="95" spans="2:17" ht="12.75">
      <c r="B95" s="4">
        <v>5</v>
      </c>
      <c r="C95" s="58" t="s">
        <v>24</v>
      </c>
      <c r="D95" s="59" t="s">
        <v>20</v>
      </c>
      <c r="E95" s="59"/>
      <c r="F95" s="59"/>
      <c r="G95" s="59"/>
      <c r="H95" s="59"/>
      <c r="I95" s="59"/>
      <c r="J95" s="7"/>
      <c r="Q95">
        <f t="shared" si="7"/>
        <v>5</v>
      </c>
    </row>
    <row r="96" spans="2:17" ht="12.75">
      <c r="B96" s="4">
        <v>6</v>
      </c>
      <c r="C96" s="58" t="s">
        <v>25</v>
      </c>
      <c r="D96" s="59" t="s">
        <v>20</v>
      </c>
      <c r="E96" s="59"/>
      <c r="F96" s="59"/>
      <c r="G96" s="59"/>
      <c r="H96" s="59"/>
      <c r="I96" s="59"/>
      <c r="J96" s="7"/>
      <c r="Q96">
        <f t="shared" si="7"/>
        <v>5</v>
      </c>
    </row>
    <row r="97" spans="2:17" ht="12.75">
      <c r="B97" s="4">
        <v>7</v>
      </c>
      <c r="C97" s="61" t="s">
        <v>26</v>
      </c>
      <c r="D97" s="62" t="s">
        <v>20</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79"/>
      <c r="E99" s="80"/>
      <c r="F99" s="80"/>
      <c r="G99" s="80"/>
      <c r="H99" s="80"/>
      <c r="I99" s="80"/>
      <c r="J99" s="7"/>
    </row>
    <row r="100" spans="2:17" ht="12.75">
      <c r="B100" s="1"/>
      <c r="Q100">
        <f>IF(Q98&gt;0,AVERAGE(Q91:Q98),AVERAGE(Q91:Q97))</f>
        <v>5</v>
      </c>
    </row>
    <row r="101" spans="2:17" ht="20.25">
      <c r="B101" s="100" t="s">
        <v>1</v>
      </c>
      <c r="C101" s="101"/>
      <c r="D101" s="75" t="s">
        <v>96</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20</v>
      </c>
      <c r="E103" s="59"/>
      <c r="F103" s="59"/>
      <c r="G103" s="59"/>
      <c r="H103" s="59"/>
      <c r="I103" s="59"/>
      <c r="Q103">
        <f>COUNTA(D103)*5 +COUNTA(E103)*4+COUNTA(F103)*3+COUNTA(G103)*2+COUNTA(H103)*1</f>
        <v>5</v>
      </c>
    </row>
    <row r="104" spans="2:17" ht="12.75">
      <c r="B104" s="4">
        <v>2</v>
      </c>
      <c r="C104" s="58" t="s">
        <v>21</v>
      </c>
      <c r="D104" s="59" t="s">
        <v>20</v>
      </c>
      <c r="E104" s="60"/>
      <c r="F104" s="59"/>
      <c r="G104" s="59"/>
      <c r="H104" s="59"/>
      <c r="I104" s="59"/>
      <c r="Q104">
        <f t="shared" ref="Q104:Q110" si="8">COUNTA(D104)*5 +COUNTA(E104)*4+COUNTA(F104)*3+COUNTA(G104)*2+COUNTA(H104)*1</f>
        <v>5</v>
      </c>
    </row>
    <row r="105" spans="2:17" ht="12.75">
      <c r="B105" s="4">
        <v>3</v>
      </c>
      <c r="C105" s="58" t="s">
        <v>22</v>
      </c>
      <c r="D105" s="59" t="s">
        <v>20</v>
      </c>
      <c r="E105" s="59"/>
      <c r="F105" s="59"/>
      <c r="G105" s="59"/>
      <c r="H105" s="59"/>
      <c r="I105" s="59"/>
      <c r="Q105">
        <f t="shared" si="8"/>
        <v>5</v>
      </c>
    </row>
    <row r="106" spans="2:17" ht="12.75">
      <c r="B106" s="4">
        <v>4</v>
      </c>
      <c r="C106" s="58" t="s">
        <v>23</v>
      </c>
      <c r="D106" s="59" t="s">
        <v>20</v>
      </c>
      <c r="E106" s="59"/>
      <c r="F106" s="59"/>
      <c r="G106" s="59"/>
      <c r="H106" s="59"/>
      <c r="I106" s="59"/>
      <c r="J106" s="7"/>
      <c r="Q106">
        <f t="shared" si="8"/>
        <v>5</v>
      </c>
    </row>
    <row r="107" spans="2:17" ht="12.75">
      <c r="B107" s="4">
        <v>5</v>
      </c>
      <c r="C107" s="58" t="s">
        <v>24</v>
      </c>
      <c r="D107" s="59"/>
      <c r="E107" s="59" t="s">
        <v>20</v>
      </c>
      <c r="F107" s="59"/>
      <c r="G107" s="59"/>
      <c r="H107" s="59"/>
      <c r="I107" s="59"/>
      <c r="J107" s="7"/>
      <c r="Q107">
        <f t="shared" si="8"/>
        <v>4</v>
      </c>
    </row>
    <row r="108" spans="2:17" ht="12.75">
      <c r="B108" s="4">
        <v>6</v>
      </c>
      <c r="C108" s="58" t="s">
        <v>25</v>
      </c>
      <c r="D108" s="59" t="s">
        <v>20</v>
      </c>
      <c r="E108" s="59"/>
      <c r="F108" s="59"/>
      <c r="G108" s="59"/>
      <c r="H108" s="59"/>
      <c r="I108" s="59"/>
      <c r="J108" s="7"/>
      <c r="Q108">
        <f t="shared" si="8"/>
        <v>5</v>
      </c>
    </row>
    <row r="109" spans="2:17" ht="12.75">
      <c r="B109" s="4">
        <v>7</v>
      </c>
      <c r="C109" s="61" t="s">
        <v>26</v>
      </c>
      <c r="D109" s="62" t="s">
        <v>20</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27.75" customHeight="1">
      <c r="B111" s="65">
        <v>9</v>
      </c>
      <c r="C111" s="67" t="s">
        <v>28</v>
      </c>
      <c r="D111" s="79" t="s">
        <v>132</v>
      </c>
      <c r="E111" s="80"/>
      <c r="F111" s="80"/>
      <c r="G111" s="80"/>
      <c r="H111" s="80"/>
      <c r="I111" s="80"/>
      <c r="J111" s="7"/>
    </row>
    <row r="112" spans="2:17" ht="12.75">
      <c r="B112" s="1"/>
      <c r="Q112">
        <f>IF(Q110&gt;0,AVERAGE(Q103:Q110),AVERAGE(Q103:Q109))</f>
        <v>4.875</v>
      </c>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row r="902" spans="2:2" ht="12.75">
      <c r="B902" s="1"/>
    </row>
    <row r="903" spans="2:2" ht="12.75">
      <c r="B903" s="1"/>
    </row>
    <row r="904" spans="2:2" ht="12.75">
      <c r="B904" s="1"/>
    </row>
    <row r="905" spans="2:2" ht="12.75">
      <c r="B905" s="1"/>
    </row>
    <row r="906" spans="2:2" ht="12.75">
      <c r="B906" s="1"/>
    </row>
    <row r="907" spans="2:2" ht="12.75">
      <c r="B907" s="1"/>
    </row>
    <row r="908" spans="2:2" ht="12.75">
      <c r="B908" s="1"/>
    </row>
    <row r="909" spans="2:2" ht="12.75">
      <c r="B909" s="1"/>
    </row>
    <row r="910" spans="2:2" ht="12.75">
      <c r="B910" s="1"/>
    </row>
    <row r="911" spans="2:2" ht="12.75">
      <c r="B911" s="1"/>
    </row>
    <row r="912" spans="2:2" ht="12.75">
      <c r="B912" s="1"/>
    </row>
    <row r="913" spans="2:2" ht="12.75">
      <c r="B913" s="1"/>
    </row>
    <row r="914" spans="2:2" ht="12.75">
      <c r="B914" s="1"/>
    </row>
    <row r="915" spans="2:2" ht="12.75">
      <c r="B915" s="1"/>
    </row>
    <row r="916" spans="2:2" ht="12.75">
      <c r="B916" s="1"/>
    </row>
    <row r="917" spans="2:2" ht="12.75">
      <c r="B917" s="1"/>
    </row>
    <row r="918" spans="2:2" ht="12.75">
      <c r="B918" s="1"/>
    </row>
    <row r="919" spans="2:2" ht="12.75">
      <c r="B919" s="1"/>
    </row>
    <row r="920" spans="2:2" ht="12.75">
      <c r="B920" s="1"/>
    </row>
    <row r="921" spans="2:2" ht="12.75">
      <c r="B921" s="1"/>
    </row>
    <row r="922" spans="2:2" ht="12.75">
      <c r="B922" s="1"/>
    </row>
    <row r="923" spans="2:2" ht="12.75">
      <c r="B923" s="1"/>
    </row>
    <row r="924" spans="2:2" ht="12.75">
      <c r="B924" s="1"/>
    </row>
    <row r="925" spans="2:2" ht="12.75">
      <c r="B925" s="1"/>
    </row>
    <row r="926" spans="2:2" ht="12.75">
      <c r="B926" s="1"/>
    </row>
    <row r="927" spans="2:2" ht="12.75">
      <c r="B927" s="1"/>
    </row>
    <row r="928" spans="2:2" ht="12.75">
      <c r="B928" s="1"/>
    </row>
    <row r="929" spans="2:2" ht="12.75">
      <c r="B929" s="1"/>
    </row>
    <row r="930" spans="2:2" ht="12.75">
      <c r="B930" s="1"/>
    </row>
    <row r="931" spans="2:2" ht="12.75">
      <c r="B931" s="1"/>
    </row>
    <row r="932" spans="2:2" ht="12.75">
      <c r="B932" s="1"/>
    </row>
    <row r="933" spans="2:2" ht="12.75">
      <c r="B933" s="1"/>
    </row>
    <row r="934" spans="2:2" ht="12.75">
      <c r="B934" s="1"/>
    </row>
    <row r="935" spans="2:2" ht="12.75">
      <c r="B935" s="1"/>
    </row>
    <row r="936" spans="2:2" ht="12.75">
      <c r="B936" s="1"/>
    </row>
    <row r="937" spans="2:2" ht="12.75">
      <c r="B937" s="1"/>
    </row>
    <row r="938" spans="2:2" ht="12.75">
      <c r="B938" s="1"/>
    </row>
    <row r="939" spans="2:2" ht="12.75">
      <c r="B939" s="1"/>
    </row>
    <row r="940" spans="2:2" ht="12.75">
      <c r="B940" s="1"/>
    </row>
    <row r="941" spans="2:2" ht="12.75">
      <c r="B941" s="1"/>
    </row>
    <row r="942" spans="2:2" ht="12.75">
      <c r="B942" s="1"/>
    </row>
    <row r="943" spans="2:2" ht="12.75">
      <c r="B943" s="1"/>
    </row>
    <row r="944" spans="2:2" ht="12.75">
      <c r="B944" s="1"/>
    </row>
    <row r="945" spans="2:2" ht="12.75">
      <c r="B945" s="1"/>
    </row>
    <row r="946" spans="2:2" ht="12.75">
      <c r="B946" s="1"/>
    </row>
    <row r="947" spans="2:2" ht="12.75">
      <c r="B947" s="1"/>
    </row>
    <row r="948" spans="2:2" ht="12.75">
      <c r="B948" s="1"/>
    </row>
    <row r="949" spans="2:2" ht="12.75">
      <c r="B949" s="1"/>
    </row>
    <row r="950" spans="2:2" ht="12.75">
      <c r="B950" s="1"/>
    </row>
    <row r="951" spans="2:2" ht="12.75">
      <c r="B951" s="1"/>
    </row>
    <row r="952" spans="2:2" ht="12.75">
      <c r="B952" s="1"/>
    </row>
    <row r="953" spans="2:2" ht="12.75">
      <c r="B953" s="1"/>
    </row>
    <row r="954" spans="2:2" ht="12.75">
      <c r="B954" s="1"/>
    </row>
    <row r="955" spans="2:2" ht="12.75">
      <c r="B955" s="1"/>
    </row>
    <row r="956" spans="2:2" ht="12.75">
      <c r="B956" s="1"/>
    </row>
    <row r="957" spans="2:2" ht="12.75">
      <c r="B957" s="1"/>
    </row>
    <row r="958" spans="2:2" ht="12.75">
      <c r="B958" s="1"/>
    </row>
    <row r="959" spans="2:2" ht="12.75">
      <c r="B959" s="1"/>
    </row>
    <row r="960" spans="2:2" ht="12.75">
      <c r="B960" s="1"/>
    </row>
    <row r="961" spans="2:2" ht="12.75">
      <c r="B961" s="1"/>
    </row>
    <row r="962" spans="2:2" ht="12.75">
      <c r="B962" s="1"/>
    </row>
    <row r="963" spans="2:2" ht="12.75">
      <c r="B963" s="1"/>
    </row>
    <row r="964" spans="2:2" ht="12.75">
      <c r="B964" s="1"/>
    </row>
    <row r="965" spans="2:2" ht="12.75">
      <c r="B965" s="1"/>
    </row>
    <row r="966" spans="2:2" ht="12.75">
      <c r="B966" s="1"/>
    </row>
    <row r="967" spans="2:2" ht="12.75">
      <c r="B967" s="1"/>
    </row>
  </sheetData>
  <mergeCells count="37">
    <mergeCell ref="B101:C101"/>
    <mergeCell ref="D101:G101"/>
    <mergeCell ref="D110:I110"/>
    <mergeCell ref="D111:I111"/>
    <mergeCell ref="L4:L5"/>
    <mergeCell ref="B5:C5"/>
    <mergeCell ref="D5:G5"/>
    <mergeCell ref="D14:I14"/>
    <mergeCell ref="D15:I15"/>
    <mergeCell ref="B17:C17"/>
    <mergeCell ref="D17:G17"/>
    <mergeCell ref="B41:C41"/>
    <mergeCell ref="D41:G41"/>
    <mergeCell ref="D50:I50"/>
    <mergeCell ref="B29:C29"/>
    <mergeCell ref="D29:G29"/>
    <mergeCell ref="D38:I38"/>
    <mergeCell ref="D26:I26"/>
    <mergeCell ref="D27:I27"/>
    <mergeCell ref="D39:I39"/>
    <mergeCell ref="D75:I75"/>
    <mergeCell ref="D62:I62"/>
    <mergeCell ref="D63:I63"/>
    <mergeCell ref="D51:I51"/>
    <mergeCell ref="D99:I99"/>
    <mergeCell ref="D86:I86"/>
    <mergeCell ref="D87:I87"/>
    <mergeCell ref="B53:C53"/>
    <mergeCell ref="D53:G53"/>
    <mergeCell ref="B89:C89"/>
    <mergeCell ref="D89:G89"/>
    <mergeCell ref="D98:I98"/>
    <mergeCell ref="B77:C77"/>
    <mergeCell ref="D77:G77"/>
    <mergeCell ref="B65:C65"/>
    <mergeCell ref="D65:G65"/>
    <mergeCell ref="D74:I74"/>
  </mergeCells>
  <pageMargins left="0" right="0" top="0" bottom="0" header="0" footer="0"/>
  <pageSetup paperSize="8" fitToWidth="0" fitToHeight="0" orientation="landscape"/>
  <headerFooter>
    <oddFooter>&amp;R_x000D_&amp;1#&amp;"Calibri"&amp;8&amp;K000000 Cisco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BFEC-B7B6-435E-95FF-DF26110154D9}">
  <sheetPr>
    <outlinePr summaryBelow="0" summaryRight="0"/>
  </sheetPr>
  <dimension ref="A1:Y901"/>
  <sheetViews>
    <sheetView showGridLines="0" topLeftCell="B82" zoomScale="90" zoomScaleNormal="90" workbookViewId="0">
      <selection activeCell="D78" sqref="D78"/>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4" customWidth="1"/>
    <col min="12" max="12" width="20.5703125" customWidth="1"/>
  </cols>
  <sheetData>
    <row r="1" spans="1:25" ht="12.75">
      <c r="B1" s="1"/>
      <c r="C1" t="s">
        <v>73</v>
      </c>
      <c r="D1" t="s">
        <v>133</v>
      </c>
    </row>
    <row r="2" spans="1:25" s="39" customFormat="1" ht="12.75" customHeight="1">
      <c r="B2" s="40"/>
      <c r="C2" s="39" t="s">
        <v>106</v>
      </c>
      <c r="D2" s="39" t="s">
        <v>117</v>
      </c>
    </row>
    <row r="3" spans="1:25" ht="12.75">
      <c r="B3" s="1"/>
    </row>
    <row r="4" spans="1:25" ht="12.75">
      <c r="B4" s="1"/>
      <c r="L4" s="82" t="s">
        <v>45</v>
      </c>
    </row>
    <row r="5" spans="1:25" ht="12.75">
      <c r="B5" s="100" t="s">
        <v>1</v>
      </c>
      <c r="C5" s="101"/>
      <c r="D5" s="75" t="s">
        <v>108</v>
      </c>
      <c r="E5" s="105"/>
      <c r="F5" s="105"/>
      <c r="G5" s="106"/>
      <c r="L5" s="83"/>
    </row>
    <row r="6" spans="1:25" ht="30.75" customHeight="1">
      <c r="A6" s="2"/>
      <c r="B6" s="3" t="s">
        <v>0</v>
      </c>
      <c r="C6" s="3" t="s">
        <v>13</v>
      </c>
      <c r="D6" s="3" t="s">
        <v>14</v>
      </c>
      <c r="E6" s="3" t="s">
        <v>15</v>
      </c>
      <c r="F6" s="3" t="s">
        <v>16</v>
      </c>
      <c r="G6" s="3" t="s">
        <v>17</v>
      </c>
      <c r="H6" s="3" t="s">
        <v>18</v>
      </c>
      <c r="I6" s="3" t="s">
        <v>5</v>
      </c>
      <c r="J6" s="2"/>
      <c r="K6" s="2"/>
      <c r="L6" s="2"/>
      <c r="M6" s="2"/>
      <c r="N6" s="2"/>
      <c r="O6" s="2"/>
      <c r="P6" s="2"/>
      <c r="Q6" s="2"/>
      <c r="R6" s="2"/>
      <c r="S6" s="2"/>
      <c r="T6" s="2"/>
      <c r="U6" s="2"/>
      <c r="V6" s="2"/>
      <c r="W6" s="2"/>
      <c r="X6" s="2"/>
      <c r="Y6" s="2"/>
    </row>
    <row r="7" spans="1:25" ht="12.75">
      <c r="B7" s="4">
        <v>1</v>
      </c>
      <c r="C7" s="58" t="s">
        <v>19</v>
      </c>
      <c r="D7" s="59" t="s">
        <v>59</v>
      </c>
      <c r="E7" s="59"/>
      <c r="F7" s="59"/>
      <c r="G7" s="59"/>
      <c r="H7" s="59"/>
      <c r="I7" s="59"/>
      <c r="Q7">
        <f>COUNTA(D7)*5 +COUNTA(E7)*4+COUNTA(F7)*3+COUNTA(G7)*2+COUNTA(H7)*1</f>
        <v>5</v>
      </c>
    </row>
    <row r="8" spans="1:25" ht="12.75">
      <c r="B8" s="4">
        <v>2</v>
      </c>
      <c r="C8" s="58" t="s">
        <v>21</v>
      </c>
      <c r="D8" s="59" t="s">
        <v>59</v>
      </c>
      <c r="E8" s="60"/>
      <c r="F8" s="59"/>
      <c r="G8" s="59"/>
      <c r="H8" s="59"/>
      <c r="I8" s="59"/>
      <c r="Q8">
        <f t="shared" ref="Q8:Q14" si="0">COUNTA(D8)*5 +COUNTA(E8)*4+COUNTA(F8)*3+COUNTA(G8)*2+COUNTA(H8)*1</f>
        <v>5</v>
      </c>
    </row>
    <row r="9" spans="1:25" ht="12.75">
      <c r="B9" s="4">
        <v>3</v>
      </c>
      <c r="C9" s="58" t="s">
        <v>22</v>
      </c>
      <c r="D9" s="59" t="s">
        <v>59</v>
      </c>
      <c r="E9" s="59"/>
      <c r="F9" s="59"/>
      <c r="G9" s="59"/>
      <c r="H9" s="59"/>
      <c r="I9" s="59"/>
      <c r="Q9">
        <f t="shared" si="0"/>
        <v>5</v>
      </c>
    </row>
    <row r="10" spans="1:25" ht="12.75">
      <c r="B10" s="4">
        <v>4</v>
      </c>
      <c r="C10" s="58" t="s">
        <v>23</v>
      </c>
      <c r="D10" s="59" t="s">
        <v>59</v>
      </c>
      <c r="E10" s="59"/>
      <c r="F10" s="59"/>
      <c r="G10" s="59"/>
      <c r="H10" s="59"/>
      <c r="I10" s="59"/>
      <c r="J10" s="7"/>
      <c r="Q10">
        <f t="shared" si="0"/>
        <v>5</v>
      </c>
    </row>
    <row r="11" spans="1:25" ht="12.75">
      <c r="B11" s="4">
        <v>5</v>
      </c>
      <c r="C11" s="58" t="s">
        <v>24</v>
      </c>
      <c r="D11" s="59" t="s">
        <v>59</v>
      </c>
      <c r="E11" s="59"/>
      <c r="F11" s="59"/>
      <c r="G11" s="59"/>
      <c r="H11" s="59"/>
      <c r="I11" s="59"/>
      <c r="J11" s="7"/>
      <c r="Q11">
        <f t="shared" si="0"/>
        <v>5</v>
      </c>
    </row>
    <row r="12" spans="1:25" ht="12.75">
      <c r="B12" s="4">
        <v>6</v>
      </c>
      <c r="C12" s="58" t="s">
        <v>25</v>
      </c>
      <c r="D12" s="59" t="s">
        <v>59</v>
      </c>
      <c r="E12" s="59"/>
      <c r="F12" s="59"/>
      <c r="G12" s="59"/>
      <c r="H12" s="59"/>
      <c r="I12" s="59"/>
      <c r="J12" s="7"/>
      <c r="Q12">
        <f t="shared" si="0"/>
        <v>5</v>
      </c>
    </row>
    <row r="13" spans="1:25" ht="12.75">
      <c r="B13" s="4">
        <v>7</v>
      </c>
      <c r="C13" s="61" t="s">
        <v>26</v>
      </c>
      <c r="D13" s="59" t="s">
        <v>59</v>
      </c>
      <c r="E13" s="62"/>
      <c r="F13" s="63"/>
      <c r="G13" s="63"/>
      <c r="H13" s="63"/>
      <c r="I13" s="63"/>
      <c r="J13" s="7"/>
      <c r="Q13">
        <f t="shared" si="0"/>
        <v>5</v>
      </c>
    </row>
    <row r="14" spans="1:25" ht="12.75">
      <c r="B14" s="71">
        <v>8</v>
      </c>
      <c r="C14" s="66" t="s">
        <v>27</v>
      </c>
      <c r="D14" s="76"/>
      <c r="E14" s="77"/>
      <c r="F14" s="77"/>
      <c r="G14" s="77"/>
      <c r="H14" s="77"/>
      <c r="I14" s="78"/>
      <c r="J14" s="7"/>
      <c r="Q14">
        <f>IF(COUNTA(D14) &gt;=1, 2, 5)</f>
        <v>5</v>
      </c>
    </row>
    <row r="15" spans="1:25" ht="30.75" customHeight="1">
      <c r="B15" s="70">
        <v>9</v>
      </c>
      <c r="C15" s="67" t="s">
        <v>28</v>
      </c>
      <c r="D15" s="81"/>
      <c r="E15" s="104"/>
      <c r="F15" s="104"/>
      <c r="G15" s="104"/>
      <c r="H15" s="104"/>
      <c r="I15" s="104"/>
      <c r="J15" s="7"/>
    </row>
    <row r="16" spans="1:25" ht="13.5" customHeight="1">
      <c r="B16" s="64"/>
      <c r="C16" s="22"/>
      <c r="D16" s="68"/>
      <c r="E16" s="69"/>
      <c r="F16" s="69"/>
      <c r="G16" s="69"/>
      <c r="H16" s="23"/>
      <c r="I16" s="23"/>
      <c r="J16" s="7"/>
      <c r="Q16">
        <f>IF(Q14&gt;0,AVERAGE(Q7:Q14),AVERAGE(Q7:Q13))</f>
        <v>5</v>
      </c>
    </row>
    <row r="17" spans="1:25" ht="15" customHeight="1">
      <c r="B17" s="100" t="s">
        <v>1</v>
      </c>
      <c r="C17" s="101"/>
      <c r="D17" s="75" t="s">
        <v>109</v>
      </c>
      <c r="E17" s="105"/>
      <c r="F17" s="105"/>
      <c r="G17" s="106"/>
      <c r="L17" s="57"/>
    </row>
    <row r="18" spans="1:25" ht="23.25">
      <c r="A18" s="2"/>
      <c r="B18" s="3" t="s">
        <v>0</v>
      </c>
      <c r="C18" s="3" t="s">
        <v>13</v>
      </c>
      <c r="D18" s="3" t="s">
        <v>14</v>
      </c>
      <c r="E18" s="3" t="s">
        <v>15</v>
      </c>
      <c r="F18" s="3" t="s">
        <v>16</v>
      </c>
      <c r="G18" s="3" t="s">
        <v>17</v>
      </c>
      <c r="H18" s="3" t="s">
        <v>18</v>
      </c>
      <c r="I18" s="3" t="s">
        <v>5</v>
      </c>
      <c r="J18" s="2"/>
      <c r="K18" s="2"/>
      <c r="L18" s="2"/>
      <c r="M18" s="2"/>
      <c r="N18" s="2"/>
      <c r="O18" s="2"/>
      <c r="P18" s="2"/>
      <c r="Q18" s="2"/>
      <c r="R18" s="2"/>
      <c r="S18" s="2"/>
      <c r="T18" s="2"/>
      <c r="U18" s="2"/>
      <c r="V18" s="2"/>
      <c r="W18" s="2"/>
      <c r="X18" s="2"/>
      <c r="Y18" s="2"/>
    </row>
    <row r="19" spans="1:25" ht="27" customHeight="1">
      <c r="B19" s="4">
        <v>1</v>
      </c>
      <c r="C19" s="58" t="s">
        <v>19</v>
      </c>
      <c r="D19" s="59" t="s">
        <v>59</v>
      </c>
      <c r="E19" s="59"/>
      <c r="F19" s="59"/>
      <c r="G19" s="59"/>
      <c r="H19" s="59"/>
      <c r="I19" s="59"/>
      <c r="Q19">
        <f>COUNTA(D19)*5 +COUNTA(E19)*4+COUNTA(F19)*3+COUNTA(G19)*2+COUNTA(H19)*1</f>
        <v>5</v>
      </c>
    </row>
    <row r="20" spans="1:25" ht="12.75">
      <c r="B20" s="4">
        <v>2</v>
      </c>
      <c r="C20" s="58" t="s">
        <v>21</v>
      </c>
      <c r="D20" s="59" t="s">
        <v>59</v>
      </c>
      <c r="E20" s="60"/>
      <c r="F20" s="59"/>
      <c r="G20" s="59"/>
      <c r="H20" s="59"/>
      <c r="I20" s="59"/>
      <c r="Q20">
        <f t="shared" ref="Q20:Q26" si="1">COUNTA(D20)*5 +COUNTA(E20)*4+COUNTA(F20)*3+COUNTA(G20)*2+COUNTA(H20)*1</f>
        <v>5</v>
      </c>
    </row>
    <row r="21" spans="1:25" ht="12.75">
      <c r="B21" s="4">
        <v>3</v>
      </c>
      <c r="C21" s="58" t="s">
        <v>22</v>
      </c>
      <c r="D21" s="59" t="s">
        <v>59</v>
      </c>
      <c r="E21" s="59"/>
      <c r="F21" s="59"/>
      <c r="G21" s="59"/>
      <c r="H21" s="59"/>
      <c r="I21" s="59"/>
      <c r="Q21">
        <f t="shared" si="1"/>
        <v>5</v>
      </c>
    </row>
    <row r="22" spans="1:25" ht="12.75">
      <c r="B22" s="4">
        <v>4</v>
      </c>
      <c r="C22" s="58" t="s">
        <v>23</v>
      </c>
      <c r="D22" s="59" t="s">
        <v>59</v>
      </c>
      <c r="E22" s="59"/>
      <c r="F22" s="59"/>
      <c r="G22" s="59"/>
      <c r="H22" s="59"/>
      <c r="I22" s="59"/>
      <c r="J22" s="7"/>
      <c r="Q22">
        <f t="shared" si="1"/>
        <v>5</v>
      </c>
    </row>
    <row r="23" spans="1:25" ht="12.75">
      <c r="B23" s="4">
        <v>5</v>
      </c>
      <c r="C23" s="58" t="s">
        <v>24</v>
      </c>
      <c r="D23" s="59" t="s">
        <v>59</v>
      </c>
      <c r="E23" s="59"/>
      <c r="F23" s="59"/>
      <c r="G23" s="59"/>
      <c r="H23" s="59"/>
      <c r="I23" s="59"/>
      <c r="J23" s="7"/>
      <c r="Q23">
        <f t="shared" si="1"/>
        <v>5</v>
      </c>
    </row>
    <row r="24" spans="1:25" ht="12.75">
      <c r="B24" s="4">
        <v>6</v>
      </c>
      <c r="C24" s="58" t="s">
        <v>25</v>
      </c>
      <c r="D24" s="59" t="s">
        <v>59</v>
      </c>
      <c r="E24" s="59"/>
      <c r="F24" s="59"/>
      <c r="G24" s="59"/>
      <c r="H24" s="59"/>
      <c r="I24" s="59"/>
      <c r="J24" s="7"/>
      <c r="Q24">
        <f t="shared" si="1"/>
        <v>5</v>
      </c>
    </row>
    <row r="25" spans="1:25" ht="12.75">
      <c r="B25" s="4">
        <v>7</v>
      </c>
      <c r="C25" s="61" t="s">
        <v>26</v>
      </c>
      <c r="D25" s="59" t="s">
        <v>59</v>
      </c>
      <c r="E25" s="62"/>
      <c r="F25" s="63"/>
      <c r="G25" s="63"/>
      <c r="H25" s="63"/>
      <c r="I25" s="63"/>
      <c r="J25" s="7"/>
      <c r="Q25">
        <f t="shared" si="1"/>
        <v>5</v>
      </c>
    </row>
    <row r="26" spans="1:25" ht="12.75">
      <c r="B26" s="4">
        <v>8</v>
      </c>
      <c r="C26" s="66" t="s">
        <v>27</v>
      </c>
      <c r="D26" s="76"/>
      <c r="E26" s="77"/>
      <c r="F26" s="77"/>
      <c r="G26" s="77"/>
      <c r="H26" s="77"/>
      <c r="I26" s="78"/>
      <c r="J26" s="7"/>
      <c r="Q26">
        <f>IF(COUNTA(D26) &gt;=1, 2, 5)</f>
        <v>5</v>
      </c>
    </row>
    <row r="27" spans="1:25" ht="12.75">
      <c r="B27" s="65">
        <v>9</v>
      </c>
      <c r="C27" s="67" t="s">
        <v>28</v>
      </c>
      <c r="D27" s="81"/>
      <c r="E27" s="104"/>
      <c r="F27" s="104"/>
      <c r="G27" s="104"/>
      <c r="H27" s="104"/>
      <c r="I27" s="104"/>
      <c r="J27" s="7"/>
    </row>
    <row r="28" spans="1:25" ht="12.75">
      <c r="B28" s="1"/>
      <c r="Q28">
        <f>IF(Q26&gt;0,AVERAGE(Q19:Q26),AVERAGE(Q19:Q25))</f>
        <v>5</v>
      </c>
    </row>
    <row r="29" spans="1:25" ht="20.25">
      <c r="B29" s="100" t="s">
        <v>1</v>
      </c>
      <c r="C29" s="101"/>
      <c r="D29" s="75" t="s">
        <v>134</v>
      </c>
      <c r="E29" s="105"/>
      <c r="F29" s="105"/>
      <c r="G29" s="106"/>
      <c r="L29" s="57"/>
    </row>
    <row r="30" spans="1:25" ht="23.25">
      <c r="B30" s="3" t="s">
        <v>0</v>
      </c>
      <c r="C30" s="3" t="s">
        <v>13</v>
      </c>
      <c r="D30" s="3" t="s">
        <v>14</v>
      </c>
      <c r="E30" s="3" t="s">
        <v>15</v>
      </c>
      <c r="F30" s="3" t="s">
        <v>16</v>
      </c>
      <c r="G30" s="3" t="s">
        <v>17</v>
      </c>
      <c r="H30" s="3" t="s">
        <v>18</v>
      </c>
      <c r="I30" s="3" t="s">
        <v>5</v>
      </c>
      <c r="J30" s="2"/>
      <c r="K30" s="2"/>
      <c r="L30" s="2"/>
      <c r="M30" s="2"/>
      <c r="N30" s="2"/>
      <c r="O30" s="2"/>
      <c r="P30" s="2"/>
      <c r="Q30" s="2"/>
    </row>
    <row r="31" spans="1:25" ht="12.75">
      <c r="B31" s="4">
        <v>1</v>
      </c>
      <c r="C31" s="58" t="s">
        <v>19</v>
      </c>
      <c r="D31" s="59" t="s">
        <v>59</v>
      </c>
      <c r="E31" s="59"/>
      <c r="F31" s="59"/>
      <c r="G31" s="59"/>
      <c r="H31" s="59"/>
      <c r="I31" s="59"/>
      <c r="Q31">
        <f>COUNTA(D31)*5 +COUNTA(E31)*4+COUNTA(F31)*3+COUNTA(G31)*2+COUNTA(H31)*1</f>
        <v>5</v>
      </c>
    </row>
    <row r="32" spans="1:25" ht="12.75">
      <c r="B32" s="4">
        <v>2</v>
      </c>
      <c r="C32" s="58" t="s">
        <v>21</v>
      </c>
      <c r="D32" s="59" t="s">
        <v>59</v>
      </c>
      <c r="E32" s="60"/>
      <c r="F32" s="59"/>
      <c r="G32" s="59"/>
      <c r="H32" s="59"/>
      <c r="I32" s="59"/>
      <c r="Q32">
        <f t="shared" ref="Q32:Q38" si="2">COUNTA(D32)*5 +COUNTA(E32)*4+COUNTA(F32)*3+COUNTA(G32)*2+COUNTA(H32)*1</f>
        <v>5</v>
      </c>
    </row>
    <row r="33" spans="2:17" ht="12.75">
      <c r="B33" s="4">
        <v>3</v>
      </c>
      <c r="C33" s="58" t="s">
        <v>22</v>
      </c>
      <c r="D33" s="59" t="s">
        <v>59</v>
      </c>
      <c r="E33" s="59"/>
      <c r="F33" s="59"/>
      <c r="G33" s="59"/>
      <c r="H33" s="59"/>
      <c r="I33" s="59"/>
      <c r="Q33">
        <f t="shared" si="2"/>
        <v>5</v>
      </c>
    </row>
    <row r="34" spans="2:17" ht="12.75">
      <c r="B34" s="4">
        <v>4</v>
      </c>
      <c r="C34" s="58" t="s">
        <v>23</v>
      </c>
      <c r="D34" s="59" t="s">
        <v>59</v>
      </c>
      <c r="E34" s="59"/>
      <c r="F34" s="59"/>
      <c r="G34" s="59"/>
      <c r="H34" s="59"/>
      <c r="I34" s="59"/>
      <c r="J34" s="7"/>
      <c r="Q34">
        <f t="shared" si="2"/>
        <v>5</v>
      </c>
    </row>
    <row r="35" spans="2:17" ht="12.75">
      <c r="B35" s="4">
        <v>5</v>
      </c>
      <c r="C35" s="58" t="s">
        <v>24</v>
      </c>
      <c r="D35" s="59" t="s">
        <v>59</v>
      </c>
      <c r="E35" s="59"/>
      <c r="F35" s="59"/>
      <c r="G35" s="59"/>
      <c r="H35" s="59"/>
      <c r="I35" s="59"/>
      <c r="J35" s="7"/>
      <c r="Q35">
        <f t="shared" si="2"/>
        <v>5</v>
      </c>
    </row>
    <row r="36" spans="2:17" ht="12.75">
      <c r="B36" s="4">
        <v>6</v>
      </c>
      <c r="C36" s="58" t="s">
        <v>25</v>
      </c>
      <c r="D36" s="59" t="s">
        <v>59</v>
      </c>
      <c r="E36" s="59"/>
      <c r="F36" s="59"/>
      <c r="G36" s="59"/>
      <c r="H36" s="59"/>
      <c r="I36" s="59"/>
      <c r="J36" s="7"/>
      <c r="Q36">
        <f t="shared" si="2"/>
        <v>5</v>
      </c>
    </row>
    <row r="37" spans="2:17" ht="12.75">
      <c r="B37" s="4">
        <v>7</v>
      </c>
      <c r="C37" s="61" t="s">
        <v>26</v>
      </c>
      <c r="D37" s="59" t="s">
        <v>59</v>
      </c>
      <c r="E37" s="62"/>
      <c r="F37" s="63"/>
      <c r="G37" s="63"/>
      <c r="H37" s="63"/>
      <c r="I37" s="63"/>
      <c r="J37" s="7"/>
      <c r="Q37">
        <f t="shared" si="2"/>
        <v>5</v>
      </c>
    </row>
    <row r="38" spans="2:17" ht="12.75">
      <c r="B38" s="4">
        <v>8</v>
      </c>
      <c r="C38" s="66" t="s">
        <v>27</v>
      </c>
      <c r="D38" s="76"/>
      <c r="E38" s="77"/>
      <c r="F38" s="77"/>
      <c r="G38" s="77"/>
      <c r="H38" s="77"/>
      <c r="I38" s="78"/>
      <c r="J38" s="7"/>
      <c r="Q38">
        <f>IF(COUNTA(D38) &gt;=1, 2, 5)</f>
        <v>5</v>
      </c>
    </row>
    <row r="39" spans="2:17" ht="12.75">
      <c r="B39" s="65">
        <v>9</v>
      </c>
      <c r="C39" s="67" t="s">
        <v>28</v>
      </c>
      <c r="D39" s="81"/>
      <c r="E39" s="104"/>
      <c r="F39" s="104"/>
      <c r="G39" s="104"/>
      <c r="H39" s="104"/>
      <c r="I39" s="104"/>
      <c r="J39" s="7"/>
    </row>
    <row r="40" spans="2:17" ht="12.75">
      <c r="B40" s="1"/>
      <c r="Q40">
        <f>IF(Q38&gt;0,AVERAGE(Q31:Q38),AVERAGE(Q31:Q37))</f>
        <v>5</v>
      </c>
    </row>
    <row r="41" spans="2:17" ht="20.25">
      <c r="B41" s="100" t="s">
        <v>1</v>
      </c>
      <c r="C41" s="101"/>
      <c r="D41" s="75" t="s">
        <v>111</v>
      </c>
      <c r="E41" s="105"/>
      <c r="F41" s="105"/>
      <c r="G41" s="106"/>
      <c r="L41" s="57"/>
    </row>
    <row r="42" spans="2:17" ht="23.25">
      <c r="B42" s="3" t="s">
        <v>0</v>
      </c>
      <c r="C42" s="3" t="s">
        <v>13</v>
      </c>
      <c r="D42" s="3" t="s">
        <v>14</v>
      </c>
      <c r="E42" s="3" t="s">
        <v>15</v>
      </c>
      <c r="F42" s="3" t="s">
        <v>16</v>
      </c>
      <c r="G42" s="3" t="s">
        <v>17</v>
      </c>
      <c r="H42" s="3" t="s">
        <v>18</v>
      </c>
      <c r="I42" s="3" t="s">
        <v>5</v>
      </c>
      <c r="J42" s="2"/>
      <c r="K42" s="2"/>
      <c r="L42" s="2"/>
      <c r="M42" s="2"/>
      <c r="N42" s="2"/>
      <c r="O42" s="2"/>
      <c r="P42" s="2"/>
      <c r="Q42" s="2"/>
    </row>
    <row r="43" spans="2:17" ht="12.75">
      <c r="B43" s="4">
        <v>1</v>
      </c>
      <c r="C43" s="58" t="s">
        <v>19</v>
      </c>
      <c r="D43" s="59" t="s">
        <v>59</v>
      </c>
      <c r="E43" s="59"/>
      <c r="F43" s="59"/>
      <c r="G43" s="59"/>
      <c r="H43" s="59"/>
      <c r="I43" s="59"/>
      <c r="Q43">
        <f>COUNTA(D43)*5 +COUNTA(E43)*4+COUNTA(F43)*3+COUNTA(G43)*2+COUNTA(H43)*1</f>
        <v>5</v>
      </c>
    </row>
    <row r="44" spans="2:17" ht="12.75">
      <c r="B44" s="4">
        <v>2</v>
      </c>
      <c r="C44" s="58" t="s">
        <v>21</v>
      </c>
      <c r="D44" s="59" t="s">
        <v>59</v>
      </c>
      <c r="E44" s="60"/>
      <c r="F44" s="59"/>
      <c r="G44" s="59"/>
      <c r="H44" s="59"/>
      <c r="I44" s="59"/>
      <c r="Q44">
        <f t="shared" ref="Q44:Q50" si="3">COUNTA(D44)*5 +COUNTA(E44)*4+COUNTA(F44)*3+COUNTA(G44)*2+COUNTA(H44)*1</f>
        <v>5</v>
      </c>
    </row>
    <row r="45" spans="2:17" ht="12.75">
      <c r="B45" s="4">
        <v>3</v>
      </c>
      <c r="C45" s="58" t="s">
        <v>22</v>
      </c>
      <c r="D45" s="59" t="s">
        <v>59</v>
      </c>
      <c r="E45" s="59"/>
      <c r="F45" s="59"/>
      <c r="G45" s="59"/>
      <c r="H45" s="59"/>
      <c r="I45" s="59"/>
      <c r="Q45">
        <f t="shared" si="3"/>
        <v>5</v>
      </c>
    </row>
    <row r="46" spans="2:17" ht="12.75">
      <c r="B46" s="4">
        <v>4</v>
      </c>
      <c r="C46" s="58" t="s">
        <v>23</v>
      </c>
      <c r="D46" s="59" t="s">
        <v>59</v>
      </c>
      <c r="E46" s="59"/>
      <c r="F46" s="59"/>
      <c r="G46" s="59"/>
      <c r="H46" s="59"/>
      <c r="I46" s="59"/>
      <c r="J46" s="7"/>
      <c r="Q46">
        <f t="shared" si="3"/>
        <v>5</v>
      </c>
    </row>
    <row r="47" spans="2:17" ht="12.75">
      <c r="B47" s="4">
        <v>5</v>
      </c>
      <c r="C47" s="58" t="s">
        <v>24</v>
      </c>
      <c r="D47" s="59" t="s">
        <v>59</v>
      </c>
      <c r="E47" s="59"/>
      <c r="F47" s="59"/>
      <c r="G47" s="59"/>
      <c r="H47" s="59"/>
      <c r="I47" s="59"/>
      <c r="J47" s="7"/>
      <c r="Q47">
        <f t="shared" si="3"/>
        <v>5</v>
      </c>
    </row>
    <row r="48" spans="2:17" ht="12.75">
      <c r="B48" s="4">
        <v>6</v>
      </c>
      <c r="C48" s="58" t="s">
        <v>25</v>
      </c>
      <c r="D48" s="59" t="s">
        <v>59</v>
      </c>
      <c r="E48" s="59"/>
      <c r="F48" s="59"/>
      <c r="G48" s="59"/>
      <c r="H48" s="59"/>
      <c r="I48" s="59"/>
      <c r="J48" s="7"/>
      <c r="Q48">
        <f t="shared" si="3"/>
        <v>5</v>
      </c>
    </row>
    <row r="49" spans="2:17" ht="12.75">
      <c r="B49" s="4">
        <v>7</v>
      </c>
      <c r="C49" s="61" t="s">
        <v>26</v>
      </c>
      <c r="D49" s="59" t="s">
        <v>59</v>
      </c>
      <c r="E49" s="62"/>
      <c r="F49" s="63"/>
      <c r="G49" s="63"/>
      <c r="H49" s="63"/>
      <c r="I49" s="63"/>
      <c r="J49" s="7"/>
      <c r="Q49">
        <f t="shared" si="3"/>
        <v>5</v>
      </c>
    </row>
    <row r="50" spans="2:17" ht="12.75">
      <c r="B50" s="4">
        <v>8</v>
      </c>
      <c r="C50" s="66" t="s">
        <v>27</v>
      </c>
      <c r="D50" s="76"/>
      <c r="E50" s="77"/>
      <c r="F50" s="77"/>
      <c r="G50" s="77"/>
      <c r="H50" s="77"/>
      <c r="I50" s="78"/>
      <c r="J50" s="7"/>
      <c r="Q50">
        <f>IF(COUNTA(D50) &gt;=1, 2, 5)</f>
        <v>5</v>
      </c>
    </row>
    <row r="51" spans="2:17" ht="12.75">
      <c r="B51" s="65">
        <v>9</v>
      </c>
      <c r="C51" s="67" t="s">
        <v>28</v>
      </c>
      <c r="D51" s="81"/>
      <c r="E51" s="104"/>
      <c r="F51" s="104"/>
      <c r="G51" s="104"/>
      <c r="H51" s="104"/>
      <c r="I51" s="104"/>
      <c r="J51" s="7"/>
    </row>
    <row r="52" spans="2:17" ht="12.75">
      <c r="B52" s="1"/>
      <c r="Q52">
        <f>IF(Q50&gt;0,AVERAGE(Q43:Q50),AVERAGE(Q43:Q49))</f>
        <v>5</v>
      </c>
    </row>
    <row r="53" spans="2:17" ht="20.25">
      <c r="B53" s="100" t="s">
        <v>1</v>
      </c>
      <c r="C53" s="101"/>
      <c r="D53" s="75" t="s">
        <v>120</v>
      </c>
      <c r="E53" s="105"/>
      <c r="F53" s="105"/>
      <c r="G53" s="106"/>
      <c r="L53" s="57"/>
    </row>
    <row r="54" spans="2:17" ht="23.25">
      <c r="B54" s="3" t="s">
        <v>0</v>
      </c>
      <c r="C54" s="3" t="s">
        <v>13</v>
      </c>
      <c r="D54" s="3" t="s">
        <v>14</v>
      </c>
      <c r="E54" s="3" t="s">
        <v>15</v>
      </c>
      <c r="F54" s="3" t="s">
        <v>16</v>
      </c>
      <c r="G54" s="3" t="s">
        <v>17</v>
      </c>
      <c r="H54" s="3" t="s">
        <v>18</v>
      </c>
      <c r="I54" s="3" t="s">
        <v>5</v>
      </c>
      <c r="J54" s="2"/>
      <c r="K54" s="2"/>
      <c r="L54" s="2"/>
      <c r="M54" s="2"/>
      <c r="N54" s="2"/>
      <c r="O54" s="2"/>
      <c r="P54" s="2"/>
      <c r="Q54" s="2"/>
    </row>
    <row r="55" spans="2:17" ht="12.75">
      <c r="B55" s="4">
        <v>1</v>
      </c>
      <c r="C55" s="58" t="s">
        <v>19</v>
      </c>
      <c r="D55" s="59" t="s">
        <v>59</v>
      </c>
      <c r="E55" s="59"/>
      <c r="F55" s="59"/>
      <c r="G55" s="59"/>
      <c r="H55" s="59"/>
      <c r="I55" s="59"/>
      <c r="Q55">
        <f>COUNTA(D55)*5 +COUNTA(E55)*4+COUNTA(F55)*3+COUNTA(G55)*2+COUNTA(H55)*1</f>
        <v>5</v>
      </c>
    </row>
    <row r="56" spans="2:17" ht="12.75">
      <c r="B56" s="4">
        <v>2</v>
      </c>
      <c r="C56" s="58" t="s">
        <v>21</v>
      </c>
      <c r="D56" s="59" t="s">
        <v>59</v>
      </c>
      <c r="E56" s="60"/>
      <c r="F56" s="59"/>
      <c r="G56" s="59"/>
      <c r="H56" s="59"/>
      <c r="I56" s="59"/>
      <c r="Q56">
        <f t="shared" ref="Q56:Q62" si="4">COUNTA(D56)*5 +COUNTA(E56)*4+COUNTA(F56)*3+COUNTA(G56)*2+COUNTA(H56)*1</f>
        <v>5</v>
      </c>
    </row>
    <row r="57" spans="2:17" ht="12.75">
      <c r="B57" s="4">
        <v>3</v>
      </c>
      <c r="C57" s="58" t="s">
        <v>22</v>
      </c>
      <c r="D57" s="59" t="s">
        <v>59</v>
      </c>
      <c r="E57" s="59"/>
      <c r="F57" s="59"/>
      <c r="G57" s="59"/>
      <c r="H57" s="59"/>
      <c r="I57" s="59"/>
      <c r="Q57">
        <f t="shared" si="4"/>
        <v>5</v>
      </c>
    </row>
    <row r="58" spans="2:17" ht="12.75">
      <c r="B58" s="4">
        <v>4</v>
      </c>
      <c r="C58" s="58" t="s">
        <v>23</v>
      </c>
      <c r="D58" s="59" t="s">
        <v>59</v>
      </c>
      <c r="E58" s="59"/>
      <c r="F58" s="59"/>
      <c r="G58" s="59"/>
      <c r="H58" s="59"/>
      <c r="I58" s="59"/>
      <c r="J58" s="7"/>
      <c r="Q58">
        <f t="shared" si="4"/>
        <v>5</v>
      </c>
    </row>
    <row r="59" spans="2:17" ht="12.75">
      <c r="B59" s="4">
        <v>5</v>
      </c>
      <c r="C59" s="58" t="s">
        <v>24</v>
      </c>
      <c r="D59" s="59" t="s">
        <v>59</v>
      </c>
      <c r="E59" s="59"/>
      <c r="F59" s="59"/>
      <c r="G59" s="59"/>
      <c r="H59" s="59"/>
      <c r="I59" s="59"/>
      <c r="J59" s="7"/>
      <c r="Q59">
        <f t="shared" si="4"/>
        <v>5</v>
      </c>
    </row>
    <row r="60" spans="2:17" ht="12.75">
      <c r="B60" s="4">
        <v>6</v>
      </c>
      <c r="C60" s="58" t="s">
        <v>25</v>
      </c>
      <c r="D60" s="59" t="s">
        <v>59</v>
      </c>
      <c r="E60" s="59"/>
      <c r="F60" s="59"/>
      <c r="G60" s="59"/>
      <c r="H60" s="59"/>
      <c r="I60" s="59"/>
      <c r="J60" s="7"/>
      <c r="Q60">
        <f t="shared" si="4"/>
        <v>5</v>
      </c>
    </row>
    <row r="61" spans="2:17" ht="12.75">
      <c r="B61" s="4">
        <v>7</v>
      </c>
      <c r="C61" s="61" t="s">
        <v>26</v>
      </c>
      <c r="D61" s="59" t="s">
        <v>59</v>
      </c>
      <c r="E61" s="62"/>
      <c r="F61" s="63"/>
      <c r="G61" s="63"/>
      <c r="H61" s="63"/>
      <c r="I61" s="63"/>
      <c r="J61" s="7"/>
      <c r="Q61">
        <f t="shared" si="4"/>
        <v>5</v>
      </c>
    </row>
    <row r="62" spans="2:17" ht="12.75">
      <c r="B62" s="4">
        <v>8</v>
      </c>
      <c r="C62" s="66" t="s">
        <v>27</v>
      </c>
      <c r="D62" s="76"/>
      <c r="E62" s="77"/>
      <c r="F62" s="77"/>
      <c r="G62" s="77"/>
      <c r="H62" s="77"/>
      <c r="I62" s="78"/>
      <c r="J62" s="7"/>
      <c r="Q62">
        <f>IF(COUNTA(D62) &gt;=1, 2, 5)</f>
        <v>5</v>
      </c>
    </row>
    <row r="63" spans="2:17" ht="12.75">
      <c r="B63" s="65">
        <v>9</v>
      </c>
      <c r="C63" s="67" t="s">
        <v>28</v>
      </c>
      <c r="D63" s="81"/>
      <c r="E63" s="104"/>
      <c r="F63" s="104"/>
      <c r="G63" s="104"/>
      <c r="H63" s="104"/>
      <c r="I63" s="104"/>
      <c r="J63" s="7"/>
    </row>
    <row r="64" spans="2:17" ht="12.75">
      <c r="B64" s="1"/>
      <c r="Q64">
        <f>IF(Q62&gt;0,AVERAGE(Q55:Q62),AVERAGE(Q55:Q61))</f>
        <v>5</v>
      </c>
    </row>
    <row r="65" spans="2:17" ht="20.25">
      <c r="B65" s="100" t="s">
        <v>1</v>
      </c>
      <c r="C65" s="101"/>
      <c r="D65" s="75" t="s">
        <v>121</v>
      </c>
      <c r="E65" s="105"/>
      <c r="F65" s="105"/>
      <c r="G65" s="106"/>
      <c r="L65" s="57"/>
    </row>
    <row r="66" spans="2:17" ht="23.25">
      <c r="B66" s="3" t="s">
        <v>0</v>
      </c>
      <c r="C66" s="3" t="s">
        <v>13</v>
      </c>
      <c r="D66" s="3" t="s">
        <v>14</v>
      </c>
      <c r="E66" s="3" t="s">
        <v>15</v>
      </c>
      <c r="F66" s="3" t="s">
        <v>16</v>
      </c>
      <c r="G66" s="3" t="s">
        <v>17</v>
      </c>
      <c r="H66" s="3" t="s">
        <v>18</v>
      </c>
      <c r="I66" s="3" t="s">
        <v>5</v>
      </c>
      <c r="J66" s="2"/>
      <c r="K66" s="2"/>
      <c r="L66" s="2"/>
      <c r="M66" s="2"/>
      <c r="N66" s="2"/>
      <c r="O66" s="2"/>
      <c r="P66" s="2"/>
      <c r="Q66" s="2"/>
    </row>
    <row r="67" spans="2:17" ht="12.75">
      <c r="B67" s="4">
        <v>1</v>
      </c>
      <c r="C67" s="58" t="s">
        <v>19</v>
      </c>
      <c r="D67" s="59" t="s">
        <v>59</v>
      </c>
      <c r="E67" s="59"/>
      <c r="F67" s="59"/>
      <c r="G67" s="59"/>
      <c r="H67" s="59"/>
      <c r="I67" s="59"/>
      <c r="Q67">
        <f>COUNTA(D67)*5 +COUNTA(E67)*4+COUNTA(F67)*3+COUNTA(G67)*2+COUNTA(H67)*1</f>
        <v>5</v>
      </c>
    </row>
    <row r="68" spans="2:17" ht="12.75">
      <c r="B68" s="4">
        <v>2</v>
      </c>
      <c r="C68" s="58" t="s">
        <v>21</v>
      </c>
      <c r="D68" s="59" t="s">
        <v>59</v>
      </c>
      <c r="E68" s="60"/>
      <c r="F68" s="59"/>
      <c r="G68" s="59"/>
      <c r="H68" s="59"/>
      <c r="I68" s="59"/>
      <c r="Q68">
        <f t="shared" ref="Q68:Q74" si="5">COUNTA(D68)*5 +COUNTA(E68)*4+COUNTA(F68)*3+COUNTA(G68)*2+COUNTA(H68)*1</f>
        <v>5</v>
      </c>
    </row>
    <row r="69" spans="2:17" ht="12.75">
      <c r="B69" s="4">
        <v>3</v>
      </c>
      <c r="C69" s="58" t="s">
        <v>22</v>
      </c>
      <c r="D69" s="59" t="s">
        <v>59</v>
      </c>
      <c r="E69" s="59"/>
      <c r="F69" s="59"/>
      <c r="G69" s="59"/>
      <c r="H69" s="59"/>
      <c r="I69" s="59"/>
      <c r="Q69">
        <f t="shared" si="5"/>
        <v>5</v>
      </c>
    </row>
    <row r="70" spans="2:17" ht="12.75">
      <c r="B70" s="4">
        <v>4</v>
      </c>
      <c r="C70" s="58" t="s">
        <v>23</v>
      </c>
      <c r="D70" s="59" t="s">
        <v>59</v>
      </c>
      <c r="E70" s="59"/>
      <c r="F70" s="59"/>
      <c r="G70" s="59"/>
      <c r="H70" s="59"/>
      <c r="I70" s="59"/>
      <c r="J70" s="7"/>
      <c r="Q70">
        <f t="shared" si="5"/>
        <v>5</v>
      </c>
    </row>
    <row r="71" spans="2:17" ht="12.75">
      <c r="B71" s="4">
        <v>5</v>
      </c>
      <c r="C71" s="58" t="s">
        <v>24</v>
      </c>
      <c r="D71" s="59" t="s">
        <v>59</v>
      </c>
      <c r="E71" s="59"/>
      <c r="F71" s="59"/>
      <c r="G71" s="59"/>
      <c r="H71" s="59"/>
      <c r="I71" s="59"/>
      <c r="J71" s="7"/>
      <c r="Q71">
        <f t="shared" si="5"/>
        <v>5</v>
      </c>
    </row>
    <row r="72" spans="2:17" ht="12.75">
      <c r="B72" s="4">
        <v>6</v>
      </c>
      <c r="C72" s="58" t="s">
        <v>25</v>
      </c>
      <c r="D72" s="59" t="s">
        <v>59</v>
      </c>
      <c r="E72" s="59"/>
      <c r="F72" s="59"/>
      <c r="G72" s="59"/>
      <c r="H72" s="59"/>
      <c r="I72" s="59"/>
      <c r="J72" s="7"/>
      <c r="Q72">
        <f t="shared" si="5"/>
        <v>5</v>
      </c>
    </row>
    <row r="73" spans="2:17" ht="12.75">
      <c r="B73" s="4">
        <v>7</v>
      </c>
      <c r="C73" s="61" t="s">
        <v>26</v>
      </c>
      <c r="D73" s="59" t="s">
        <v>59</v>
      </c>
      <c r="E73" s="62"/>
      <c r="F73" s="63"/>
      <c r="G73" s="63"/>
      <c r="H73" s="63"/>
      <c r="I73" s="63"/>
      <c r="J73" s="7"/>
      <c r="Q73">
        <f t="shared" si="5"/>
        <v>5</v>
      </c>
    </row>
    <row r="74" spans="2:17" ht="12.75">
      <c r="B74" s="4">
        <v>8</v>
      </c>
      <c r="C74" s="66" t="s">
        <v>27</v>
      </c>
      <c r="D74" s="76"/>
      <c r="E74" s="77"/>
      <c r="F74" s="77"/>
      <c r="G74" s="77"/>
      <c r="H74" s="77"/>
      <c r="I74" s="78"/>
      <c r="J74" s="7"/>
      <c r="Q74">
        <f>IF(COUNTA(D74) &gt;=1, 2, 5)</f>
        <v>5</v>
      </c>
    </row>
    <row r="75" spans="2:17" ht="12.75">
      <c r="B75" s="65">
        <v>9</v>
      </c>
      <c r="C75" s="67" t="s">
        <v>28</v>
      </c>
      <c r="D75" s="81"/>
      <c r="E75" s="104"/>
      <c r="F75" s="104"/>
      <c r="G75" s="104"/>
      <c r="H75" s="104"/>
      <c r="I75" s="104"/>
      <c r="J75" s="7"/>
    </row>
    <row r="76" spans="2:17" ht="12.75">
      <c r="B76" s="1"/>
      <c r="Q76">
        <f>IF(Q74&gt;0,AVERAGE(Q67:Q74),AVERAGE(Q67:Q73))</f>
        <v>5</v>
      </c>
    </row>
    <row r="77" spans="2:17" ht="20.25">
      <c r="B77" s="100" t="s">
        <v>1</v>
      </c>
      <c r="C77" s="101"/>
      <c r="D77" s="75">
        <v>46023</v>
      </c>
      <c r="E77" s="105"/>
      <c r="F77" s="105"/>
      <c r="G77" s="106"/>
      <c r="L77" s="57"/>
    </row>
    <row r="78" spans="2:17" ht="24">
      <c r="B78" s="3" t="s">
        <v>0</v>
      </c>
      <c r="C78" s="3" t="s">
        <v>13</v>
      </c>
      <c r="D78" s="3" t="s">
        <v>14</v>
      </c>
      <c r="E78" s="3" t="s">
        <v>15</v>
      </c>
      <c r="F78" s="3" t="s">
        <v>16</v>
      </c>
      <c r="G78" s="3" t="s">
        <v>17</v>
      </c>
      <c r="H78" s="3" t="s">
        <v>18</v>
      </c>
      <c r="I78" s="3" t="s">
        <v>5</v>
      </c>
      <c r="J78" s="2"/>
      <c r="K78" s="2"/>
      <c r="L78" s="2"/>
      <c r="M78" s="2"/>
      <c r="N78" s="2"/>
      <c r="O78" s="2"/>
      <c r="P78" s="2"/>
      <c r="Q78" s="2"/>
    </row>
    <row r="79" spans="2:17" ht="12.75">
      <c r="B79" s="4">
        <v>1</v>
      </c>
      <c r="C79" s="58" t="s">
        <v>19</v>
      </c>
      <c r="D79" s="59" t="s">
        <v>59</v>
      </c>
      <c r="E79" s="59"/>
      <c r="F79" s="59"/>
      <c r="G79" s="59"/>
      <c r="H79" s="59"/>
      <c r="I79" s="59"/>
      <c r="Q79">
        <f>COUNTA(D79)*5 +COUNTA(E79)*4+COUNTA(F79)*3+COUNTA(G79)*2+COUNTA(H79)*1</f>
        <v>5</v>
      </c>
    </row>
    <row r="80" spans="2:17" ht="12.75">
      <c r="B80" s="4">
        <v>2</v>
      </c>
      <c r="C80" s="58" t="s">
        <v>21</v>
      </c>
      <c r="D80" s="59" t="s">
        <v>59</v>
      </c>
      <c r="E80" s="60"/>
      <c r="F80" s="59"/>
      <c r="G80" s="59"/>
      <c r="H80" s="59"/>
      <c r="I80" s="59"/>
      <c r="Q80">
        <f t="shared" ref="Q80:Q86" si="6">COUNTA(D80)*5 +COUNTA(E80)*4+COUNTA(F80)*3+COUNTA(G80)*2+COUNTA(H80)*1</f>
        <v>5</v>
      </c>
    </row>
    <row r="81" spans="2:17" ht="12.75">
      <c r="B81" s="4">
        <v>3</v>
      </c>
      <c r="C81" s="58" t="s">
        <v>22</v>
      </c>
      <c r="D81" s="59" t="s">
        <v>59</v>
      </c>
      <c r="E81" s="59"/>
      <c r="F81" s="59"/>
      <c r="G81" s="59"/>
      <c r="H81" s="59"/>
      <c r="I81" s="59"/>
      <c r="Q81">
        <f t="shared" si="6"/>
        <v>5</v>
      </c>
    </row>
    <row r="82" spans="2:17" ht="12.75">
      <c r="B82" s="4">
        <v>4</v>
      </c>
      <c r="C82" s="58" t="s">
        <v>23</v>
      </c>
      <c r="D82" s="59" t="s">
        <v>59</v>
      </c>
      <c r="E82" s="59"/>
      <c r="F82" s="59"/>
      <c r="G82" s="59"/>
      <c r="H82" s="59"/>
      <c r="I82" s="59"/>
      <c r="J82" s="7"/>
      <c r="Q82">
        <f t="shared" si="6"/>
        <v>5</v>
      </c>
    </row>
    <row r="83" spans="2:17" ht="12.75">
      <c r="B83" s="4">
        <v>5</v>
      </c>
      <c r="C83" s="58" t="s">
        <v>24</v>
      </c>
      <c r="D83" s="59" t="s">
        <v>59</v>
      </c>
      <c r="E83" s="59"/>
      <c r="F83" s="59"/>
      <c r="G83" s="59"/>
      <c r="H83" s="59"/>
      <c r="I83" s="59"/>
      <c r="J83" s="7"/>
      <c r="Q83">
        <f t="shared" si="6"/>
        <v>5</v>
      </c>
    </row>
    <row r="84" spans="2:17" ht="12.75">
      <c r="B84" s="4">
        <v>6</v>
      </c>
      <c r="C84" s="58" t="s">
        <v>25</v>
      </c>
      <c r="D84" s="59" t="s">
        <v>59</v>
      </c>
      <c r="E84" s="59"/>
      <c r="F84" s="59"/>
      <c r="G84" s="59"/>
      <c r="H84" s="59"/>
      <c r="I84" s="59"/>
      <c r="J84" s="7"/>
      <c r="Q84">
        <f t="shared" si="6"/>
        <v>5</v>
      </c>
    </row>
    <row r="85" spans="2:17" ht="12.75">
      <c r="B85" s="4">
        <v>7</v>
      </c>
      <c r="C85" s="61" t="s">
        <v>26</v>
      </c>
      <c r="D85" s="59" t="s">
        <v>59</v>
      </c>
      <c r="E85" s="62"/>
      <c r="F85" s="63"/>
      <c r="G85" s="63"/>
      <c r="H85" s="63"/>
      <c r="I85" s="63"/>
      <c r="J85" s="7"/>
      <c r="Q85">
        <f t="shared" si="6"/>
        <v>5</v>
      </c>
    </row>
    <row r="86" spans="2:17" ht="12.75">
      <c r="B86" s="4">
        <v>8</v>
      </c>
      <c r="C86" s="66" t="s">
        <v>27</v>
      </c>
      <c r="D86" s="76"/>
      <c r="E86" s="77"/>
      <c r="F86" s="77"/>
      <c r="G86" s="77"/>
      <c r="H86" s="77"/>
      <c r="I86" s="78"/>
      <c r="J86" s="7"/>
      <c r="Q86">
        <f>IF(COUNTA(D86) &gt;=1, 2, 5)</f>
        <v>5</v>
      </c>
    </row>
    <row r="87" spans="2:17" ht="12.75">
      <c r="B87" s="65">
        <v>9</v>
      </c>
      <c r="C87" s="67" t="s">
        <v>28</v>
      </c>
      <c r="D87" s="81"/>
      <c r="E87" s="104"/>
      <c r="F87" s="104"/>
      <c r="G87" s="104"/>
      <c r="H87" s="104"/>
      <c r="I87" s="104"/>
      <c r="J87" s="7"/>
    </row>
    <row r="88" spans="2:17" ht="12.75">
      <c r="B88" s="1"/>
      <c r="Q88">
        <f>IF(Q86&gt;0,AVERAGE(Q79:Q86),AVERAGE(Q79:Q85))</f>
        <v>5</v>
      </c>
    </row>
    <row r="89" spans="2:17" ht="20.25">
      <c r="B89" s="100" t="s">
        <v>1</v>
      </c>
      <c r="C89" s="101"/>
      <c r="D89" s="75" t="s">
        <v>123</v>
      </c>
      <c r="E89" s="105"/>
      <c r="F89" s="105"/>
      <c r="G89" s="106"/>
      <c r="L89" s="57"/>
    </row>
    <row r="90" spans="2:17" ht="24">
      <c r="B90" s="3" t="s">
        <v>0</v>
      </c>
      <c r="C90" s="3" t="s">
        <v>13</v>
      </c>
      <c r="D90" s="3" t="s">
        <v>14</v>
      </c>
      <c r="E90" s="3" t="s">
        <v>15</v>
      </c>
      <c r="F90" s="3" t="s">
        <v>16</v>
      </c>
      <c r="G90" s="3" t="s">
        <v>17</v>
      </c>
      <c r="H90" s="3" t="s">
        <v>18</v>
      </c>
      <c r="I90" s="3" t="s">
        <v>5</v>
      </c>
      <c r="J90" s="2"/>
      <c r="K90" s="2"/>
      <c r="L90" s="2"/>
      <c r="M90" s="2"/>
      <c r="N90" s="2"/>
      <c r="O90" s="2"/>
      <c r="P90" s="2"/>
      <c r="Q90" s="2"/>
    </row>
    <row r="91" spans="2:17" ht="12.75">
      <c r="B91" s="4">
        <v>1</v>
      </c>
      <c r="C91" s="58" t="s">
        <v>19</v>
      </c>
      <c r="D91" s="59" t="s">
        <v>59</v>
      </c>
      <c r="E91" s="59"/>
      <c r="F91" s="59"/>
      <c r="G91" s="59"/>
      <c r="H91" s="59"/>
      <c r="I91" s="59"/>
      <c r="Q91">
        <f>COUNTA(D91)*5 +COUNTA(E91)*4+COUNTA(F91)*3+COUNTA(G91)*2+COUNTA(H91)*1</f>
        <v>5</v>
      </c>
    </row>
    <row r="92" spans="2:17" ht="12.75">
      <c r="B92" s="4">
        <v>2</v>
      </c>
      <c r="C92" s="58" t="s">
        <v>21</v>
      </c>
      <c r="D92" s="59" t="s">
        <v>59</v>
      </c>
      <c r="E92" s="60"/>
      <c r="F92" s="59"/>
      <c r="G92" s="59"/>
      <c r="H92" s="59"/>
      <c r="I92" s="59"/>
      <c r="Q92">
        <f t="shared" ref="Q92:Q98" si="7">COUNTA(D92)*5 +COUNTA(E92)*4+COUNTA(F92)*3+COUNTA(G92)*2+COUNTA(H92)*1</f>
        <v>5</v>
      </c>
    </row>
    <row r="93" spans="2:17" ht="12.75">
      <c r="B93" s="4">
        <v>3</v>
      </c>
      <c r="C93" s="58" t="s">
        <v>22</v>
      </c>
      <c r="D93" s="59" t="s">
        <v>59</v>
      </c>
      <c r="E93" s="59"/>
      <c r="F93" s="59"/>
      <c r="G93" s="59"/>
      <c r="H93" s="59"/>
      <c r="I93" s="59"/>
      <c r="Q93">
        <f t="shared" si="7"/>
        <v>5</v>
      </c>
    </row>
    <row r="94" spans="2:17" ht="12.75">
      <c r="B94" s="4">
        <v>4</v>
      </c>
      <c r="C94" s="58" t="s">
        <v>23</v>
      </c>
      <c r="D94" s="59" t="s">
        <v>59</v>
      </c>
      <c r="E94" s="59"/>
      <c r="F94" s="59"/>
      <c r="G94" s="59"/>
      <c r="H94" s="59"/>
      <c r="I94" s="59"/>
      <c r="J94" s="7"/>
      <c r="Q94">
        <f t="shared" si="7"/>
        <v>5</v>
      </c>
    </row>
    <row r="95" spans="2:17" ht="12.75">
      <c r="B95" s="4">
        <v>5</v>
      </c>
      <c r="C95" s="58" t="s">
        <v>24</v>
      </c>
      <c r="D95" s="59" t="s">
        <v>59</v>
      </c>
      <c r="E95" s="59"/>
      <c r="F95" s="59"/>
      <c r="G95" s="59"/>
      <c r="H95" s="59"/>
      <c r="I95" s="59"/>
      <c r="J95" s="7"/>
      <c r="Q95">
        <f t="shared" si="7"/>
        <v>5</v>
      </c>
    </row>
    <row r="96" spans="2:17" ht="12.75">
      <c r="B96" s="4">
        <v>6</v>
      </c>
      <c r="C96" s="58" t="s">
        <v>25</v>
      </c>
      <c r="D96" s="59" t="s">
        <v>59</v>
      </c>
      <c r="E96" s="59"/>
      <c r="F96" s="59"/>
      <c r="G96" s="59"/>
      <c r="H96" s="59"/>
      <c r="I96" s="59"/>
      <c r="J96" s="7"/>
      <c r="Q96">
        <f t="shared" si="7"/>
        <v>5</v>
      </c>
    </row>
    <row r="97" spans="2:17" ht="12.75">
      <c r="B97" s="4">
        <v>7</v>
      </c>
      <c r="C97" s="61" t="s">
        <v>26</v>
      </c>
      <c r="D97" s="59" t="s">
        <v>59</v>
      </c>
      <c r="E97" s="62"/>
      <c r="F97" s="63"/>
      <c r="G97" s="63"/>
      <c r="H97" s="63"/>
      <c r="I97" s="63"/>
      <c r="J97" s="7"/>
      <c r="Q97">
        <f t="shared" si="7"/>
        <v>5</v>
      </c>
    </row>
    <row r="98" spans="2:17" ht="12.75">
      <c r="B98" s="4">
        <v>8</v>
      </c>
      <c r="C98" s="66" t="s">
        <v>27</v>
      </c>
      <c r="D98" s="76"/>
      <c r="E98" s="77"/>
      <c r="F98" s="77"/>
      <c r="G98" s="77"/>
      <c r="H98" s="77"/>
      <c r="I98" s="78"/>
      <c r="J98" s="7"/>
      <c r="Q98">
        <f>IF(COUNTA(D98) &gt;=1, 2, 5)</f>
        <v>5</v>
      </c>
    </row>
    <row r="99" spans="2:17" ht="12.75">
      <c r="B99" s="65">
        <v>9</v>
      </c>
      <c r="C99" s="67" t="s">
        <v>28</v>
      </c>
      <c r="D99" s="81"/>
      <c r="E99" s="104"/>
      <c r="F99" s="104"/>
      <c r="G99" s="104"/>
      <c r="H99" s="104"/>
      <c r="I99" s="104"/>
      <c r="J99" s="7"/>
    </row>
    <row r="100" spans="2:17" ht="12.75">
      <c r="B100" s="1"/>
      <c r="Q100">
        <f>IF(Q98&gt;0,AVERAGE(Q91:Q98),AVERAGE(Q91:Q97))</f>
        <v>5</v>
      </c>
    </row>
    <row r="101" spans="2:17" ht="20.25">
      <c r="B101" s="100" t="s">
        <v>1</v>
      </c>
      <c r="C101" s="101"/>
      <c r="D101" s="75" t="s">
        <v>118</v>
      </c>
      <c r="E101" s="105"/>
      <c r="F101" s="105"/>
      <c r="G101" s="106"/>
      <c r="L101" s="57"/>
    </row>
    <row r="102" spans="2:17" ht="24">
      <c r="B102" s="3" t="s">
        <v>0</v>
      </c>
      <c r="C102" s="3" t="s">
        <v>13</v>
      </c>
      <c r="D102" s="3" t="s">
        <v>14</v>
      </c>
      <c r="E102" s="3" t="s">
        <v>15</v>
      </c>
      <c r="F102" s="3" t="s">
        <v>16</v>
      </c>
      <c r="G102" s="3" t="s">
        <v>17</v>
      </c>
      <c r="H102" s="3" t="s">
        <v>18</v>
      </c>
      <c r="I102" s="3" t="s">
        <v>5</v>
      </c>
      <c r="J102" s="2"/>
      <c r="K102" s="2"/>
      <c r="L102" s="2"/>
      <c r="M102" s="2"/>
      <c r="N102" s="2"/>
      <c r="O102" s="2"/>
      <c r="P102" s="2"/>
      <c r="Q102" s="2"/>
    </row>
    <row r="103" spans="2:17" ht="12.75">
      <c r="B103" s="4">
        <v>1</v>
      </c>
      <c r="C103" s="58" t="s">
        <v>19</v>
      </c>
      <c r="D103" s="59" t="s">
        <v>59</v>
      </c>
      <c r="E103" s="59"/>
      <c r="F103" s="59"/>
      <c r="G103" s="59"/>
      <c r="H103" s="59"/>
      <c r="I103" s="59"/>
      <c r="Q103">
        <f>COUNTA(D103)*5 +COUNTA(E103)*4+COUNTA(F103)*3+COUNTA(G103)*2+COUNTA(H103)*1</f>
        <v>5</v>
      </c>
    </row>
    <row r="104" spans="2:17" ht="12.75">
      <c r="B104" s="4">
        <v>2</v>
      </c>
      <c r="C104" s="58" t="s">
        <v>21</v>
      </c>
      <c r="D104" s="59" t="s">
        <v>59</v>
      </c>
      <c r="E104" s="60"/>
      <c r="F104" s="59"/>
      <c r="G104" s="59"/>
      <c r="H104" s="59"/>
      <c r="I104" s="59"/>
      <c r="Q104">
        <f t="shared" ref="Q104:Q110" si="8">COUNTA(D104)*5 +COUNTA(E104)*4+COUNTA(F104)*3+COUNTA(G104)*2+COUNTA(H104)*1</f>
        <v>5</v>
      </c>
    </row>
    <row r="105" spans="2:17" ht="12.75">
      <c r="B105" s="4">
        <v>3</v>
      </c>
      <c r="C105" s="58" t="s">
        <v>22</v>
      </c>
      <c r="D105" s="59" t="s">
        <v>59</v>
      </c>
      <c r="E105" s="59"/>
      <c r="F105" s="59"/>
      <c r="G105" s="59"/>
      <c r="H105" s="59"/>
      <c r="I105" s="59"/>
      <c r="Q105">
        <f t="shared" si="8"/>
        <v>5</v>
      </c>
    </row>
    <row r="106" spans="2:17" ht="12.75">
      <c r="B106" s="4">
        <v>4</v>
      </c>
      <c r="C106" s="58" t="s">
        <v>23</v>
      </c>
      <c r="D106" s="59" t="s">
        <v>59</v>
      </c>
      <c r="E106" s="59"/>
      <c r="F106" s="59"/>
      <c r="G106" s="59"/>
      <c r="H106" s="59"/>
      <c r="I106" s="59"/>
      <c r="J106" s="7"/>
      <c r="Q106">
        <f t="shared" si="8"/>
        <v>5</v>
      </c>
    </row>
    <row r="107" spans="2:17" ht="12.75">
      <c r="B107" s="4">
        <v>5</v>
      </c>
      <c r="C107" s="58" t="s">
        <v>24</v>
      </c>
      <c r="D107" s="59" t="s">
        <v>59</v>
      </c>
      <c r="E107" s="59"/>
      <c r="F107" s="59"/>
      <c r="G107" s="59"/>
      <c r="H107" s="59"/>
      <c r="I107" s="59"/>
      <c r="J107" s="7"/>
      <c r="Q107">
        <f t="shared" si="8"/>
        <v>5</v>
      </c>
    </row>
    <row r="108" spans="2:17" ht="12.75">
      <c r="B108" s="4">
        <v>6</v>
      </c>
      <c r="C108" s="58" t="s">
        <v>25</v>
      </c>
      <c r="D108" s="59" t="s">
        <v>59</v>
      </c>
      <c r="E108" s="59"/>
      <c r="F108" s="59"/>
      <c r="G108" s="59"/>
      <c r="H108" s="59"/>
      <c r="I108" s="59"/>
      <c r="J108" s="7"/>
      <c r="Q108">
        <f t="shared" si="8"/>
        <v>5</v>
      </c>
    </row>
    <row r="109" spans="2:17" ht="12.75">
      <c r="B109" s="4">
        <v>7</v>
      </c>
      <c r="C109" s="61" t="s">
        <v>26</v>
      </c>
      <c r="D109" s="59" t="s">
        <v>59</v>
      </c>
      <c r="E109" s="62"/>
      <c r="F109" s="63"/>
      <c r="G109" s="63"/>
      <c r="H109" s="63"/>
      <c r="I109" s="63"/>
      <c r="J109" s="7"/>
      <c r="Q109">
        <f t="shared" si="8"/>
        <v>5</v>
      </c>
    </row>
    <row r="110" spans="2:17" ht="12.75">
      <c r="B110" s="4">
        <v>8</v>
      </c>
      <c r="C110" s="66" t="s">
        <v>27</v>
      </c>
      <c r="D110" s="76"/>
      <c r="E110" s="77"/>
      <c r="F110" s="77"/>
      <c r="G110" s="77"/>
      <c r="H110" s="77"/>
      <c r="I110" s="78"/>
      <c r="J110" s="7"/>
      <c r="Q110">
        <f>IF(COUNTA(D110) &gt;=1, 2, 5)</f>
        <v>5</v>
      </c>
    </row>
    <row r="111" spans="2:17" ht="12.75">
      <c r="B111" s="65">
        <v>9</v>
      </c>
      <c r="C111" s="67" t="s">
        <v>28</v>
      </c>
      <c r="D111" s="81"/>
      <c r="E111" s="104"/>
      <c r="F111" s="104"/>
      <c r="G111" s="104"/>
      <c r="H111" s="104"/>
      <c r="I111" s="104"/>
      <c r="J111" s="7"/>
    </row>
    <row r="112" spans="2:17" ht="12.75">
      <c r="B112" s="1"/>
      <c r="Q112">
        <f>IF(Q110&gt;0,AVERAGE(Q103:Q110),AVERAGE(Q103:Q109))</f>
        <v>5</v>
      </c>
    </row>
    <row r="113" spans="2:2" ht="12.75">
      <c r="B113" s="1"/>
    </row>
    <row r="114" spans="2:2" ht="12.75">
      <c r="B114" s="1"/>
    </row>
    <row r="115" spans="2:2" ht="12.75">
      <c r="B115" s="1"/>
    </row>
    <row r="116" spans="2:2" ht="12.75">
      <c r="B116" s="1"/>
    </row>
    <row r="117" spans="2:2" ht="12.75">
      <c r="B117" s="1"/>
    </row>
    <row r="118" spans="2:2" ht="12.75">
      <c r="B118" s="1"/>
    </row>
    <row r="119" spans="2:2" ht="12.75">
      <c r="B119" s="1"/>
    </row>
    <row r="120" spans="2:2" ht="12.75">
      <c r="B120" s="1"/>
    </row>
    <row r="121" spans="2:2" ht="12.75">
      <c r="B121" s="1"/>
    </row>
    <row r="122" spans="2:2" ht="12.75">
      <c r="B122" s="1"/>
    </row>
    <row r="123" spans="2:2" ht="12.75">
      <c r="B123" s="1"/>
    </row>
    <row r="124" spans="2:2" ht="12.75">
      <c r="B124" s="1"/>
    </row>
    <row r="125" spans="2:2" ht="12.75">
      <c r="B125" s="1"/>
    </row>
    <row r="126" spans="2:2" ht="12.75">
      <c r="B126" s="1"/>
    </row>
    <row r="127" spans="2:2" ht="12.75">
      <c r="B127" s="1"/>
    </row>
    <row r="128" spans="2:2" ht="12.75">
      <c r="B128" s="1"/>
    </row>
    <row r="129" spans="2:2" ht="12.75">
      <c r="B129" s="1"/>
    </row>
    <row r="130" spans="2:2" ht="12.75">
      <c r="B130" s="1"/>
    </row>
    <row r="131" spans="2:2" ht="12.75">
      <c r="B131" s="1"/>
    </row>
    <row r="132" spans="2:2" ht="12.75">
      <c r="B132" s="1"/>
    </row>
    <row r="133" spans="2:2" ht="12.75">
      <c r="B133" s="1"/>
    </row>
    <row r="134" spans="2:2" ht="12.75">
      <c r="B134" s="1"/>
    </row>
    <row r="135" spans="2:2" ht="12.75">
      <c r="B135" s="1"/>
    </row>
    <row r="136" spans="2:2" ht="12.75">
      <c r="B136" s="1"/>
    </row>
    <row r="137" spans="2:2" ht="12.75">
      <c r="B137" s="1"/>
    </row>
    <row r="138" spans="2:2" ht="12.75">
      <c r="B138" s="1"/>
    </row>
    <row r="139" spans="2:2" ht="12.75">
      <c r="B139" s="1"/>
    </row>
    <row r="140" spans="2:2" ht="12.75">
      <c r="B140" s="1"/>
    </row>
    <row r="141" spans="2:2" ht="12.75">
      <c r="B141" s="1"/>
    </row>
    <row r="142" spans="2:2" ht="12.75">
      <c r="B142" s="1"/>
    </row>
    <row r="143" spans="2:2" ht="12.75">
      <c r="B143" s="1"/>
    </row>
    <row r="144" spans="2:2" ht="12.75">
      <c r="B144" s="1"/>
    </row>
    <row r="145" spans="2:2" ht="12.75">
      <c r="B145" s="1"/>
    </row>
    <row r="146" spans="2:2" ht="12.75">
      <c r="B146" s="1"/>
    </row>
    <row r="147" spans="2:2" ht="12.75">
      <c r="B147" s="1"/>
    </row>
    <row r="148" spans="2:2" ht="12.75">
      <c r="B148" s="1"/>
    </row>
    <row r="149" spans="2:2" ht="12.75">
      <c r="B149" s="1"/>
    </row>
    <row r="150" spans="2:2" ht="12.75">
      <c r="B150" s="1"/>
    </row>
    <row r="151" spans="2:2" ht="12.75">
      <c r="B151" s="1"/>
    </row>
    <row r="152" spans="2:2" ht="12.75">
      <c r="B152" s="1"/>
    </row>
    <row r="153" spans="2:2" ht="12.75">
      <c r="B153" s="1"/>
    </row>
    <row r="154" spans="2:2" ht="12.75">
      <c r="B154" s="1"/>
    </row>
    <row r="155" spans="2:2" ht="12.75">
      <c r="B155" s="1"/>
    </row>
    <row r="156" spans="2:2" ht="12.75">
      <c r="B156" s="1"/>
    </row>
    <row r="157" spans="2:2" ht="12.75">
      <c r="B157" s="1"/>
    </row>
    <row r="158" spans="2:2" ht="12.75">
      <c r="B158" s="1"/>
    </row>
    <row r="159" spans="2:2" ht="12.75">
      <c r="B159" s="1"/>
    </row>
    <row r="160" spans="2:2" ht="12.75">
      <c r="B160" s="1"/>
    </row>
    <row r="161" spans="2:2" ht="12.75">
      <c r="B161" s="1"/>
    </row>
    <row r="162" spans="2:2" ht="12.75">
      <c r="B162" s="1"/>
    </row>
    <row r="163" spans="2:2" ht="12.75">
      <c r="B163" s="1"/>
    </row>
    <row r="164" spans="2:2" ht="12.75">
      <c r="B164" s="1"/>
    </row>
    <row r="165" spans="2:2" ht="12.75">
      <c r="B165" s="1"/>
    </row>
    <row r="166" spans="2:2" ht="12.75">
      <c r="B166" s="1"/>
    </row>
    <row r="167" spans="2:2" ht="12.75">
      <c r="B167" s="1"/>
    </row>
    <row r="168" spans="2:2" ht="12.75">
      <c r="B168" s="1"/>
    </row>
    <row r="169" spans="2:2" ht="12.75">
      <c r="B169" s="1"/>
    </row>
    <row r="170" spans="2:2" ht="12.75">
      <c r="B170" s="1"/>
    </row>
    <row r="171" spans="2:2" ht="12.75">
      <c r="B171" s="1"/>
    </row>
    <row r="172" spans="2:2" ht="12.75">
      <c r="B172" s="1"/>
    </row>
    <row r="173" spans="2:2" ht="12.75">
      <c r="B173" s="1"/>
    </row>
    <row r="174" spans="2:2" ht="12.75">
      <c r="B174" s="1"/>
    </row>
    <row r="175" spans="2:2" ht="12.75">
      <c r="B175" s="1"/>
    </row>
    <row r="176" spans="2:2" ht="12.75">
      <c r="B176" s="1"/>
    </row>
    <row r="177" spans="2:2" ht="12.75">
      <c r="B177" s="1"/>
    </row>
    <row r="178" spans="2:2" ht="12.75">
      <c r="B178" s="1"/>
    </row>
    <row r="179" spans="2:2" ht="12.75">
      <c r="B179" s="1"/>
    </row>
    <row r="180" spans="2:2" ht="12.75">
      <c r="B180" s="1"/>
    </row>
    <row r="181" spans="2:2" ht="12.75">
      <c r="B181" s="1"/>
    </row>
    <row r="182" spans="2:2" ht="12.75">
      <c r="B182" s="1"/>
    </row>
    <row r="183" spans="2:2" ht="12.75">
      <c r="B183" s="1"/>
    </row>
    <row r="184" spans="2:2" ht="12.75">
      <c r="B184" s="1"/>
    </row>
    <row r="185" spans="2:2" ht="12.75">
      <c r="B185" s="1"/>
    </row>
    <row r="186" spans="2:2" ht="12.75">
      <c r="B186" s="1"/>
    </row>
    <row r="187" spans="2:2" ht="12.75">
      <c r="B187" s="1"/>
    </row>
    <row r="188" spans="2:2" ht="12.75">
      <c r="B188" s="1"/>
    </row>
    <row r="189" spans="2:2" ht="12.75">
      <c r="B189" s="1"/>
    </row>
    <row r="190" spans="2:2" ht="12.75">
      <c r="B190" s="1"/>
    </row>
    <row r="191" spans="2:2" ht="12.75">
      <c r="B191" s="1"/>
    </row>
    <row r="192" spans="2:2" ht="12.75">
      <c r="B192" s="1"/>
    </row>
    <row r="193" spans="2:2" ht="12.75">
      <c r="B193" s="1"/>
    </row>
    <row r="194" spans="2:2" ht="12.75">
      <c r="B194" s="1"/>
    </row>
    <row r="195" spans="2:2" ht="12.75">
      <c r="B195" s="1"/>
    </row>
    <row r="196" spans="2:2" ht="12.75">
      <c r="B196" s="1"/>
    </row>
    <row r="197" spans="2:2" ht="12.75">
      <c r="B197" s="1"/>
    </row>
    <row r="198" spans="2:2" ht="12.75">
      <c r="B198" s="1"/>
    </row>
    <row r="199" spans="2:2" ht="12.75">
      <c r="B199" s="1"/>
    </row>
    <row r="200" spans="2:2" ht="12.75">
      <c r="B200" s="1"/>
    </row>
    <row r="201" spans="2:2" ht="12.75">
      <c r="B201" s="1"/>
    </row>
    <row r="202" spans="2:2" ht="12.75">
      <c r="B202" s="1"/>
    </row>
    <row r="203" spans="2:2" ht="12.75">
      <c r="B203" s="1"/>
    </row>
    <row r="204" spans="2:2" ht="12.75">
      <c r="B204" s="1"/>
    </row>
    <row r="205" spans="2:2" ht="12.75">
      <c r="B205" s="1"/>
    </row>
    <row r="206" spans="2:2" ht="12.75">
      <c r="B206" s="1"/>
    </row>
    <row r="207" spans="2:2" ht="12.75">
      <c r="B207" s="1"/>
    </row>
    <row r="208" spans="2:2" ht="12.75">
      <c r="B208" s="1"/>
    </row>
    <row r="209" spans="2:2" ht="12.75">
      <c r="B209" s="1"/>
    </row>
    <row r="210" spans="2:2" ht="12.75">
      <c r="B210" s="1"/>
    </row>
    <row r="211" spans="2:2" ht="12.75">
      <c r="B211" s="1"/>
    </row>
    <row r="212" spans="2:2" ht="12.75">
      <c r="B212" s="1"/>
    </row>
    <row r="213" spans="2:2" ht="12.75">
      <c r="B213" s="1"/>
    </row>
    <row r="214" spans="2:2" ht="12.75">
      <c r="B214" s="1"/>
    </row>
    <row r="215" spans="2:2" ht="12.75">
      <c r="B215" s="1"/>
    </row>
    <row r="216" spans="2:2" ht="12.75">
      <c r="B216" s="1"/>
    </row>
    <row r="217" spans="2:2" ht="12.75">
      <c r="B217" s="1"/>
    </row>
    <row r="218" spans="2:2" ht="12.75">
      <c r="B218" s="1"/>
    </row>
    <row r="219" spans="2:2" ht="12.75">
      <c r="B219" s="1"/>
    </row>
    <row r="220" spans="2:2" ht="12.75">
      <c r="B220" s="1"/>
    </row>
    <row r="221" spans="2:2" ht="12.75">
      <c r="B221" s="1"/>
    </row>
    <row r="222" spans="2:2" ht="12.75">
      <c r="B222" s="1"/>
    </row>
    <row r="223" spans="2:2" ht="12.75">
      <c r="B223" s="1"/>
    </row>
    <row r="224" spans="2:2" ht="12.75">
      <c r="B224" s="1"/>
    </row>
    <row r="225" spans="2:2" ht="12.75">
      <c r="B225" s="1"/>
    </row>
    <row r="226" spans="2:2" ht="12.75">
      <c r="B226" s="1"/>
    </row>
    <row r="227" spans="2:2" ht="12.75">
      <c r="B227" s="1"/>
    </row>
    <row r="228" spans="2:2" ht="12.75">
      <c r="B228" s="1"/>
    </row>
    <row r="229" spans="2:2" ht="12.75">
      <c r="B229" s="1"/>
    </row>
    <row r="230" spans="2:2" ht="12.75">
      <c r="B230" s="1"/>
    </row>
    <row r="231" spans="2:2" ht="12.75">
      <c r="B231" s="1"/>
    </row>
    <row r="232" spans="2:2" ht="12.75">
      <c r="B232" s="1"/>
    </row>
    <row r="233" spans="2:2" ht="12.75">
      <c r="B233" s="1"/>
    </row>
    <row r="234" spans="2:2" ht="12.75">
      <c r="B234" s="1"/>
    </row>
    <row r="235" spans="2:2" ht="12.75">
      <c r="B235" s="1"/>
    </row>
    <row r="236" spans="2:2" ht="12.75">
      <c r="B236" s="1"/>
    </row>
    <row r="237" spans="2:2" ht="12.75">
      <c r="B237" s="1"/>
    </row>
    <row r="238" spans="2:2" ht="12.75">
      <c r="B238" s="1"/>
    </row>
    <row r="239" spans="2:2" ht="12.75">
      <c r="B239" s="1"/>
    </row>
    <row r="240" spans="2:2" ht="12.75">
      <c r="B240" s="1"/>
    </row>
    <row r="241" spans="2:2" ht="12.75">
      <c r="B241" s="1"/>
    </row>
    <row r="242" spans="2:2" ht="12.75">
      <c r="B242" s="1"/>
    </row>
    <row r="243" spans="2:2" ht="12.75">
      <c r="B243" s="1"/>
    </row>
    <row r="244" spans="2:2" ht="12.75">
      <c r="B244" s="1"/>
    </row>
    <row r="245" spans="2:2" ht="12.75">
      <c r="B245" s="1"/>
    </row>
    <row r="246" spans="2:2" ht="12.75">
      <c r="B246" s="1"/>
    </row>
    <row r="247" spans="2:2" ht="12.75">
      <c r="B247" s="1"/>
    </row>
    <row r="248" spans="2:2" ht="12.75">
      <c r="B248" s="1"/>
    </row>
    <row r="249" spans="2:2" ht="12.75">
      <c r="B249" s="1"/>
    </row>
    <row r="250" spans="2:2" ht="12.75">
      <c r="B250" s="1"/>
    </row>
    <row r="251" spans="2:2" ht="12.75">
      <c r="B251" s="1"/>
    </row>
    <row r="252" spans="2:2" ht="12.75">
      <c r="B252" s="1"/>
    </row>
    <row r="253" spans="2:2" ht="12.75">
      <c r="B253" s="1"/>
    </row>
    <row r="254" spans="2:2" ht="12.75">
      <c r="B254" s="1"/>
    </row>
    <row r="255" spans="2:2" ht="12.75">
      <c r="B255" s="1"/>
    </row>
    <row r="256" spans="2:2" ht="12.75">
      <c r="B256" s="1"/>
    </row>
    <row r="257" spans="2:2" ht="12.75">
      <c r="B257" s="1"/>
    </row>
    <row r="258" spans="2:2" ht="12.75">
      <c r="B258" s="1"/>
    </row>
    <row r="259" spans="2:2" ht="12.75">
      <c r="B259" s="1"/>
    </row>
    <row r="260" spans="2:2" ht="12.75">
      <c r="B260" s="1"/>
    </row>
    <row r="261" spans="2:2" ht="12.75">
      <c r="B261" s="1"/>
    </row>
    <row r="262" spans="2:2" ht="12.75">
      <c r="B262" s="1"/>
    </row>
    <row r="263" spans="2:2" ht="12.75">
      <c r="B263" s="1"/>
    </row>
    <row r="264" spans="2:2" ht="12.75">
      <c r="B264" s="1"/>
    </row>
    <row r="265" spans="2:2" ht="12.75">
      <c r="B265" s="1"/>
    </row>
    <row r="266" spans="2:2" ht="12.75">
      <c r="B266" s="1"/>
    </row>
    <row r="267" spans="2:2" ht="12.75">
      <c r="B267" s="1"/>
    </row>
    <row r="268" spans="2:2" ht="12.75">
      <c r="B268" s="1"/>
    </row>
    <row r="269" spans="2:2" ht="12.75">
      <c r="B269" s="1"/>
    </row>
    <row r="270" spans="2:2" ht="12.75">
      <c r="B270" s="1"/>
    </row>
    <row r="271" spans="2:2" ht="12.75">
      <c r="B271" s="1"/>
    </row>
    <row r="272" spans="2:2" ht="12.75">
      <c r="B272" s="1"/>
    </row>
    <row r="273" spans="2:2" ht="12.75">
      <c r="B273" s="1"/>
    </row>
    <row r="274" spans="2:2" ht="12.75">
      <c r="B274" s="1"/>
    </row>
    <row r="275" spans="2:2" ht="12.75">
      <c r="B275" s="1"/>
    </row>
    <row r="276" spans="2:2" ht="12.75">
      <c r="B276" s="1"/>
    </row>
    <row r="277" spans="2:2" ht="12.75">
      <c r="B277" s="1"/>
    </row>
    <row r="278" spans="2:2" ht="12.75">
      <c r="B278" s="1"/>
    </row>
    <row r="279" spans="2:2" ht="12.75">
      <c r="B279" s="1"/>
    </row>
    <row r="280" spans="2:2" ht="12.75">
      <c r="B280" s="1"/>
    </row>
    <row r="281" spans="2:2" ht="12.75">
      <c r="B281" s="1"/>
    </row>
    <row r="282" spans="2:2" ht="12.75">
      <c r="B282" s="1"/>
    </row>
    <row r="283" spans="2:2" ht="12.75">
      <c r="B283" s="1"/>
    </row>
    <row r="284" spans="2:2" ht="12.75">
      <c r="B284" s="1"/>
    </row>
    <row r="285" spans="2:2" ht="12.75">
      <c r="B285" s="1"/>
    </row>
    <row r="286" spans="2:2" ht="12.75">
      <c r="B286" s="1"/>
    </row>
    <row r="287" spans="2:2" ht="12.75">
      <c r="B287" s="1"/>
    </row>
    <row r="288" spans="2:2" ht="12.75">
      <c r="B288" s="1"/>
    </row>
    <row r="289" spans="2:2" ht="12.75">
      <c r="B289" s="1"/>
    </row>
    <row r="290" spans="2:2" ht="12.75">
      <c r="B290" s="1"/>
    </row>
    <row r="291" spans="2:2" ht="12.75">
      <c r="B291" s="1"/>
    </row>
    <row r="292" spans="2:2" ht="12.75">
      <c r="B292" s="1"/>
    </row>
    <row r="293" spans="2:2" ht="12.75">
      <c r="B293" s="1"/>
    </row>
    <row r="294" spans="2:2" ht="12.75">
      <c r="B294" s="1"/>
    </row>
    <row r="295" spans="2:2" ht="12.75">
      <c r="B295" s="1"/>
    </row>
    <row r="296" spans="2:2" ht="12.75">
      <c r="B296" s="1"/>
    </row>
    <row r="297" spans="2:2" ht="12.75">
      <c r="B297" s="1"/>
    </row>
    <row r="298" spans="2:2" ht="12.75">
      <c r="B298" s="1"/>
    </row>
    <row r="299" spans="2:2" ht="12.75">
      <c r="B299" s="1"/>
    </row>
    <row r="300" spans="2:2" ht="12.75">
      <c r="B300" s="1"/>
    </row>
    <row r="301" spans="2:2" ht="12.75">
      <c r="B301" s="1"/>
    </row>
    <row r="302" spans="2:2" ht="12.75">
      <c r="B302" s="1"/>
    </row>
    <row r="303" spans="2:2" ht="12.75">
      <c r="B303" s="1"/>
    </row>
    <row r="304" spans="2:2" ht="12.75">
      <c r="B304" s="1"/>
    </row>
    <row r="305" spans="2:2" ht="12.75">
      <c r="B305" s="1"/>
    </row>
    <row r="306" spans="2:2" ht="12.75">
      <c r="B306" s="1"/>
    </row>
    <row r="307" spans="2:2" ht="12.75">
      <c r="B307" s="1"/>
    </row>
    <row r="308" spans="2:2" ht="12.75">
      <c r="B308" s="1"/>
    </row>
    <row r="309" spans="2:2" ht="12.75">
      <c r="B309" s="1"/>
    </row>
    <row r="310" spans="2:2" ht="12.75">
      <c r="B310" s="1"/>
    </row>
    <row r="311" spans="2:2" ht="12.75">
      <c r="B311" s="1"/>
    </row>
    <row r="312" spans="2:2" ht="12.75">
      <c r="B312" s="1"/>
    </row>
    <row r="313" spans="2:2" ht="12.75">
      <c r="B313" s="1"/>
    </row>
    <row r="314" spans="2:2" ht="12.75">
      <c r="B314" s="1"/>
    </row>
    <row r="315" spans="2:2" ht="12.75">
      <c r="B315" s="1"/>
    </row>
    <row r="316" spans="2:2" ht="12.75">
      <c r="B316" s="1"/>
    </row>
    <row r="317" spans="2:2" ht="12.75">
      <c r="B317" s="1"/>
    </row>
    <row r="318" spans="2:2" ht="12.75">
      <c r="B318" s="1"/>
    </row>
    <row r="319" spans="2:2" ht="12.75">
      <c r="B319" s="1"/>
    </row>
    <row r="320" spans="2:2" ht="12.75">
      <c r="B320" s="1"/>
    </row>
    <row r="321" spans="2:2" ht="12.75">
      <c r="B321" s="1"/>
    </row>
    <row r="322" spans="2:2" ht="12.75">
      <c r="B322" s="1"/>
    </row>
    <row r="323" spans="2:2" ht="12.75">
      <c r="B323" s="1"/>
    </row>
    <row r="324" spans="2:2" ht="12.75">
      <c r="B324" s="1"/>
    </row>
    <row r="325" spans="2:2" ht="12.75">
      <c r="B325" s="1"/>
    </row>
    <row r="326" spans="2:2" ht="12.75">
      <c r="B326" s="1"/>
    </row>
    <row r="327" spans="2:2" ht="12.75">
      <c r="B327" s="1"/>
    </row>
    <row r="328" spans="2:2" ht="12.75">
      <c r="B328" s="1"/>
    </row>
    <row r="329" spans="2:2" ht="12.75">
      <c r="B329" s="1"/>
    </row>
    <row r="330" spans="2:2" ht="12.75">
      <c r="B330" s="1"/>
    </row>
    <row r="331" spans="2:2" ht="12.75">
      <c r="B331" s="1"/>
    </row>
    <row r="332" spans="2:2" ht="12.75">
      <c r="B332" s="1"/>
    </row>
    <row r="333" spans="2:2" ht="12.75">
      <c r="B333" s="1"/>
    </row>
    <row r="334" spans="2:2" ht="12.75">
      <c r="B334" s="1"/>
    </row>
    <row r="335" spans="2:2" ht="12.75">
      <c r="B335" s="1"/>
    </row>
    <row r="336" spans="2:2" ht="12.75">
      <c r="B336" s="1"/>
    </row>
    <row r="337" spans="2:2" ht="12.75">
      <c r="B337" s="1"/>
    </row>
    <row r="338" spans="2:2" ht="12.75">
      <c r="B338" s="1"/>
    </row>
    <row r="339" spans="2:2" ht="12.75">
      <c r="B339" s="1"/>
    </row>
    <row r="340" spans="2:2" ht="12.75">
      <c r="B340" s="1"/>
    </row>
    <row r="341" spans="2:2" ht="12.75">
      <c r="B341" s="1"/>
    </row>
    <row r="342" spans="2:2" ht="12.75">
      <c r="B342" s="1"/>
    </row>
    <row r="343" spans="2:2" ht="12.75">
      <c r="B343" s="1"/>
    </row>
    <row r="344" spans="2:2" ht="12.75">
      <c r="B344" s="1"/>
    </row>
    <row r="345" spans="2:2" ht="12.75">
      <c r="B345" s="1"/>
    </row>
    <row r="346" spans="2:2" ht="12.75">
      <c r="B346" s="1"/>
    </row>
    <row r="347" spans="2:2" ht="12.75">
      <c r="B347" s="1"/>
    </row>
    <row r="348" spans="2:2" ht="12.75">
      <c r="B348" s="1"/>
    </row>
    <row r="349" spans="2:2" ht="12.75">
      <c r="B349" s="1"/>
    </row>
    <row r="350" spans="2:2" ht="12.75">
      <c r="B350" s="1"/>
    </row>
    <row r="351" spans="2:2" ht="12.75">
      <c r="B351" s="1"/>
    </row>
    <row r="352" spans="2:2" ht="12.75">
      <c r="B352" s="1"/>
    </row>
    <row r="353" spans="2:2" ht="12.75">
      <c r="B353" s="1"/>
    </row>
    <row r="354" spans="2:2" ht="12.75">
      <c r="B354" s="1"/>
    </row>
    <row r="355" spans="2:2" ht="12.75">
      <c r="B355" s="1"/>
    </row>
    <row r="356" spans="2:2" ht="12.75">
      <c r="B356" s="1"/>
    </row>
    <row r="357" spans="2:2" ht="12.75">
      <c r="B357" s="1"/>
    </row>
    <row r="358" spans="2:2" ht="12.75">
      <c r="B358" s="1"/>
    </row>
    <row r="359" spans="2:2" ht="12.75">
      <c r="B359" s="1"/>
    </row>
    <row r="360" spans="2:2" ht="12.75">
      <c r="B360" s="1"/>
    </row>
    <row r="361" spans="2:2" ht="12.75">
      <c r="B361" s="1"/>
    </row>
    <row r="362" spans="2:2" ht="12.75">
      <c r="B362" s="1"/>
    </row>
    <row r="363" spans="2:2" ht="12.75">
      <c r="B363" s="1"/>
    </row>
    <row r="364" spans="2:2" ht="12.75">
      <c r="B364" s="1"/>
    </row>
    <row r="365" spans="2:2" ht="12.75">
      <c r="B365" s="1"/>
    </row>
    <row r="366" spans="2:2" ht="12.75">
      <c r="B366" s="1"/>
    </row>
    <row r="367" spans="2:2" ht="12.75">
      <c r="B367" s="1"/>
    </row>
    <row r="368" spans="2:2" ht="12.75">
      <c r="B368" s="1"/>
    </row>
    <row r="369" spans="2:2" ht="12.75">
      <c r="B369" s="1"/>
    </row>
    <row r="370" spans="2:2" ht="12.75">
      <c r="B370" s="1"/>
    </row>
    <row r="371" spans="2:2" ht="12.75">
      <c r="B371" s="1"/>
    </row>
    <row r="372" spans="2:2" ht="12.75">
      <c r="B372" s="1"/>
    </row>
    <row r="373" spans="2:2" ht="12.75">
      <c r="B373" s="1"/>
    </row>
    <row r="374" spans="2:2" ht="12.75">
      <c r="B374" s="1"/>
    </row>
    <row r="375" spans="2:2" ht="12.75">
      <c r="B375" s="1"/>
    </row>
    <row r="376" spans="2:2" ht="12.75">
      <c r="B376" s="1"/>
    </row>
    <row r="377" spans="2:2" ht="12.75">
      <c r="B377" s="1"/>
    </row>
    <row r="378" spans="2:2" ht="12.75">
      <c r="B378" s="1"/>
    </row>
    <row r="379" spans="2:2" ht="12.75">
      <c r="B379" s="1"/>
    </row>
    <row r="380" spans="2:2" ht="12.75">
      <c r="B380" s="1"/>
    </row>
    <row r="381" spans="2:2" ht="12.75">
      <c r="B381" s="1"/>
    </row>
    <row r="382" spans="2:2" ht="12.75">
      <c r="B382" s="1"/>
    </row>
    <row r="383" spans="2:2" ht="12.75">
      <c r="B383" s="1"/>
    </row>
    <row r="384" spans="2:2" ht="12.75">
      <c r="B384" s="1"/>
    </row>
    <row r="385" spans="2:2" ht="12.75">
      <c r="B385" s="1"/>
    </row>
    <row r="386" spans="2:2" ht="12.75">
      <c r="B386" s="1"/>
    </row>
    <row r="387" spans="2:2" ht="12.75">
      <c r="B387" s="1"/>
    </row>
    <row r="388" spans="2:2" ht="12.75">
      <c r="B388" s="1"/>
    </row>
    <row r="389" spans="2:2" ht="12.75">
      <c r="B389" s="1"/>
    </row>
    <row r="390" spans="2:2" ht="12.75">
      <c r="B390" s="1"/>
    </row>
    <row r="391" spans="2:2" ht="12.75">
      <c r="B391" s="1"/>
    </row>
    <row r="392" spans="2:2" ht="12.75">
      <c r="B392" s="1"/>
    </row>
    <row r="393" spans="2:2" ht="12.75">
      <c r="B393" s="1"/>
    </row>
    <row r="394" spans="2:2" ht="12.75">
      <c r="B394" s="1"/>
    </row>
    <row r="395" spans="2:2" ht="12.75">
      <c r="B395" s="1"/>
    </row>
    <row r="396" spans="2:2" ht="12.75">
      <c r="B396" s="1"/>
    </row>
    <row r="397" spans="2:2" ht="12.75">
      <c r="B397" s="1"/>
    </row>
    <row r="398" spans="2:2" ht="12.75">
      <c r="B398" s="1"/>
    </row>
    <row r="399" spans="2:2" ht="12.75">
      <c r="B399" s="1"/>
    </row>
    <row r="400" spans="2:2" ht="12.75">
      <c r="B400" s="1"/>
    </row>
    <row r="401" spans="2:2" ht="12.75">
      <c r="B401" s="1"/>
    </row>
    <row r="402" spans="2:2" ht="12.75">
      <c r="B402" s="1"/>
    </row>
    <row r="403" spans="2:2" ht="12.75">
      <c r="B403" s="1"/>
    </row>
    <row r="404" spans="2:2" ht="12.75">
      <c r="B404" s="1"/>
    </row>
    <row r="405" spans="2:2" ht="12.75">
      <c r="B405" s="1"/>
    </row>
    <row r="406" spans="2:2" ht="12.75">
      <c r="B406" s="1"/>
    </row>
    <row r="407" spans="2:2" ht="12.75">
      <c r="B407" s="1"/>
    </row>
    <row r="408" spans="2:2" ht="12.75">
      <c r="B408" s="1"/>
    </row>
    <row r="409" spans="2:2" ht="12.75">
      <c r="B409" s="1"/>
    </row>
    <row r="410" spans="2:2" ht="12.75">
      <c r="B410" s="1"/>
    </row>
    <row r="411" spans="2:2" ht="12.75">
      <c r="B411" s="1"/>
    </row>
    <row r="412" spans="2:2" ht="12.75">
      <c r="B412" s="1"/>
    </row>
    <row r="413" spans="2:2" ht="12.75">
      <c r="B413" s="1"/>
    </row>
    <row r="414" spans="2:2" ht="12.75">
      <c r="B414" s="1"/>
    </row>
    <row r="415" spans="2:2" ht="12.75">
      <c r="B415" s="1"/>
    </row>
    <row r="416" spans="2:2" ht="12.75">
      <c r="B416" s="1"/>
    </row>
    <row r="417" spans="2:2" ht="12.75">
      <c r="B417" s="1"/>
    </row>
    <row r="418" spans="2:2" ht="12.75">
      <c r="B418" s="1"/>
    </row>
    <row r="419" spans="2:2" ht="12.75">
      <c r="B419" s="1"/>
    </row>
    <row r="420" spans="2:2" ht="12.75">
      <c r="B420" s="1"/>
    </row>
    <row r="421" spans="2:2" ht="12.75">
      <c r="B421" s="1"/>
    </row>
    <row r="422" spans="2:2" ht="12.75">
      <c r="B422" s="1"/>
    </row>
    <row r="423" spans="2:2" ht="12.75">
      <c r="B423" s="1"/>
    </row>
    <row r="424" spans="2:2" ht="12.75">
      <c r="B424" s="1"/>
    </row>
    <row r="425" spans="2:2" ht="12.75">
      <c r="B425" s="1"/>
    </row>
    <row r="426" spans="2:2" ht="12.75">
      <c r="B426" s="1"/>
    </row>
    <row r="427" spans="2:2" ht="12.75">
      <c r="B427" s="1"/>
    </row>
    <row r="428" spans="2:2" ht="12.75">
      <c r="B428" s="1"/>
    </row>
    <row r="429" spans="2:2" ht="12.75">
      <c r="B429" s="1"/>
    </row>
    <row r="430" spans="2:2" ht="12.75">
      <c r="B430" s="1"/>
    </row>
    <row r="431" spans="2:2" ht="12.75">
      <c r="B431" s="1"/>
    </row>
    <row r="432" spans="2:2" ht="12.75">
      <c r="B432" s="1"/>
    </row>
    <row r="433" spans="2:2" ht="12.75">
      <c r="B433" s="1"/>
    </row>
    <row r="434" spans="2:2" ht="12.75">
      <c r="B434" s="1"/>
    </row>
    <row r="435" spans="2:2" ht="12.75">
      <c r="B435" s="1"/>
    </row>
    <row r="436" spans="2:2" ht="12.75">
      <c r="B436" s="1"/>
    </row>
    <row r="437" spans="2:2" ht="12.75">
      <c r="B437" s="1"/>
    </row>
    <row r="438" spans="2:2" ht="12.75">
      <c r="B438" s="1"/>
    </row>
    <row r="439" spans="2:2" ht="12.75">
      <c r="B439" s="1"/>
    </row>
    <row r="440" spans="2:2" ht="12.75">
      <c r="B440" s="1"/>
    </row>
    <row r="441" spans="2:2" ht="12.75">
      <c r="B441" s="1"/>
    </row>
    <row r="442" spans="2:2" ht="12.75">
      <c r="B442" s="1"/>
    </row>
    <row r="443" spans="2:2" ht="12.75">
      <c r="B443" s="1"/>
    </row>
    <row r="444" spans="2:2" ht="12.75">
      <c r="B444" s="1"/>
    </row>
    <row r="445" spans="2:2" ht="12.75">
      <c r="B445" s="1"/>
    </row>
    <row r="446" spans="2:2" ht="12.75">
      <c r="B446" s="1"/>
    </row>
    <row r="447" spans="2:2" ht="12.75">
      <c r="B447" s="1"/>
    </row>
    <row r="448" spans="2:2" ht="12.75">
      <c r="B448" s="1"/>
    </row>
    <row r="449" spans="2:2" ht="12.75">
      <c r="B449" s="1"/>
    </row>
    <row r="450" spans="2:2" ht="12.75">
      <c r="B450" s="1"/>
    </row>
    <row r="451" spans="2:2" ht="12.75">
      <c r="B451" s="1"/>
    </row>
    <row r="452" spans="2:2" ht="12.75">
      <c r="B452" s="1"/>
    </row>
    <row r="453" spans="2:2" ht="12.75">
      <c r="B453" s="1"/>
    </row>
    <row r="454" spans="2:2" ht="12.75">
      <c r="B454" s="1"/>
    </row>
    <row r="455" spans="2:2" ht="12.75">
      <c r="B455" s="1"/>
    </row>
    <row r="456" spans="2:2" ht="12.75">
      <c r="B456" s="1"/>
    </row>
    <row r="457" spans="2:2" ht="12.75">
      <c r="B457" s="1"/>
    </row>
    <row r="458" spans="2:2" ht="12.75">
      <c r="B458" s="1"/>
    </row>
    <row r="459" spans="2:2" ht="12.75">
      <c r="B459" s="1"/>
    </row>
    <row r="460" spans="2:2" ht="12.75">
      <c r="B460" s="1"/>
    </row>
    <row r="461" spans="2:2" ht="12.75">
      <c r="B461" s="1"/>
    </row>
    <row r="462" spans="2:2" ht="12.75">
      <c r="B462" s="1"/>
    </row>
    <row r="463" spans="2:2" ht="12.75">
      <c r="B463" s="1"/>
    </row>
    <row r="464" spans="2:2" ht="12.75">
      <c r="B464" s="1"/>
    </row>
    <row r="465" spans="2:2" ht="12.75">
      <c r="B465" s="1"/>
    </row>
    <row r="466" spans="2:2" ht="12.75">
      <c r="B466" s="1"/>
    </row>
    <row r="467" spans="2:2" ht="12.75">
      <c r="B467" s="1"/>
    </row>
    <row r="468" spans="2:2" ht="12.75">
      <c r="B468" s="1"/>
    </row>
    <row r="469" spans="2:2" ht="12.75">
      <c r="B469" s="1"/>
    </row>
    <row r="470" spans="2:2" ht="12.75">
      <c r="B470" s="1"/>
    </row>
    <row r="471" spans="2:2" ht="12.75">
      <c r="B471" s="1"/>
    </row>
    <row r="472" spans="2:2" ht="12.75">
      <c r="B472" s="1"/>
    </row>
    <row r="473" spans="2:2" ht="12.75">
      <c r="B473" s="1"/>
    </row>
    <row r="474" spans="2:2" ht="12.75">
      <c r="B474" s="1"/>
    </row>
    <row r="475" spans="2:2" ht="12.75">
      <c r="B475" s="1"/>
    </row>
    <row r="476" spans="2:2" ht="12.75">
      <c r="B476" s="1"/>
    </row>
    <row r="477" spans="2:2" ht="12.75">
      <c r="B477" s="1"/>
    </row>
    <row r="478" spans="2:2" ht="12.75">
      <c r="B478" s="1"/>
    </row>
    <row r="479" spans="2:2" ht="12.75">
      <c r="B479" s="1"/>
    </row>
    <row r="480" spans="2:2" ht="12.75">
      <c r="B480" s="1"/>
    </row>
    <row r="481" spans="2:2" ht="12.75">
      <c r="B481" s="1"/>
    </row>
    <row r="482" spans="2:2" ht="12.75">
      <c r="B482" s="1"/>
    </row>
    <row r="483" spans="2:2" ht="12.75">
      <c r="B483" s="1"/>
    </row>
    <row r="484" spans="2:2" ht="12.75">
      <c r="B484" s="1"/>
    </row>
    <row r="485" spans="2:2" ht="12.75">
      <c r="B485" s="1"/>
    </row>
    <row r="486" spans="2:2" ht="12.75">
      <c r="B486" s="1"/>
    </row>
    <row r="487" spans="2:2" ht="12.75">
      <c r="B487" s="1"/>
    </row>
    <row r="488" spans="2:2" ht="12.75">
      <c r="B488" s="1"/>
    </row>
    <row r="489" spans="2:2" ht="12.75">
      <c r="B489" s="1"/>
    </row>
    <row r="490" spans="2:2" ht="12.75">
      <c r="B490" s="1"/>
    </row>
    <row r="491" spans="2:2" ht="12.75">
      <c r="B491" s="1"/>
    </row>
    <row r="492" spans="2:2" ht="12.75">
      <c r="B492" s="1"/>
    </row>
    <row r="493" spans="2:2" ht="12.75">
      <c r="B493" s="1"/>
    </row>
    <row r="494" spans="2:2" ht="12.75">
      <c r="B494" s="1"/>
    </row>
    <row r="495" spans="2:2" ht="12.75">
      <c r="B495" s="1"/>
    </row>
    <row r="496" spans="2:2" ht="12.75">
      <c r="B496" s="1"/>
    </row>
    <row r="497" spans="2:2" ht="12.75">
      <c r="B497" s="1"/>
    </row>
    <row r="498" spans="2:2" ht="12.75">
      <c r="B498" s="1"/>
    </row>
    <row r="499" spans="2:2" ht="12.75">
      <c r="B499" s="1"/>
    </row>
    <row r="500" spans="2:2" ht="12.75">
      <c r="B500" s="1"/>
    </row>
    <row r="501" spans="2:2" ht="12.75">
      <c r="B501" s="1"/>
    </row>
    <row r="502" spans="2:2" ht="12.75">
      <c r="B502" s="1"/>
    </row>
    <row r="503" spans="2:2" ht="12.75">
      <c r="B503" s="1"/>
    </row>
    <row r="504" spans="2:2" ht="12.75">
      <c r="B504" s="1"/>
    </row>
    <row r="505" spans="2:2" ht="12.75">
      <c r="B505" s="1"/>
    </row>
    <row r="506" spans="2:2" ht="12.75">
      <c r="B506" s="1"/>
    </row>
    <row r="507" spans="2:2" ht="12.75">
      <c r="B507" s="1"/>
    </row>
    <row r="508" spans="2:2" ht="12.75">
      <c r="B508" s="1"/>
    </row>
    <row r="509" spans="2:2" ht="12.75">
      <c r="B509" s="1"/>
    </row>
    <row r="510" spans="2:2" ht="12.75">
      <c r="B510" s="1"/>
    </row>
    <row r="511" spans="2:2" ht="12.75">
      <c r="B511" s="1"/>
    </row>
    <row r="512" spans="2:2" ht="12.75">
      <c r="B512" s="1"/>
    </row>
    <row r="513" spans="2:2" ht="12.75">
      <c r="B513" s="1"/>
    </row>
    <row r="514" spans="2:2" ht="12.75">
      <c r="B514" s="1"/>
    </row>
    <row r="515" spans="2:2" ht="12.75">
      <c r="B515" s="1"/>
    </row>
    <row r="516" spans="2:2" ht="12.75">
      <c r="B516" s="1"/>
    </row>
    <row r="517" spans="2:2" ht="12.75">
      <c r="B517" s="1"/>
    </row>
    <row r="518" spans="2:2" ht="12.75">
      <c r="B518" s="1"/>
    </row>
    <row r="519" spans="2:2" ht="12.75">
      <c r="B519" s="1"/>
    </row>
    <row r="520" spans="2:2" ht="12.75">
      <c r="B520" s="1"/>
    </row>
    <row r="521" spans="2:2" ht="12.75">
      <c r="B521" s="1"/>
    </row>
    <row r="522" spans="2:2" ht="12.75">
      <c r="B522" s="1"/>
    </row>
    <row r="523" spans="2:2" ht="12.75">
      <c r="B523" s="1"/>
    </row>
    <row r="524" spans="2:2" ht="12.75">
      <c r="B524" s="1"/>
    </row>
    <row r="525" spans="2:2" ht="12.75">
      <c r="B525" s="1"/>
    </row>
    <row r="526" spans="2:2" ht="12.75">
      <c r="B526" s="1"/>
    </row>
    <row r="527" spans="2:2" ht="12.75">
      <c r="B527" s="1"/>
    </row>
    <row r="528" spans="2:2" ht="12.75">
      <c r="B528" s="1"/>
    </row>
    <row r="529" spans="2:2" ht="12.75">
      <c r="B529" s="1"/>
    </row>
    <row r="530" spans="2:2" ht="12.75">
      <c r="B530" s="1"/>
    </row>
    <row r="531" spans="2:2" ht="12.75">
      <c r="B531" s="1"/>
    </row>
    <row r="532" spans="2:2" ht="12.75">
      <c r="B532" s="1"/>
    </row>
    <row r="533" spans="2:2" ht="12.75">
      <c r="B533" s="1"/>
    </row>
    <row r="534" spans="2:2" ht="12.75">
      <c r="B534" s="1"/>
    </row>
    <row r="535" spans="2:2" ht="12.75">
      <c r="B535" s="1"/>
    </row>
    <row r="536" spans="2:2" ht="12.75">
      <c r="B536" s="1"/>
    </row>
    <row r="537" spans="2:2" ht="12.75">
      <c r="B537" s="1"/>
    </row>
    <row r="538" spans="2:2" ht="12.75">
      <c r="B538" s="1"/>
    </row>
    <row r="539" spans="2:2" ht="12.75">
      <c r="B539" s="1"/>
    </row>
    <row r="540" spans="2:2" ht="12.75">
      <c r="B540" s="1"/>
    </row>
    <row r="541" spans="2:2" ht="12.75">
      <c r="B541" s="1"/>
    </row>
    <row r="542" spans="2:2" ht="12.75">
      <c r="B542" s="1"/>
    </row>
    <row r="543" spans="2:2" ht="12.75">
      <c r="B543" s="1"/>
    </row>
    <row r="544" spans="2:2" ht="12.75">
      <c r="B544" s="1"/>
    </row>
    <row r="545" spans="2:2" ht="12.75">
      <c r="B545" s="1"/>
    </row>
    <row r="546" spans="2:2" ht="12.75">
      <c r="B546" s="1"/>
    </row>
    <row r="547" spans="2:2" ht="12.75">
      <c r="B547" s="1"/>
    </row>
    <row r="548" spans="2:2" ht="12.75">
      <c r="B548" s="1"/>
    </row>
    <row r="549" spans="2:2" ht="12.75">
      <c r="B549" s="1"/>
    </row>
    <row r="550" spans="2:2" ht="12.75">
      <c r="B550" s="1"/>
    </row>
    <row r="551" spans="2:2" ht="12.75">
      <c r="B551" s="1"/>
    </row>
    <row r="552" spans="2:2" ht="12.75">
      <c r="B552" s="1"/>
    </row>
    <row r="553" spans="2:2" ht="12.75">
      <c r="B553" s="1"/>
    </row>
    <row r="554" spans="2:2" ht="12.75">
      <c r="B554" s="1"/>
    </row>
    <row r="555" spans="2:2" ht="12.75">
      <c r="B555" s="1"/>
    </row>
    <row r="556" spans="2:2" ht="12.75">
      <c r="B556" s="1"/>
    </row>
    <row r="557" spans="2:2" ht="12.75">
      <c r="B557" s="1"/>
    </row>
    <row r="558" spans="2:2" ht="12.75">
      <c r="B558" s="1"/>
    </row>
    <row r="559" spans="2:2" ht="12.75">
      <c r="B559" s="1"/>
    </row>
    <row r="560" spans="2:2" ht="12.75">
      <c r="B560" s="1"/>
    </row>
    <row r="561" spans="2:2" ht="12.75">
      <c r="B561" s="1"/>
    </row>
    <row r="562" spans="2:2" ht="12.75">
      <c r="B562" s="1"/>
    </row>
    <row r="563" spans="2:2" ht="12.75">
      <c r="B563" s="1"/>
    </row>
    <row r="564" spans="2:2" ht="12.75">
      <c r="B564" s="1"/>
    </row>
    <row r="565" spans="2:2" ht="12.75">
      <c r="B565" s="1"/>
    </row>
    <row r="566" spans="2:2" ht="12.75">
      <c r="B566" s="1"/>
    </row>
    <row r="567" spans="2:2" ht="12.75">
      <c r="B567" s="1"/>
    </row>
    <row r="568" spans="2:2" ht="12.75">
      <c r="B568" s="1"/>
    </row>
    <row r="569" spans="2:2" ht="12.75">
      <c r="B569" s="1"/>
    </row>
    <row r="570" spans="2:2" ht="12.75">
      <c r="B570" s="1"/>
    </row>
    <row r="571" spans="2:2" ht="12.75">
      <c r="B571" s="1"/>
    </row>
    <row r="572" spans="2:2" ht="12.75">
      <c r="B572" s="1"/>
    </row>
    <row r="573" spans="2:2" ht="12.75">
      <c r="B573" s="1"/>
    </row>
    <row r="574" spans="2:2" ht="12.75">
      <c r="B574" s="1"/>
    </row>
    <row r="575" spans="2:2" ht="12.75">
      <c r="B575" s="1"/>
    </row>
    <row r="576" spans="2:2" ht="12.75">
      <c r="B576" s="1"/>
    </row>
    <row r="577" spans="2:2" ht="12.75">
      <c r="B577" s="1"/>
    </row>
    <row r="578" spans="2:2" ht="12.75">
      <c r="B578" s="1"/>
    </row>
    <row r="579" spans="2:2" ht="12.75">
      <c r="B579" s="1"/>
    </row>
    <row r="580" spans="2:2" ht="12.75">
      <c r="B580" s="1"/>
    </row>
    <row r="581" spans="2:2" ht="12.75">
      <c r="B581" s="1"/>
    </row>
    <row r="582" spans="2:2" ht="12.75">
      <c r="B582" s="1"/>
    </row>
    <row r="583" spans="2:2" ht="12.75">
      <c r="B583" s="1"/>
    </row>
    <row r="584" spans="2:2" ht="12.75">
      <c r="B584" s="1"/>
    </row>
    <row r="585" spans="2:2" ht="12.75">
      <c r="B585" s="1"/>
    </row>
    <row r="586" spans="2:2" ht="12.75">
      <c r="B586" s="1"/>
    </row>
    <row r="587" spans="2:2" ht="12.75">
      <c r="B587" s="1"/>
    </row>
    <row r="588" spans="2:2" ht="12.75">
      <c r="B588" s="1"/>
    </row>
    <row r="589" spans="2:2" ht="12.75">
      <c r="B589" s="1"/>
    </row>
    <row r="590" spans="2:2" ht="12.75">
      <c r="B590" s="1"/>
    </row>
    <row r="591" spans="2:2" ht="12.75">
      <c r="B591" s="1"/>
    </row>
    <row r="592" spans="2:2" ht="12.75">
      <c r="B592" s="1"/>
    </row>
    <row r="593" spans="2:2" ht="12.75">
      <c r="B593" s="1"/>
    </row>
    <row r="594" spans="2:2" ht="12.75">
      <c r="B594" s="1"/>
    </row>
    <row r="595" spans="2:2" ht="12.75">
      <c r="B595" s="1"/>
    </row>
    <row r="596" spans="2:2" ht="12.75">
      <c r="B596" s="1"/>
    </row>
    <row r="597" spans="2:2" ht="12.75">
      <c r="B597" s="1"/>
    </row>
    <row r="598" spans="2:2" ht="12.75">
      <c r="B598" s="1"/>
    </row>
    <row r="599" spans="2:2" ht="12.75">
      <c r="B599" s="1"/>
    </row>
    <row r="600" spans="2:2" ht="12.75">
      <c r="B600" s="1"/>
    </row>
    <row r="601" spans="2:2" ht="12.75">
      <c r="B601" s="1"/>
    </row>
    <row r="602" spans="2:2" ht="12.75">
      <c r="B602" s="1"/>
    </row>
    <row r="603" spans="2:2" ht="12.75">
      <c r="B603" s="1"/>
    </row>
    <row r="604" spans="2:2" ht="12.75">
      <c r="B604" s="1"/>
    </row>
    <row r="605" spans="2:2" ht="12.75">
      <c r="B605" s="1"/>
    </row>
    <row r="606" spans="2:2" ht="12.75">
      <c r="B606" s="1"/>
    </row>
    <row r="607" spans="2:2" ht="12.75">
      <c r="B607" s="1"/>
    </row>
    <row r="608" spans="2:2" ht="12.75">
      <c r="B608" s="1"/>
    </row>
    <row r="609" spans="2:2" ht="12.75">
      <c r="B609" s="1"/>
    </row>
    <row r="610" spans="2:2" ht="12.75">
      <c r="B610" s="1"/>
    </row>
    <row r="611" spans="2:2" ht="12.75">
      <c r="B611" s="1"/>
    </row>
    <row r="612" spans="2:2" ht="12.75">
      <c r="B612" s="1"/>
    </row>
    <row r="613" spans="2:2" ht="12.75">
      <c r="B613" s="1"/>
    </row>
    <row r="614" spans="2:2" ht="12.75">
      <c r="B614" s="1"/>
    </row>
    <row r="615" spans="2:2" ht="12.75">
      <c r="B615" s="1"/>
    </row>
    <row r="616" spans="2:2" ht="12.75">
      <c r="B616" s="1"/>
    </row>
    <row r="617" spans="2:2" ht="12.75">
      <c r="B617" s="1"/>
    </row>
    <row r="618" spans="2:2" ht="12.75">
      <c r="B618" s="1"/>
    </row>
    <row r="619" spans="2:2" ht="12.75">
      <c r="B619" s="1"/>
    </row>
    <row r="620" spans="2:2" ht="12.75">
      <c r="B620" s="1"/>
    </row>
    <row r="621" spans="2:2" ht="12.75">
      <c r="B621" s="1"/>
    </row>
    <row r="622" spans="2:2" ht="12.75">
      <c r="B622" s="1"/>
    </row>
    <row r="623" spans="2:2" ht="12.75">
      <c r="B623" s="1"/>
    </row>
    <row r="624" spans="2:2" ht="12.75">
      <c r="B624" s="1"/>
    </row>
    <row r="625" spans="2:2" ht="12.75">
      <c r="B625" s="1"/>
    </row>
    <row r="626" spans="2:2" ht="12.75">
      <c r="B626" s="1"/>
    </row>
    <row r="627" spans="2:2" ht="12.75">
      <c r="B627" s="1"/>
    </row>
    <row r="628" spans="2:2" ht="12.75">
      <c r="B628" s="1"/>
    </row>
    <row r="629" spans="2:2" ht="12.75">
      <c r="B629" s="1"/>
    </row>
    <row r="630" spans="2:2" ht="12.75">
      <c r="B630" s="1"/>
    </row>
    <row r="631" spans="2:2" ht="12.75">
      <c r="B631" s="1"/>
    </row>
    <row r="632" spans="2:2" ht="12.75">
      <c r="B632" s="1"/>
    </row>
    <row r="633" spans="2:2" ht="12.75">
      <c r="B633" s="1"/>
    </row>
    <row r="634" spans="2:2" ht="12.75">
      <c r="B634" s="1"/>
    </row>
    <row r="635" spans="2:2" ht="12.75">
      <c r="B635" s="1"/>
    </row>
    <row r="636" spans="2:2" ht="12.75">
      <c r="B636" s="1"/>
    </row>
    <row r="637" spans="2:2" ht="12.75">
      <c r="B637" s="1"/>
    </row>
    <row r="638" spans="2:2" ht="12.75">
      <c r="B638" s="1"/>
    </row>
    <row r="639" spans="2:2" ht="12.75">
      <c r="B639" s="1"/>
    </row>
    <row r="640" spans="2:2" ht="12.75">
      <c r="B640" s="1"/>
    </row>
    <row r="641" spans="2:2" ht="12.75">
      <c r="B641" s="1"/>
    </row>
    <row r="642" spans="2:2" ht="12.75">
      <c r="B642" s="1"/>
    </row>
    <row r="643" spans="2:2" ht="12.75">
      <c r="B643" s="1"/>
    </row>
    <row r="644" spans="2:2" ht="12.75">
      <c r="B644" s="1"/>
    </row>
    <row r="645" spans="2:2" ht="12.75">
      <c r="B645" s="1"/>
    </row>
    <row r="646" spans="2:2" ht="12.75">
      <c r="B646" s="1"/>
    </row>
    <row r="647" spans="2:2" ht="12.75">
      <c r="B647" s="1"/>
    </row>
    <row r="648" spans="2:2" ht="12.75">
      <c r="B648" s="1"/>
    </row>
    <row r="649" spans="2:2" ht="12.75">
      <c r="B649" s="1"/>
    </row>
    <row r="650" spans="2:2" ht="12.75">
      <c r="B650" s="1"/>
    </row>
    <row r="651" spans="2:2" ht="12.75">
      <c r="B651" s="1"/>
    </row>
    <row r="652" spans="2:2" ht="12.75">
      <c r="B652" s="1"/>
    </row>
    <row r="653" spans="2:2" ht="12.75">
      <c r="B653" s="1"/>
    </row>
    <row r="654" spans="2:2" ht="12.75">
      <c r="B654" s="1"/>
    </row>
    <row r="655" spans="2:2" ht="12.75">
      <c r="B655" s="1"/>
    </row>
    <row r="656" spans="2:2" ht="12.75">
      <c r="B656" s="1"/>
    </row>
    <row r="657" spans="2:2" ht="12.75">
      <c r="B657" s="1"/>
    </row>
    <row r="658" spans="2:2" ht="12.75">
      <c r="B658" s="1"/>
    </row>
    <row r="659" spans="2:2" ht="12.75">
      <c r="B659" s="1"/>
    </row>
    <row r="660" spans="2:2" ht="12.75">
      <c r="B660" s="1"/>
    </row>
    <row r="661" spans="2:2" ht="12.75">
      <c r="B661" s="1"/>
    </row>
    <row r="662" spans="2:2" ht="12.75">
      <c r="B662" s="1"/>
    </row>
    <row r="663" spans="2:2" ht="12.75">
      <c r="B663" s="1"/>
    </row>
    <row r="664" spans="2:2" ht="12.75">
      <c r="B664" s="1"/>
    </row>
    <row r="665" spans="2:2" ht="12.75">
      <c r="B665" s="1"/>
    </row>
    <row r="666" spans="2:2" ht="12.75">
      <c r="B666" s="1"/>
    </row>
    <row r="667" spans="2:2" ht="12.75">
      <c r="B667" s="1"/>
    </row>
    <row r="668" spans="2:2" ht="12.75">
      <c r="B668" s="1"/>
    </row>
    <row r="669" spans="2:2" ht="12.75">
      <c r="B669" s="1"/>
    </row>
    <row r="670" spans="2:2" ht="12.75">
      <c r="B670" s="1"/>
    </row>
    <row r="671" spans="2:2" ht="12.75">
      <c r="B671" s="1"/>
    </row>
    <row r="672" spans="2:2" ht="12.75">
      <c r="B672" s="1"/>
    </row>
    <row r="673" spans="2:2" ht="12.75">
      <c r="B673" s="1"/>
    </row>
    <row r="674" spans="2:2" ht="12.75">
      <c r="B674" s="1"/>
    </row>
    <row r="675" spans="2:2" ht="12.75">
      <c r="B675" s="1"/>
    </row>
    <row r="676" spans="2:2" ht="12.75">
      <c r="B676" s="1"/>
    </row>
    <row r="677" spans="2:2" ht="12.75">
      <c r="B677" s="1"/>
    </row>
    <row r="678" spans="2:2" ht="12.75">
      <c r="B678" s="1"/>
    </row>
    <row r="679" spans="2:2" ht="12.75">
      <c r="B679" s="1"/>
    </row>
    <row r="680" spans="2:2" ht="12.75">
      <c r="B680" s="1"/>
    </row>
    <row r="681" spans="2:2" ht="12.75">
      <c r="B681" s="1"/>
    </row>
    <row r="682" spans="2:2" ht="12.75">
      <c r="B682" s="1"/>
    </row>
    <row r="683" spans="2:2" ht="12.75">
      <c r="B683" s="1"/>
    </row>
    <row r="684" spans="2:2" ht="12.75">
      <c r="B684" s="1"/>
    </row>
    <row r="685" spans="2:2" ht="12.75">
      <c r="B685" s="1"/>
    </row>
    <row r="686" spans="2:2" ht="12.75">
      <c r="B686" s="1"/>
    </row>
    <row r="687" spans="2:2" ht="12.75">
      <c r="B687" s="1"/>
    </row>
    <row r="688" spans="2:2" ht="12.75">
      <c r="B688" s="1"/>
    </row>
    <row r="689" spans="2:2" ht="12.75">
      <c r="B689" s="1"/>
    </row>
    <row r="690" spans="2:2" ht="12.75">
      <c r="B690" s="1"/>
    </row>
    <row r="691" spans="2:2" ht="12.75">
      <c r="B691" s="1"/>
    </row>
    <row r="692" spans="2:2" ht="12.75">
      <c r="B692" s="1"/>
    </row>
    <row r="693" spans="2:2" ht="12.75">
      <c r="B693" s="1"/>
    </row>
    <row r="694" spans="2:2" ht="12.75">
      <c r="B694" s="1"/>
    </row>
    <row r="695" spans="2:2" ht="12.75">
      <c r="B695" s="1"/>
    </row>
    <row r="696" spans="2:2" ht="12.75">
      <c r="B696" s="1"/>
    </row>
    <row r="697" spans="2:2" ht="12.75">
      <c r="B697" s="1"/>
    </row>
    <row r="698" spans="2:2" ht="12.75">
      <c r="B698" s="1"/>
    </row>
    <row r="699" spans="2:2" ht="12.75">
      <c r="B699" s="1"/>
    </row>
    <row r="700" spans="2:2" ht="12.75">
      <c r="B700" s="1"/>
    </row>
    <row r="701" spans="2:2" ht="12.75">
      <c r="B701" s="1"/>
    </row>
    <row r="702" spans="2:2" ht="12.75">
      <c r="B702" s="1"/>
    </row>
    <row r="703" spans="2:2" ht="12.75">
      <c r="B703" s="1"/>
    </row>
    <row r="704" spans="2:2" ht="12.75">
      <c r="B704" s="1"/>
    </row>
    <row r="705" spans="2:2" ht="12.75">
      <c r="B705" s="1"/>
    </row>
    <row r="706" spans="2:2" ht="12.75">
      <c r="B706" s="1"/>
    </row>
    <row r="707" spans="2:2" ht="12.75">
      <c r="B707" s="1"/>
    </row>
    <row r="708" spans="2:2" ht="12.75">
      <c r="B708" s="1"/>
    </row>
    <row r="709" spans="2:2" ht="12.75">
      <c r="B709" s="1"/>
    </row>
    <row r="710" spans="2:2" ht="12.75">
      <c r="B710" s="1"/>
    </row>
    <row r="711" spans="2:2" ht="12.75">
      <c r="B711" s="1"/>
    </row>
    <row r="712" spans="2:2" ht="12.75">
      <c r="B712" s="1"/>
    </row>
    <row r="713" spans="2:2" ht="12.75">
      <c r="B713" s="1"/>
    </row>
    <row r="714" spans="2:2" ht="12.75">
      <c r="B714" s="1"/>
    </row>
    <row r="715" spans="2:2" ht="12.75">
      <c r="B715" s="1"/>
    </row>
    <row r="716" spans="2:2" ht="12.75">
      <c r="B716" s="1"/>
    </row>
    <row r="717" spans="2:2" ht="12.75">
      <c r="B717" s="1"/>
    </row>
    <row r="718" spans="2:2" ht="12.75">
      <c r="B718" s="1"/>
    </row>
    <row r="719" spans="2:2" ht="12.75">
      <c r="B719" s="1"/>
    </row>
    <row r="720" spans="2:2" ht="12.75">
      <c r="B720" s="1"/>
    </row>
    <row r="721" spans="2:2" ht="12.75">
      <c r="B721" s="1"/>
    </row>
    <row r="722" spans="2:2" ht="12.75">
      <c r="B722" s="1"/>
    </row>
    <row r="723" spans="2:2" ht="12.75">
      <c r="B723" s="1"/>
    </row>
    <row r="724" spans="2:2" ht="12.75">
      <c r="B724" s="1"/>
    </row>
    <row r="725" spans="2:2" ht="12.75">
      <c r="B725" s="1"/>
    </row>
    <row r="726" spans="2:2" ht="12.75">
      <c r="B726" s="1"/>
    </row>
    <row r="727" spans="2:2" ht="12.75">
      <c r="B727" s="1"/>
    </row>
    <row r="728" spans="2:2" ht="12.75">
      <c r="B728" s="1"/>
    </row>
    <row r="729" spans="2:2" ht="12.75">
      <c r="B729" s="1"/>
    </row>
    <row r="730" spans="2:2" ht="12.75">
      <c r="B730" s="1"/>
    </row>
    <row r="731" spans="2:2" ht="12.75">
      <c r="B731" s="1"/>
    </row>
    <row r="732" spans="2:2" ht="12.75">
      <c r="B732" s="1"/>
    </row>
    <row r="733" spans="2:2" ht="12.75">
      <c r="B733" s="1"/>
    </row>
    <row r="734" spans="2:2" ht="12.75">
      <c r="B734" s="1"/>
    </row>
    <row r="735" spans="2:2" ht="12.75">
      <c r="B735" s="1"/>
    </row>
    <row r="736" spans="2:2" ht="12.75">
      <c r="B736" s="1"/>
    </row>
    <row r="737" spans="2:2" ht="12.75">
      <c r="B737" s="1"/>
    </row>
    <row r="738" spans="2:2" ht="12.75">
      <c r="B738" s="1"/>
    </row>
    <row r="739" spans="2:2" ht="12.75">
      <c r="B739" s="1"/>
    </row>
    <row r="740" spans="2:2" ht="12.75">
      <c r="B740" s="1"/>
    </row>
    <row r="741" spans="2:2" ht="12.75">
      <c r="B741" s="1"/>
    </row>
    <row r="742" spans="2:2" ht="12.75">
      <c r="B742" s="1"/>
    </row>
    <row r="743" spans="2:2" ht="12.75">
      <c r="B743" s="1"/>
    </row>
    <row r="744" spans="2:2" ht="12.75">
      <c r="B744" s="1"/>
    </row>
    <row r="745" spans="2:2" ht="12.75">
      <c r="B745" s="1"/>
    </row>
    <row r="746" spans="2:2" ht="12.75">
      <c r="B746" s="1"/>
    </row>
    <row r="747" spans="2:2" ht="12.75">
      <c r="B747" s="1"/>
    </row>
    <row r="748" spans="2:2" ht="12.75">
      <c r="B748" s="1"/>
    </row>
    <row r="749" spans="2:2" ht="12.75">
      <c r="B749" s="1"/>
    </row>
    <row r="750" spans="2:2" ht="12.75">
      <c r="B750" s="1"/>
    </row>
    <row r="751" spans="2:2" ht="12.75">
      <c r="B751" s="1"/>
    </row>
    <row r="752" spans="2:2" ht="12.75">
      <c r="B752" s="1"/>
    </row>
    <row r="753" spans="2:2" ht="12.75">
      <c r="B753" s="1"/>
    </row>
    <row r="754" spans="2:2" ht="12.75">
      <c r="B754" s="1"/>
    </row>
    <row r="755" spans="2:2" ht="12.75">
      <c r="B755" s="1"/>
    </row>
    <row r="756" spans="2:2" ht="12.75">
      <c r="B756" s="1"/>
    </row>
    <row r="757" spans="2:2" ht="12.75">
      <c r="B757" s="1"/>
    </row>
    <row r="758" spans="2:2" ht="12.75">
      <c r="B758" s="1"/>
    </row>
    <row r="759" spans="2:2" ht="12.75">
      <c r="B759" s="1"/>
    </row>
    <row r="760" spans="2:2" ht="12.75">
      <c r="B760" s="1"/>
    </row>
    <row r="761" spans="2:2" ht="12.75">
      <c r="B761" s="1"/>
    </row>
    <row r="762" spans="2:2" ht="12.75">
      <c r="B762" s="1"/>
    </row>
    <row r="763" spans="2:2" ht="12.75">
      <c r="B763" s="1"/>
    </row>
    <row r="764" spans="2:2" ht="12.75">
      <c r="B764" s="1"/>
    </row>
    <row r="765" spans="2:2" ht="12.75">
      <c r="B765" s="1"/>
    </row>
    <row r="766" spans="2:2" ht="12.75">
      <c r="B766" s="1"/>
    </row>
    <row r="767" spans="2:2" ht="12.75">
      <c r="B767" s="1"/>
    </row>
    <row r="768" spans="2:2" ht="12.75">
      <c r="B768" s="1"/>
    </row>
    <row r="769" spans="2:2" ht="12.75">
      <c r="B769" s="1"/>
    </row>
    <row r="770" spans="2:2" ht="12.75">
      <c r="B770" s="1"/>
    </row>
    <row r="771" spans="2:2" ht="12.75">
      <c r="B771" s="1"/>
    </row>
    <row r="772" spans="2:2" ht="12.75">
      <c r="B772" s="1"/>
    </row>
    <row r="773" spans="2:2" ht="12.75">
      <c r="B773" s="1"/>
    </row>
    <row r="774" spans="2:2" ht="12.75">
      <c r="B774" s="1"/>
    </row>
    <row r="775" spans="2:2" ht="12.75">
      <c r="B775" s="1"/>
    </row>
    <row r="776" spans="2:2" ht="12.75">
      <c r="B776" s="1"/>
    </row>
    <row r="777" spans="2:2" ht="12.75">
      <c r="B777" s="1"/>
    </row>
    <row r="778" spans="2:2" ht="12.75">
      <c r="B778" s="1"/>
    </row>
    <row r="779" spans="2:2" ht="12.75">
      <c r="B779" s="1"/>
    </row>
    <row r="780" spans="2:2" ht="12.75">
      <c r="B780" s="1"/>
    </row>
    <row r="781" spans="2:2" ht="12.75">
      <c r="B781" s="1"/>
    </row>
    <row r="782" spans="2:2" ht="12.75">
      <c r="B782" s="1"/>
    </row>
    <row r="783" spans="2:2" ht="12.75">
      <c r="B783" s="1"/>
    </row>
    <row r="784" spans="2:2" ht="12.75">
      <c r="B784" s="1"/>
    </row>
    <row r="785" spans="2:2" ht="12.75">
      <c r="B785" s="1"/>
    </row>
    <row r="786" spans="2:2" ht="12.75">
      <c r="B786" s="1"/>
    </row>
    <row r="787" spans="2:2" ht="12.75">
      <c r="B787" s="1"/>
    </row>
    <row r="788" spans="2:2" ht="12.75">
      <c r="B788" s="1"/>
    </row>
    <row r="789" spans="2:2" ht="12.75">
      <c r="B789" s="1"/>
    </row>
    <row r="790" spans="2:2" ht="12.75">
      <c r="B790" s="1"/>
    </row>
    <row r="791" spans="2:2" ht="12.75">
      <c r="B791" s="1"/>
    </row>
    <row r="792" spans="2:2" ht="12.75">
      <c r="B792" s="1"/>
    </row>
    <row r="793" spans="2:2" ht="12.75">
      <c r="B793" s="1"/>
    </row>
    <row r="794" spans="2:2" ht="12.75">
      <c r="B794" s="1"/>
    </row>
    <row r="795" spans="2:2" ht="12.75">
      <c r="B795" s="1"/>
    </row>
    <row r="796" spans="2:2" ht="12.75">
      <c r="B796" s="1"/>
    </row>
    <row r="797" spans="2:2" ht="12.75">
      <c r="B797" s="1"/>
    </row>
    <row r="798" spans="2:2" ht="12.75">
      <c r="B798" s="1"/>
    </row>
    <row r="799" spans="2:2" ht="12.75">
      <c r="B799" s="1"/>
    </row>
    <row r="800" spans="2:2" ht="12.75">
      <c r="B800" s="1"/>
    </row>
    <row r="801" spans="2:2" ht="12.75">
      <c r="B801" s="1"/>
    </row>
    <row r="802" spans="2:2" ht="12.75">
      <c r="B802" s="1"/>
    </row>
    <row r="803" spans="2:2" ht="12.75">
      <c r="B803" s="1"/>
    </row>
    <row r="804" spans="2:2" ht="12.75">
      <c r="B804" s="1"/>
    </row>
    <row r="805" spans="2:2" ht="12.75">
      <c r="B805" s="1"/>
    </row>
    <row r="806" spans="2:2" ht="12.75">
      <c r="B806" s="1"/>
    </row>
    <row r="807" spans="2:2" ht="12.75">
      <c r="B807" s="1"/>
    </row>
    <row r="808" spans="2:2" ht="12.75">
      <c r="B808" s="1"/>
    </row>
    <row r="809" spans="2:2" ht="12.75">
      <c r="B809" s="1"/>
    </row>
    <row r="810" spans="2:2" ht="12.75">
      <c r="B810" s="1"/>
    </row>
    <row r="811" spans="2:2" ht="12.75">
      <c r="B811" s="1"/>
    </row>
    <row r="812" spans="2:2" ht="12.75">
      <c r="B812" s="1"/>
    </row>
    <row r="813" spans="2:2" ht="12.75">
      <c r="B813" s="1"/>
    </row>
    <row r="814" spans="2:2" ht="12.75">
      <c r="B814" s="1"/>
    </row>
    <row r="815" spans="2:2" ht="12.75">
      <c r="B815" s="1"/>
    </row>
    <row r="816" spans="2:2" ht="12.75">
      <c r="B816" s="1"/>
    </row>
    <row r="817" spans="2:2" ht="12.75">
      <c r="B817" s="1"/>
    </row>
    <row r="818" spans="2:2" ht="12.75">
      <c r="B818" s="1"/>
    </row>
    <row r="819" spans="2:2" ht="12.75">
      <c r="B819" s="1"/>
    </row>
    <row r="820" spans="2:2" ht="12.75">
      <c r="B820" s="1"/>
    </row>
    <row r="821" spans="2:2" ht="12.75">
      <c r="B821" s="1"/>
    </row>
    <row r="822" spans="2:2" ht="12.75">
      <c r="B822" s="1"/>
    </row>
    <row r="823" spans="2:2" ht="12.75">
      <c r="B823" s="1"/>
    </row>
    <row r="824" spans="2:2" ht="12.75">
      <c r="B824" s="1"/>
    </row>
    <row r="825" spans="2:2" ht="12.75">
      <c r="B825" s="1"/>
    </row>
    <row r="826" spans="2:2" ht="12.75">
      <c r="B826" s="1"/>
    </row>
    <row r="827" spans="2:2" ht="12.75">
      <c r="B827" s="1"/>
    </row>
    <row r="828" spans="2:2" ht="12.75">
      <c r="B828" s="1"/>
    </row>
    <row r="829" spans="2:2" ht="12.75">
      <c r="B829" s="1"/>
    </row>
    <row r="830" spans="2:2" ht="12.75">
      <c r="B830" s="1"/>
    </row>
    <row r="831" spans="2:2" ht="12.75">
      <c r="B831" s="1"/>
    </row>
    <row r="832" spans="2:2" ht="12.75">
      <c r="B832" s="1"/>
    </row>
    <row r="833" spans="2:2" ht="12.75">
      <c r="B833" s="1"/>
    </row>
    <row r="834" spans="2:2" ht="12.75">
      <c r="B834" s="1"/>
    </row>
    <row r="835" spans="2:2" ht="12.75">
      <c r="B835" s="1"/>
    </row>
    <row r="836" spans="2:2" ht="12.75">
      <c r="B836" s="1"/>
    </row>
    <row r="837" spans="2:2" ht="12.75">
      <c r="B837" s="1"/>
    </row>
    <row r="838" spans="2:2" ht="12.75">
      <c r="B838" s="1"/>
    </row>
    <row r="839" spans="2:2" ht="12.75">
      <c r="B839" s="1"/>
    </row>
    <row r="840" spans="2:2" ht="12.75">
      <c r="B840" s="1"/>
    </row>
    <row r="841" spans="2:2" ht="12.75">
      <c r="B841" s="1"/>
    </row>
    <row r="842" spans="2:2" ht="12.75">
      <c r="B842" s="1"/>
    </row>
    <row r="843" spans="2:2" ht="12.75">
      <c r="B843" s="1"/>
    </row>
    <row r="844" spans="2:2" ht="12.75">
      <c r="B844" s="1"/>
    </row>
    <row r="845" spans="2:2" ht="12.75">
      <c r="B845" s="1"/>
    </row>
    <row r="846" spans="2:2" ht="12.75">
      <c r="B846" s="1"/>
    </row>
    <row r="847" spans="2:2" ht="12.75">
      <c r="B847" s="1"/>
    </row>
    <row r="848" spans="2:2" ht="12.75">
      <c r="B848" s="1"/>
    </row>
    <row r="849" spans="2:2" ht="12.75">
      <c r="B849" s="1"/>
    </row>
    <row r="850" spans="2:2" ht="12.75">
      <c r="B850" s="1"/>
    </row>
    <row r="851" spans="2:2" ht="12.75">
      <c r="B851" s="1"/>
    </row>
    <row r="852" spans="2:2" ht="12.75">
      <c r="B852" s="1"/>
    </row>
    <row r="853" spans="2:2" ht="12.75">
      <c r="B853" s="1"/>
    </row>
    <row r="854" spans="2:2" ht="12.75">
      <c r="B854" s="1"/>
    </row>
    <row r="855" spans="2:2" ht="12.75">
      <c r="B855" s="1"/>
    </row>
    <row r="856" spans="2:2" ht="12.75">
      <c r="B856" s="1"/>
    </row>
    <row r="857" spans="2:2" ht="12.75">
      <c r="B857" s="1"/>
    </row>
    <row r="858" spans="2:2" ht="12.75">
      <c r="B858" s="1"/>
    </row>
    <row r="859" spans="2:2" ht="12.75">
      <c r="B859" s="1"/>
    </row>
    <row r="860" spans="2:2" ht="12.75">
      <c r="B860" s="1"/>
    </row>
    <row r="861" spans="2:2" ht="12.75">
      <c r="B861" s="1"/>
    </row>
    <row r="862" spans="2:2" ht="12.75">
      <c r="B862" s="1"/>
    </row>
    <row r="863" spans="2:2" ht="12.75">
      <c r="B863" s="1"/>
    </row>
    <row r="864" spans="2:2" ht="12.75">
      <c r="B864" s="1"/>
    </row>
    <row r="865" spans="2:2" ht="12.75">
      <c r="B865" s="1"/>
    </row>
    <row r="866" spans="2:2" ht="12.75">
      <c r="B866" s="1"/>
    </row>
    <row r="867" spans="2:2" ht="12.75">
      <c r="B867" s="1"/>
    </row>
    <row r="868" spans="2:2" ht="12.75">
      <c r="B868" s="1"/>
    </row>
    <row r="869" spans="2:2" ht="12.75">
      <c r="B869" s="1"/>
    </row>
    <row r="870" spans="2:2" ht="12.75">
      <c r="B870" s="1"/>
    </row>
    <row r="871" spans="2:2" ht="12.75">
      <c r="B871" s="1"/>
    </row>
    <row r="872" spans="2:2" ht="12.75">
      <c r="B872" s="1"/>
    </row>
    <row r="873" spans="2:2" ht="12.75">
      <c r="B873" s="1"/>
    </row>
    <row r="874" spans="2:2" ht="12.75">
      <c r="B874" s="1"/>
    </row>
    <row r="875" spans="2:2" ht="12.75">
      <c r="B875" s="1"/>
    </row>
    <row r="876" spans="2:2" ht="12.75">
      <c r="B876" s="1"/>
    </row>
    <row r="877" spans="2:2" ht="12.75">
      <c r="B877" s="1"/>
    </row>
    <row r="878" spans="2:2" ht="12.75">
      <c r="B878" s="1"/>
    </row>
    <row r="879" spans="2:2" ht="12.75">
      <c r="B879" s="1"/>
    </row>
    <row r="880" spans="2:2" ht="12.75">
      <c r="B880" s="1"/>
    </row>
    <row r="881" spans="2:2" ht="12.75">
      <c r="B881" s="1"/>
    </row>
    <row r="882" spans="2:2" ht="12.75">
      <c r="B882" s="1"/>
    </row>
    <row r="883" spans="2:2" ht="12.75">
      <c r="B883" s="1"/>
    </row>
    <row r="884" spans="2:2" ht="12.75">
      <c r="B884" s="1"/>
    </row>
    <row r="885" spans="2:2" ht="12.75">
      <c r="B885" s="1"/>
    </row>
    <row r="886" spans="2:2" ht="12.75">
      <c r="B886" s="1"/>
    </row>
    <row r="887" spans="2:2" ht="12.75">
      <c r="B887" s="1"/>
    </row>
    <row r="888" spans="2:2" ht="12.75">
      <c r="B888" s="1"/>
    </row>
    <row r="889" spans="2:2" ht="12.75">
      <c r="B889" s="1"/>
    </row>
    <row r="890" spans="2:2" ht="12.75">
      <c r="B890" s="1"/>
    </row>
    <row r="891" spans="2:2" ht="12.75">
      <c r="B891" s="1"/>
    </row>
    <row r="892" spans="2:2" ht="12.75">
      <c r="B892" s="1"/>
    </row>
    <row r="893" spans="2:2" ht="12.75">
      <c r="B893" s="1"/>
    </row>
    <row r="894" spans="2:2" ht="12.75">
      <c r="B894" s="1"/>
    </row>
    <row r="895" spans="2:2" ht="12.75">
      <c r="B895" s="1"/>
    </row>
    <row r="896" spans="2:2" ht="12.75">
      <c r="B896" s="1"/>
    </row>
    <row r="897" spans="2:2" ht="12.75">
      <c r="B897" s="1"/>
    </row>
    <row r="898" spans="2:2" ht="12.75">
      <c r="B898" s="1"/>
    </row>
    <row r="899" spans="2:2" ht="12.75">
      <c r="B899" s="1"/>
    </row>
    <row r="900" spans="2:2" ht="12.75">
      <c r="B900" s="1"/>
    </row>
    <row r="901" spans="2:2" ht="12.75">
      <c r="B901" s="1"/>
    </row>
  </sheetData>
  <mergeCells count="37">
    <mergeCell ref="B101:C101"/>
    <mergeCell ref="D101:G101"/>
    <mergeCell ref="D110:I110"/>
    <mergeCell ref="D111:I111"/>
    <mergeCell ref="D98:I98"/>
    <mergeCell ref="D99:I99"/>
    <mergeCell ref="B77:C77"/>
    <mergeCell ref="D77:G77"/>
    <mergeCell ref="D86:I86"/>
    <mergeCell ref="D87:I87"/>
    <mergeCell ref="B89:C89"/>
    <mergeCell ref="D89:G89"/>
    <mergeCell ref="D27:I27"/>
    <mergeCell ref="B41:C41"/>
    <mergeCell ref="D41:G41"/>
    <mergeCell ref="D50:I50"/>
    <mergeCell ref="D51:I51"/>
    <mergeCell ref="B29:C29"/>
    <mergeCell ref="D29:G29"/>
    <mergeCell ref="D38:I38"/>
    <mergeCell ref="D39:I39"/>
    <mergeCell ref="B65:C65"/>
    <mergeCell ref="D65:G65"/>
    <mergeCell ref="D74:I74"/>
    <mergeCell ref="D75:I75"/>
    <mergeCell ref="L4:L5"/>
    <mergeCell ref="B5:C5"/>
    <mergeCell ref="D5:G5"/>
    <mergeCell ref="D14:I14"/>
    <mergeCell ref="D26:I26"/>
    <mergeCell ref="B17:C17"/>
    <mergeCell ref="D17:G17"/>
    <mergeCell ref="D15:I15"/>
    <mergeCell ref="B53:C53"/>
    <mergeCell ref="D53:G53"/>
    <mergeCell ref="D62:I62"/>
    <mergeCell ref="D63:I63"/>
  </mergeCells>
  <pageMargins left="0" right="0" top="0" bottom="0" header="0" footer="0"/>
  <pageSetup orientation="portrait"/>
  <headerFooter>
    <oddFooter>&amp;R_x000D_&amp;1#&amp;"Calibri"&amp;8&amp;K000000 Cisco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8"/>
  <sheetViews>
    <sheetView showGridLines="0" topLeftCell="H9" zoomScale="90" zoomScaleNormal="90" workbookViewId="0">
      <selection activeCell="K15" sqref="K15"/>
    </sheetView>
  </sheetViews>
  <sheetFormatPr defaultColWidth="12.5703125" defaultRowHeight="15.75" customHeight="1"/>
  <cols>
    <col min="1" max="1" width="2.5703125" customWidth="1"/>
    <col min="2" max="2" width="2.42578125" customWidth="1"/>
    <col min="3" max="3" width="92.85546875" customWidth="1"/>
    <col min="4" max="4" width="16.28515625" customWidth="1"/>
    <col min="5" max="5" width="7.42578125" customWidth="1"/>
    <col min="6" max="6" width="8" customWidth="1"/>
    <col min="7" max="7" width="9.7109375" customWidth="1"/>
    <col min="8" max="8" width="11.85546875" customWidth="1"/>
    <col min="9" max="9" width="12.85546875" customWidth="1"/>
    <col min="10" max="10" width="2.28515625" customWidth="1"/>
    <col min="11" max="11" width="1.85546875" customWidth="1"/>
    <col min="12" max="12" width="4" customWidth="1"/>
    <col min="13" max="13" width="20.5703125" customWidth="1"/>
  </cols>
  <sheetData>
    <row r="1" spans="1:26" ht="12.75">
      <c r="B1" s="1"/>
    </row>
    <row r="2" spans="1:26" s="39" customFormat="1" ht="12.75" customHeight="1">
      <c r="B2" s="40"/>
    </row>
    <row r="3" spans="1:26" ht="12.75">
      <c r="B3" s="1"/>
    </row>
    <row r="4" spans="1:26" ht="12.75">
      <c r="B4" s="1"/>
      <c r="M4" s="82" t="s">
        <v>45</v>
      </c>
    </row>
    <row r="5" spans="1:26" ht="12.75">
      <c r="B5" s="100" t="s">
        <v>1</v>
      </c>
      <c r="C5" s="101"/>
      <c r="D5" s="75"/>
      <c r="E5" s="105"/>
      <c r="F5" s="105"/>
      <c r="G5" s="106"/>
      <c r="M5" s="83"/>
    </row>
    <row r="6" spans="1:26" ht="12.6" customHeight="1">
      <c r="B6" s="100" t="s">
        <v>135</v>
      </c>
      <c r="C6" s="101"/>
      <c r="D6" s="89"/>
      <c r="E6" s="105"/>
      <c r="F6" s="105"/>
      <c r="G6" s="106"/>
      <c r="M6" s="93">
        <f>AVERAGE(D12,D34,D57)</f>
        <v>2.706666666666667</v>
      </c>
    </row>
    <row r="7" spans="1:26" ht="12.6" customHeight="1">
      <c r="B7" s="100" t="s">
        <v>136</v>
      </c>
      <c r="C7" s="101"/>
      <c r="D7" s="89"/>
      <c r="E7" s="105"/>
      <c r="F7" s="105"/>
      <c r="G7" s="106"/>
      <c r="M7" s="93"/>
    </row>
    <row r="8" spans="1:26" ht="12.6" customHeight="1">
      <c r="B8" s="100" t="s">
        <v>137</v>
      </c>
      <c r="C8" s="101"/>
      <c r="D8" s="89"/>
      <c r="E8" s="105"/>
      <c r="F8" s="105"/>
      <c r="G8" s="106"/>
      <c r="M8" s="93"/>
    </row>
    <row r="9" spans="1:26" ht="12.6" customHeight="1">
      <c r="B9" s="100" t="s">
        <v>138</v>
      </c>
      <c r="C9" s="101"/>
      <c r="D9" s="89"/>
      <c r="E9" s="105"/>
      <c r="F9" s="105"/>
      <c r="G9" s="106"/>
      <c r="M9" s="93"/>
    </row>
    <row r="10" spans="1:26" ht="12.6" customHeight="1">
      <c r="B10" s="100" t="s">
        <v>139</v>
      </c>
      <c r="C10" s="101"/>
      <c r="D10" s="89"/>
      <c r="E10" s="105"/>
      <c r="F10" s="105"/>
      <c r="G10" s="106"/>
      <c r="M10" s="93"/>
    </row>
    <row r="11" spans="1:26" ht="12.6" customHeight="1">
      <c r="B11" s="107" t="s">
        <v>140</v>
      </c>
      <c r="C11" s="108"/>
      <c r="D11" s="19"/>
      <c r="E11" s="20"/>
      <c r="F11" s="20"/>
      <c r="G11" s="21"/>
      <c r="M11" s="94"/>
    </row>
    <row r="12" spans="1:26" ht="12.75">
      <c r="B12" s="107" t="s">
        <v>54</v>
      </c>
      <c r="C12" s="108"/>
      <c r="D12" s="90">
        <f>ROUND(AVERAGE(K15:K23),2)</f>
        <v>2.56</v>
      </c>
      <c r="E12" s="91"/>
      <c r="F12" s="91"/>
      <c r="G12" s="92"/>
    </row>
    <row r="13" spans="1:26" ht="12.6">
      <c r="B13" s="25"/>
      <c r="C13" s="23"/>
      <c r="D13" s="24"/>
      <c r="E13" s="23"/>
      <c r="F13" s="23"/>
      <c r="G13" s="23"/>
    </row>
    <row r="14" spans="1:26" ht="30.75" customHeight="1">
      <c r="A14" s="2"/>
      <c r="B14" s="3" t="s">
        <v>0</v>
      </c>
      <c r="C14" s="3" t="s">
        <v>13</v>
      </c>
      <c r="D14" s="3" t="s">
        <v>14</v>
      </c>
      <c r="E14" s="3" t="s">
        <v>15</v>
      </c>
      <c r="F14" s="3" t="s">
        <v>16</v>
      </c>
      <c r="G14" s="3" t="s">
        <v>17</v>
      </c>
      <c r="H14" s="3" t="s">
        <v>18</v>
      </c>
      <c r="I14" s="3" t="s">
        <v>5</v>
      </c>
      <c r="J14" s="2"/>
      <c r="K14" s="2"/>
      <c r="L14" s="2"/>
      <c r="M14" s="2"/>
      <c r="N14" s="2"/>
      <c r="O14" s="2"/>
      <c r="P14" s="2"/>
      <c r="Q14" s="2"/>
      <c r="R14" s="2"/>
      <c r="S14" s="2"/>
      <c r="T14" s="2"/>
      <c r="U14" s="2"/>
      <c r="V14" s="2"/>
      <c r="W14" s="2"/>
      <c r="X14" s="2"/>
      <c r="Y14" s="2"/>
      <c r="Z14" s="2"/>
    </row>
    <row r="15" spans="1:26" ht="12.95">
      <c r="B15" s="4">
        <v>1</v>
      </c>
      <c r="C15" s="5" t="s">
        <v>19</v>
      </c>
      <c r="D15" s="6"/>
      <c r="E15" s="6" t="s">
        <v>59</v>
      </c>
      <c r="F15" s="26"/>
      <c r="G15" s="10"/>
      <c r="H15" s="8"/>
      <c r="I15" s="4"/>
      <c r="K15">
        <f>COUNTA(D15)*5 +COUNTA(E15)*4+COUNTA(F15)*3+COUNTA(G15)*2+COUNTA(H15)*1</f>
        <v>4</v>
      </c>
    </row>
    <row r="16" spans="1:26" ht="12.95">
      <c r="B16" s="4">
        <v>2</v>
      </c>
      <c r="C16" s="5" t="s">
        <v>141</v>
      </c>
      <c r="D16" s="6"/>
      <c r="E16" s="6"/>
      <c r="F16" s="26"/>
      <c r="G16" s="10"/>
      <c r="H16" s="8"/>
      <c r="I16" s="4"/>
      <c r="K16">
        <f t="shared" ref="K16:K23" si="0">COUNTA(D16)*5 +COUNTA(E16)*4+COUNTA(F16)*3+COUNTA(G16)*2+COUNTA(H16)*1</f>
        <v>0</v>
      </c>
    </row>
    <row r="17" spans="2:11" ht="12.95">
      <c r="B17" s="4">
        <v>3</v>
      </c>
      <c r="C17" s="5" t="s">
        <v>142</v>
      </c>
      <c r="D17" s="6"/>
      <c r="E17" s="6"/>
      <c r="F17" s="26"/>
      <c r="G17" s="10"/>
      <c r="H17" s="8"/>
      <c r="I17" s="4"/>
      <c r="K17">
        <f t="shared" si="0"/>
        <v>0</v>
      </c>
    </row>
    <row r="18" spans="2:11" ht="24.95">
      <c r="B18" s="4">
        <v>4</v>
      </c>
      <c r="C18" s="11" t="s">
        <v>143</v>
      </c>
      <c r="D18" s="6" t="s">
        <v>59</v>
      </c>
      <c r="E18" s="6"/>
      <c r="F18" s="26"/>
      <c r="G18" s="10"/>
      <c r="H18" s="8"/>
      <c r="I18" s="4"/>
      <c r="J18" s="7"/>
      <c r="K18">
        <f t="shared" si="0"/>
        <v>5</v>
      </c>
    </row>
    <row r="19" spans="2:11" ht="12.95">
      <c r="B19" s="4">
        <v>5</v>
      </c>
      <c r="C19" s="5" t="s">
        <v>22</v>
      </c>
      <c r="D19" s="6"/>
      <c r="E19" s="6"/>
      <c r="F19" s="26"/>
      <c r="G19" s="10"/>
      <c r="H19" s="8"/>
      <c r="I19" s="4"/>
      <c r="J19" s="7"/>
      <c r="K19">
        <f t="shared" si="0"/>
        <v>0</v>
      </c>
    </row>
    <row r="20" spans="2:11" ht="12.95">
      <c r="B20" s="4">
        <v>6</v>
      </c>
      <c r="C20" s="5" t="s">
        <v>144</v>
      </c>
      <c r="D20" s="6"/>
      <c r="E20" s="6"/>
      <c r="F20" s="26" t="s">
        <v>59</v>
      </c>
      <c r="G20" s="10"/>
      <c r="H20" s="8"/>
      <c r="I20" s="4"/>
      <c r="J20" s="7"/>
      <c r="K20">
        <f t="shared" si="0"/>
        <v>3</v>
      </c>
    </row>
    <row r="21" spans="2:11" ht="12.95">
      <c r="B21" s="4">
        <v>7</v>
      </c>
      <c r="C21" s="5" t="s">
        <v>23</v>
      </c>
      <c r="D21" s="6"/>
      <c r="E21" s="6"/>
      <c r="F21" s="26" t="s">
        <v>59</v>
      </c>
      <c r="G21" s="10"/>
      <c r="H21" s="8"/>
      <c r="I21" s="4"/>
      <c r="J21" s="7"/>
      <c r="K21">
        <f t="shared" si="0"/>
        <v>3</v>
      </c>
    </row>
    <row r="22" spans="2:11" ht="12.95">
      <c r="B22" s="4">
        <v>8</v>
      </c>
      <c r="C22" s="5" t="s">
        <v>24</v>
      </c>
      <c r="D22" s="6"/>
      <c r="E22" s="6" t="s">
        <v>59</v>
      </c>
      <c r="F22" s="26"/>
      <c r="G22" s="10"/>
      <c r="H22" s="8"/>
      <c r="I22" s="4"/>
      <c r="J22" s="7"/>
      <c r="K22">
        <f t="shared" si="0"/>
        <v>4</v>
      </c>
    </row>
    <row r="23" spans="2:11" ht="12.95">
      <c r="B23" s="4">
        <v>9</v>
      </c>
      <c r="C23" s="5" t="s">
        <v>25</v>
      </c>
      <c r="D23" s="6"/>
      <c r="E23" s="6" t="s">
        <v>59</v>
      </c>
      <c r="F23" s="26"/>
      <c r="G23" s="10"/>
      <c r="H23" s="8"/>
      <c r="I23" s="4"/>
      <c r="J23" s="7"/>
      <c r="K23">
        <f t="shared" si="0"/>
        <v>4</v>
      </c>
    </row>
    <row r="24" spans="2:11" ht="30.75" customHeight="1">
      <c r="B24" s="4">
        <v>10</v>
      </c>
      <c r="C24" s="5" t="s">
        <v>28</v>
      </c>
      <c r="D24" s="88"/>
      <c r="E24" s="105"/>
      <c r="F24" s="105"/>
      <c r="G24" s="105"/>
      <c r="H24" s="105"/>
      <c r="I24" s="106"/>
      <c r="J24" s="7"/>
    </row>
    <row r="25" spans="2:11" ht="12.6">
      <c r="J25" s="7"/>
    </row>
    <row r="26" spans="2:11" ht="32.25" customHeight="1"/>
    <row r="27" spans="2:11" ht="12.6">
      <c r="B27" s="100" t="s">
        <v>1</v>
      </c>
      <c r="C27" s="101"/>
      <c r="D27" s="75"/>
      <c r="E27" s="105"/>
      <c r="F27" s="105"/>
      <c r="G27" s="106"/>
    </row>
    <row r="28" spans="2:11" ht="12.6">
      <c r="B28" s="100" t="s">
        <v>135</v>
      </c>
      <c r="C28" s="101"/>
      <c r="D28" s="89"/>
      <c r="E28" s="105"/>
      <c r="F28" s="105"/>
      <c r="G28" s="106"/>
    </row>
    <row r="29" spans="2:11" ht="12.6">
      <c r="B29" s="100" t="s">
        <v>136</v>
      </c>
      <c r="C29" s="101"/>
      <c r="D29" s="89"/>
      <c r="E29" s="105"/>
      <c r="F29" s="105"/>
      <c r="G29" s="106"/>
    </row>
    <row r="30" spans="2:11" ht="12.6">
      <c r="B30" s="100" t="s">
        <v>137</v>
      </c>
      <c r="C30" s="101"/>
      <c r="D30" s="89"/>
      <c r="E30" s="105"/>
      <c r="F30" s="105"/>
      <c r="G30" s="106"/>
    </row>
    <row r="31" spans="2:11" ht="12.6">
      <c r="B31" s="100" t="s">
        <v>138</v>
      </c>
      <c r="C31" s="101"/>
      <c r="D31" s="89"/>
      <c r="E31" s="105"/>
      <c r="F31" s="105"/>
      <c r="G31" s="106"/>
    </row>
    <row r="32" spans="2:11" ht="12.6">
      <c r="B32" s="100" t="s">
        <v>139</v>
      </c>
      <c r="C32" s="101"/>
      <c r="D32" s="89"/>
      <c r="E32" s="105"/>
      <c r="F32" s="105"/>
      <c r="G32" s="106"/>
    </row>
    <row r="33" spans="2:11" ht="12.6">
      <c r="B33" s="107" t="s">
        <v>140</v>
      </c>
      <c r="C33" s="108"/>
      <c r="D33" s="19"/>
      <c r="E33" s="20"/>
      <c r="F33" s="20"/>
      <c r="G33" s="21"/>
    </row>
    <row r="34" spans="2:11" ht="12.95">
      <c r="B34" s="107" t="s">
        <v>54</v>
      </c>
      <c r="C34" s="108"/>
      <c r="D34" s="90">
        <f>ROUND(AVERAGE(K37:K45),2)</f>
        <v>3.67</v>
      </c>
      <c r="E34" s="91"/>
      <c r="F34" s="91"/>
      <c r="G34" s="92"/>
    </row>
    <row r="35" spans="2:11" ht="12.6">
      <c r="B35" s="2"/>
      <c r="C35" s="2"/>
      <c r="D35" s="2"/>
      <c r="E35" s="2"/>
      <c r="F35" s="2"/>
      <c r="G35" s="2"/>
      <c r="H35" s="2"/>
      <c r="I35" s="2"/>
    </row>
    <row r="36" spans="2:11" ht="27" customHeight="1">
      <c r="B36" s="3" t="s">
        <v>0</v>
      </c>
      <c r="C36" s="3" t="s">
        <v>13</v>
      </c>
      <c r="D36" s="3" t="s">
        <v>14</v>
      </c>
      <c r="E36" s="3" t="s">
        <v>15</v>
      </c>
      <c r="F36" s="3" t="s">
        <v>16</v>
      </c>
      <c r="G36" s="3" t="s">
        <v>17</v>
      </c>
      <c r="H36" s="3" t="s">
        <v>18</v>
      </c>
      <c r="I36" s="3" t="s">
        <v>5</v>
      </c>
    </row>
    <row r="37" spans="2:11" ht="12.95">
      <c r="B37" s="4">
        <v>1</v>
      </c>
      <c r="C37" s="5" t="s">
        <v>19</v>
      </c>
      <c r="E37" s="6" t="s">
        <v>59</v>
      </c>
      <c r="F37" s="4"/>
      <c r="G37" s="4"/>
      <c r="H37" s="8"/>
      <c r="I37" s="4"/>
      <c r="K37">
        <f>COUNTA(D37)*5 +COUNTA(E37)*4+COUNTA(F37)*3+COUNTA(G37)*2+COUNTA(H37)*1</f>
        <v>4</v>
      </c>
    </row>
    <row r="38" spans="2:11" ht="12.95">
      <c r="B38" s="4">
        <v>2</v>
      </c>
      <c r="C38" s="5" t="s">
        <v>21</v>
      </c>
      <c r="D38" s="6" t="s">
        <v>59</v>
      </c>
      <c r="E38" s="6"/>
      <c r="F38" s="4"/>
      <c r="G38" s="4"/>
      <c r="H38" s="8"/>
      <c r="I38" s="4"/>
      <c r="K38">
        <f t="shared" ref="K38:K45" si="1">COUNTA(D38)*5 +COUNTA(E38)*4+COUNTA(F38)*3+COUNTA(G38)*2+COUNTA(H38)*1</f>
        <v>5</v>
      </c>
    </row>
    <row r="39" spans="2:11" ht="12.95">
      <c r="B39" s="4">
        <v>3</v>
      </c>
      <c r="C39" s="5" t="s">
        <v>142</v>
      </c>
      <c r="D39" s="4"/>
      <c r="E39" s="6"/>
      <c r="F39" s="4"/>
      <c r="G39" s="4"/>
      <c r="H39" s="8" t="s">
        <v>59</v>
      </c>
      <c r="I39" s="4"/>
      <c r="K39">
        <f t="shared" si="1"/>
        <v>1</v>
      </c>
    </row>
    <row r="40" spans="2:11" ht="12.95">
      <c r="B40" s="4">
        <v>4</v>
      </c>
      <c r="C40" s="5" t="s">
        <v>145</v>
      </c>
      <c r="D40" s="4"/>
      <c r="E40" s="6"/>
      <c r="F40" s="9"/>
      <c r="G40" s="4"/>
      <c r="H40" s="8"/>
      <c r="I40" s="4"/>
      <c r="K40">
        <f t="shared" si="1"/>
        <v>0</v>
      </c>
    </row>
    <row r="41" spans="2:11" ht="12.95">
      <c r="B41" s="4">
        <v>5</v>
      </c>
      <c r="C41" s="5" t="s">
        <v>22</v>
      </c>
      <c r="D41" s="6"/>
      <c r="E41" s="4"/>
      <c r="F41" s="4"/>
      <c r="G41" s="10" t="s">
        <v>59</v>
      </c>
      <c r="H41" s="8"/>
      <c r="I41" s="4"/>
      <c r="K41">
        <f t="shared" si="1"/>
        <v>2</v>
      </c>
    </row>
    <row r="42" spans="2:11" ht="12.95">
      <c r="B42" s="4">
        <v>6</v>
      </c>
      <c r="C42" s="5" t="s">
        <v>144</v>
      </c>
      <c r="D42" s="6" t="s">
        <v>59</v>
      </c>
      <c r="E42" s="4"/>
      <c r="F42" s="4"/>
      <c r="G42" s="4"/>
      <c r="H42" s="8"/>
      <c r="I42" s="4"/>
      <c r="K42">
        <f t="shared" si="1"/>
        <v>5</v>
      </c>
    </row>
    <row r="43" spans="2:11" ht="12.95">
      <c r="B43" s="4">
        <v>7</v>
      </c>
      <c r="C43" s="5" t="s">
        <v>23</v>
      </c>
      <c r="D43" s="6" t="s">
        <v>59</v>
      </c>
      <c r="E43" s="4"/>
      <c r="F43" s="4" t="s">
        <v>59</v>
      </c>
      <c r="G43" s="4"/>
      <c r="H43" s="8"/>
      <c r="I43" s="4"/>
      <c r="K43">
        <f t="shared" si="1"/>
        <v>8</v>
      </c>
    </row>
    <row r="44" spans="2:11" ht="12.95">
      <c r="B44" s="4">
        <v>8</v>
      </c>
      <c r="C44" s="5" t="s">
        <v>24</v>
      </c>
      <c r="D44" s="4"/>
      <c r="E44" s="6"/>
      <c r="F44" s="4" t="s">
        <v>59</v>
      </c>
      <c r="G44" s="10"/>
      <c r="H44" s="8"/>
      <c r="I44" s="4"/>
      <c r="K44">
        <f t="shared" si="1"/>
        <v>3</v>
      </c>
    </row>
    <row r="45" spans="2:11" ht="12.95">
      <c r="B45" s="4">
        <v>9</v>
      </c>
      <c r="C45" s="5" t="s">
        <v>25</v>
      </c>
      <c r="D45" s="6" t="s">
        <v>59</v>
      </c>
      <c r="E45" s="6"/>
      <c r="F45" s="4"/>
      <c r="G45" s="4"/>
      <c r="H45" s="8"/>
      <c r="I45" s="4"/>
      <c r="K45">
        <f t="shared" si="1"/>
        <v>5</v>
      </c>
    </row>
    <row r="46" spans="2:11" ht="12.6">
      <c r="B46" s="4">
        <v>10</v>
      </c>
      <c r="C46" s="5" t="s">
        <v>28</v>
      </c>
      <c r="D46" s="88"/>
      <c r="E46" s="105"/>
      <c r="F46" s="105"/>
      <c r="G46" s="105"/>
      <c r="H46" s="105"/>
      <c r="I46" s="106"/>
    </row>
    <row r="47" spans="2:11" ht="12.6">
      <c r="B47" s="1"/>
    </row>
    <row r="48" spans="2:11" ht="12.6">
      <c r="B48" s="1"/>
      <c r="C48" s="22"/>
    </row>
    <row r="49" spans="2:11" ht="12.6">
      <c r="B49" s="1"/>
    </row>
    <row r="50" spans="2:11" ht="12.6">
      <c r="B50" s="100" t="s">
        <v>1</v>
      </c>
      <c r="C50" s="101"/>
      <c r="D50" s="75"/>
      <c r="E50" s="105"/>
      <c r="F50" s="105"/>
      <c r="G50" s="106"/>
    </row>
    <row r="51" spans="2:11" ht="12.6">
      <c r="B51" s="100" t="s">
        <v>135</v>
      </c>
      <c r="C51" s="101"/>
      <c r="D51" s="89"/>
      <c r="E51" s="105"/>
      <c r="F51" s="105"/>
      <c r="G51" s="106"/>
    </row>
    <row r="52" spans="2:11" ht="12.6">
      <c r="B52" s="100" t="s">
        <v>136</v>
      </c>
      <c r="C52" s="101"/>
      <c r="D52" s="89"/>
      <c r="E52" s="105"/>
      <c r="F52" s="105"/>
      <c r="G52" s="106"/>
    </row>
    <row r="53" spans="2:11" ht="12.6">
      <c r="B53" s="100" t="s">
        <v>137</v>
      </c>
      <c r="C53" s="101"/>
      <c r="D53" s="89"/>
      <c r="E53" s="105"/>
      <c r="F53" s="105"/>
      <c r="G53" s="106"/>
    </row>
    <row r="54" spans="2:11" ht="12.6">
      <c r="B54" s="100" t="s">
        <v>138</v>
      </c>
      <c r="C54" s="101"/>
      <c r="D54" s="89"/>
      <c r="E54" s="105"/>
      <c r="F54" s="105"/>
      <c r="G54" s="106"/>
    </row>
    <row r="55" spans="2:11" ht="12.6">
      <c r="B55" s="100" t="s">
        <v>139</v>
      </c>
      <c r="C55" s="101"/>
      <c r="D55" s="89"/>
      <c r="E55" s="105"/>
      <c r="F55" s="105"/>
      <c r="G55" s="106"/>
    </row>
    <row r="56" spans="2:11" ht="12.6">
      <c r="B56" s="107" t="s">
        <v>140</v>
      </c>
      <c r="C56" s="108"/>
      <c r="D56" s="89"/>
      <c r="E56" s="105"/>
      <c r="F56" s="105"/>
      <c r="G56" s="106"/>
    </row>
    <row r="57" spans="2:11" ht="12.95">
      <c r="B57" s="107" t="s">
        <v>54</v>
      </c>
      <c r="C57" s="108"/>
      <c r="D57" s="90">
        <f>ROUND(AVERAGE(K60:K68),2)</f>
        <v>1.89</v>
      </c>
      <c r="E57" s="91"/>
      <c r="F57" s="91"/>
      <c r="G57" s="92"/>
    </row>
    <row r="58" spans="2:11" ht="12.6">
      <c r="B58" s="2"/>
      <c r="C58" s="2"/>
      <c r="D58" s="2"/>
      <c r="E58" s="2"/>
      <c r="F58" s="2"/>
      <c r="G58" s="2"/>
      <c r="H58" s="2"/>
      <c r="I58" s="2"/>
    </row>
    <row r="59" spans="2:11" ht="24" customHeight="1">
      <c r="B59" s="3" t="s">
        <v>0</v>
      </c>
      <c r="C59" s="3" t="s">
        <v>13</v>
      </c>
      <c r="D59" s="3" t="s">
        <v>14</v>
      </c>
      <c r="E59" s="3" t="s">
        <v>15</v>
      </c>
      <c r="F59" s="3" t="s">
        <v>16</v>
      </c>
      <c r="G59" s="3" t="s">
        <v>17</v>
      </c>
      <c r="H59" s="3" t="s">
        <v>18</v>
      </c>
      <c r="I59" s="3" t="s">
        <v>5</v>
      </c>
    </row>
    <row r="60" spans="2:11" ht="12.95">
      <c r="B60" s="4">
        <v>1</v>
      </c>
      <c r="C60" s="5" t="s">
        <v>19</v>
      </c>
      <c r="D60" s="6"/>
      <c r="E60" s="6"/>
      <c r="F60" s="9"/>
      <c r="G60" s="10" t="s">
        <v>59</v>
      </c>
      <c r="H60" s="8"/>
      <c r="I60" s="4"/>
      <c r="K60">
        <f>COUNTA(D60)*5 +COUNTA(E60)*4+COUNTA(F60)*3+COUNTA(G60)*2+COUNTA(H60)*1</f>
        <v>2</v>
      </c>
    </row>
    <row r="61" spans="2:11" ht="12.95">
      <c r="B61" s="4">
        <v>2</v>
      </c>
      <c r="C61" s="5" t="s">
        <v>21</v>
      </c>
      <c r="D61" s="6"/>
      <c r="E61" s="6"/>
      <c r="F61" s="9"/>
      <c r="G61" s="10" t="s">
        <v>59</v>
      </c>
      <c r="H61" s="8"/>
      <c r="I61" s="4"/>
      <c r="K61">
        <f t="shared" ref="K61:K68" si="2">COUNTA(D61)*5 +COUNTA(E61)*4+COUNTA(F61)*3+COUNTA(G61)*2+COUNTA(H61)*1</f>
        <v>2</v>
      </c>
    </row>
    <row r="62" spans="2:11" ht="12.95">
      <c r="B62" s="4">
        <v>3</v>
      </c>
      <c r="C62" s="5" t="s">
        <v>142</v>
      </c>
      <c r="D62" s="6"/>
      <c r="E62" s="6"/>
      <c r="F62" s="9"/>
      <c r="G62" s="10" t="s">
        <v>59</v>
      </c>
      <c r="H62" s="8"/>
      <c r="I62" s="4"/>
      <c r="K62">
        <f t="shared" si="2"/>
        <v>2</v>
      </c>
    </row>
    <row r="63" spans="2:11" ht="12.95">
      <c r="B63" s="4">
        <v>4</v>
      </c>
      <c r="C63" s="5" t="s">
        <v>145</v>
      </c>
      <c r="D63" s="6"/>
      <c r="E63" s="6"/>
      <c r="F63" s="9"/>
      <c r="G63" s="10"/>
      <c r="H63" s="8" t="s">
        <v>59</v>
      </c>
      <c r="I63" s="4"/>
      <c r="K63">
        <f t="shared" si="2"/>
        <v>1</v>
      </c>
    </row>
    <row r="64" spans="2:11" ht="12.95">
      <c r="B64" s="4">
        <v>5</v>
      </c>
      <c r="C64" s="5" t="s">
        <v>22</v>
      </c>
      <c r="D64" s="6"/>
      <c r="E64" s="6"/>
      <c r="F64" s="9"/>
      <c r="G64" s="10" t="s">
        <v>59</v>
      </c>
      <c r="H64" s="8"/>
      <c r="I64" s="4"/>
      <c r="K64">
        <f t="shared" si="2"/>
        <v>2</v>
      </c>
    </row>
    <row r="65" spans="2:11" ht="12.95">
      <c r="B65" s="4">
        <v>6</v>
      </c>
      <c r="C65" s="5" t="s">
        <v>144</v>
      </c>
      <c r="D65" s="6"/>
      <c r="E65" s="6"/>
      <c r="F65" s="9" t="s">
        <v>59</v>
      </c>
      <c r="G65" s="10"/>
      <c r="H65" s="8"/>
      <c r="I65" s="4"/>
      <c r="K65">
        <f t="shared" si="2"/>
        <v>3</v>
      </c>
    </row>
    <row r="66" spans="2:11" ht="12.95">
      <c r="B66" s="4">
        <v>7</v>
      </c>
      <c r="C66" s="5" t="s">
        <v>23</v>
      </c>
      <c r="D66" s="6"/>
      <c r="E66" s="6"/>
      <c r="F66" s="9"/>
      <c r="G66" s="10" t="s">
        <v>59</v>
      </c>
      <c r="H66" s="8"/>
      <c r="I66" s="4"/>
      <c r="K66">
        <f t="shared" si="2"/>
        <v>2</v>
      </c>
    </row>
    <row r="67" spans="2:11" ht="12.95">
      <c r="B67" s="4">
        <v>8</v>
      </c>
      <c r="C67" s="5" t="s">
        <v>24</v>
      </c>
      <c r="D67" s="6"/>
      <c r="E67" s="6"/>
      <c r="F67" s="9"/>
      <c r="G67" s="10"/>
      <c r="H67" s="8" t="s">
        <v>59</v>
      </c>
      <c r="I67" s="4"/>
      <c r="K67">
        <f t="shared" si="2"/>
        <v>1</v>
      </c>
    </row>
    <row r="68" spans="2:11" ht="12.95">
      <c r="B68" s="4">
        <v>9</v>
      </c>
      <c r="C68" s="5" t="s">
        <v>25</v>
      </c>
      <c r="D68" s="6"/>
      <c r="E68" s="6"/>
      <c r="F68" s="9"/>
      <c r="G68" s="10" t="s">
        <v>59</v>
      </c>
      <c r="H68" s="8"/>
      <c r="I68" s="4"/>
      <c r="K68">
        <f t="shared" si="2"/>
        <v>2</v>
      </c>
    </row>
    <row r="69" spans="2:11" ht="12.6">
      <c r="B69" s="4">
        <v>10</v>
      </c>
      <c r="C69" s="5" t="s">
        <v>28</v>
      </c>
      <c r="D69" s="88"/>
      <c r="E69" s="105"/>
      <c r="F69" s="105"/>
      <c r="G69" s="105"/>
      <c r="H69" s="105"/>
      <c r="I69" s="106"/>
    </row>
    <row r="70" spans="2:11" ht="12.6">
      <c r="B70" s="1"/>
    </row>
    <row r="71" spans="2:11" ht="12.6">
      <c r="B71" s="1"/>
    </row>
    <row r="72" spans="2:11" ht="12.6">
      <c r="B72" s="1"/>
    </row>
    <row r="73" spans="2:11" ht="12.6">
      <c r="B73" s="1"/>
    </row>
    <row r="74" spans="2:11" ht="12.6">
      <c r="B74" s="1"/>
    </row>
    <row r="75" spans="2:11" ht="12.6">
      <c r="B75" s="1"/>
    </row>
    <row r="76" spans="2:11" ht="12.6">
      <c r="B76" s="1"/>
    </row>
    <row r="77" spans="2:11" ht="12.6">
      <c r="B77" s="1"/>
    </row>
    <row r="78" spans="2:11" ht="12.6">
      <c r="B78" s="1"/>
    </row>
    <row r="79" spans="2:11" ht="12.6">
      <c r="B79" s="1"/>
    </row>
    <row r="80" spans="2:11" ht="12.6">
      <c r="B80" s="1"/>
    </row>
    <row r="81" spans="2:2" ht="12.6">
      <c r="B81" s="1"/>
    </row>
    <row r="82" spans="2:2" ht="12.6">
      <c r="B82" s="1"/>
    </row>
    <row r="83" spans="2:2" ht="12.6">
      <c r="B83" s="1"/>
    </row>
    <row r="84" spans="2:2" ht="12.6">
      <c r="B84" s="1"/>
    </row>
    <row r="85" spans="2:2" ht="12.6">
      <c r="B85" s="1"/>
    </row>
    <row r="86" spans="2:2" ht="12.6">
      <c r="B86" s="1"/>
    </row>
    <row r="87" spans="2:2" ht="12.6">
      <c r="B87" s="1"/>
    </row>
    <row r="88" spans="2:2" ht="12.6">
      <c r="B88" s="1"/>
    </row>
    <row r="89" spans="2:2" ht="12.6">
      <c r="B89" s="1"/>
    </row>
    <row r="90" spans="2:2" ht="12.6">
      <c r="B90" s="1"/>
    </row>
    <row r="91" spans="2:2" ht="12.6">
      <c r="B91" s="1"/>
    </row>
    <row r="92" spans="2:2" ht="12.6">
      <c r="B92" s="1"/>
    </row>
    <row r="93" spans="2:2" ht="12.6">
      <c r="B93" s="1"/>
    </row>
    <row r="94" spans="2:2" ht="12.6">
      <c r="B94" s="1"/>
    </row>
    <row r="95" spans="2:2" ht="12.6">
      <c r="B95" s="1"/>
    </row>
    <row r="96" spans="2:2" ht="12.6">
      <c r="B96" s="1"/>
    </row>
    <row r="97" spans="2:2" ht="12.6">
      <c r="B97" s="1"/>
    </row>
    <row r="98" spans="2:2" ht="12.6">
      <c r="B98" s="1"/>
    </row>
    <row r="99" spans="2:2" ht="12.6">
      <c r="B99" s="1"/>
    </row>
    <row r="100" spans="2:2" ht="12.6">
      <c r="B100" s="1"/>
    </row>
    <row r="101" spans="2:2" ht="12.6">
      <c r="B101" s="1"/>
    </row>
    <row r="102" spans="2:2" ht="12.6">
      <c r="B102" s="1"/>
    </row>
    <row r="103" spans="2:2" ht="12.6">
      <c r="B103" s="1"/>
    </row>
    <row r="104" spans="2:2" ht="12.6">
      <c r="B104" s="1"/>
    </row>
    <row r="105" spans="2:2" ht="12.6">
      <c r="B105" s="1"/>
    </row>
    <row r="106" spans="2:2" ht="12.6">
      <c r="B106" s="1"/>
    </row>
    <row r="107" spans="2:2" ht="12.6">
      <c r="B107" s="1"/>
    </row>
    <row r="108" spans="2:2" ht="12.6">
      <c r="B108" s="1"/>
    </row>
    <row r="109" spans="2:2" ht="12.6">
      <c r="B109" s="1"/>
    </row>
    <row r="110" spans="2:2" ht="12.6">
      <c r="B110" s="1"/>
    </row>
    <row r="111" spans="2:2" ht="12.6">
      <c r="B111" s="1"/>
    </row>
    <row r="112" spans="2:2" ht="12.6">
      <c r="B112" s="1"/>
    </row>
    <row r="113" spans="2:2" ht="12.6">
      <c r="B113" s="1"/>
    </row>
    <row r="114" spans="2:2" ht="12.6">
      <c r="B114" s="1"/>
    </row>
    <row r="115" spans="2:2" ht="12.6">
      <c r="B115" s="1"/>
    </row>
    <row r="116" spans="2:2" ht="12.6">
      <c r="B116" s="1"/>
    </row>
    <row r="117" spans="2:2" ht="12.6">
      <c r="B117" s="1"/>
    </row>
    <row r="118" spans="2:2" ht="12.6">
      <c r="B118" s="1"/>
    </row>
    <row r="119" spans="2:2" ht="12.6">
      <c r="B119" s="1"/>
    </row>
    <row r="120" spans="2:2" ht="12.6">
      <c r="B120" s="1"/>
    </row>
    <row r="121" spans="2:2" ht="12.6">
      <c r="B121" s="1"/>
    </row>
    <row r="122" spans="2:2" ht="12.6">
      <c r="B122" s="1"/>
    </row>
    <row r="123" spans="2:2" ht="12.6">
      <c r="B123" s="1"/>
    </row>
    <row r="124" spans="2:2" ht="12.6">
      <c r="B124" s="1"/>
    </row>
    <row r="125" spans="2:2" ht="12.6">
      <c r="B125" s="1"/>
    </row>
    <row r="126" spans="2:2" ht="12.6">
      <c r="B126" s="1"/>
    </row>
    <row r="127" spans="2:2" ht="12.6">
      <c r="B127" s="1"/>
    </row>
    <row r="128" spans="2:2" ht="12.6">
      <c r="B128" s="1"/>
    </row>
    <row r="129" spans="2:2" ht="12.6">
      <c r="B129" s="1"/>
    </row>
    <row r="130" spans="2:2" ht="12.6">
      <c r="B130" s="1"/>
    </row>
    <row r="131" spans="2:2" ht="12.6">
      <c r="B131" s="1"/>
    </row>
    <row r="132" spans="2:2" ht="12.6">
      <c r="B132" s="1"/>
    </row>
    <row r="133" spans="2:2" ht="12.6">
      <c r="B133" s="1"/>
    </row>
    <row r="134" spans="2:2" ht="12.6">
      <c r="B134" s="1"/>
    </row>
    <row r="135" spans="2:2" ht="12.6">
      <c r="B135" s="1"/>
    </row>
    <row r="136" spans="2:2" ht="12.6">
      <c r="B136" s="1"/>
    </row>
    <row r="137" spans="2:2" ht="12.6">
      <c r="B137" s="1"/>
    </row>
    <row r="138" spans="2:2" ht="12.6">
      <c r="B138" s="1"/>
    </row>
    <row r="139" spans="2:2" ht="12.6">
      <c r="B139" s="1"/>
    </row>
    <row r="140" spans="2:2" ht="12.6">
      <c r="B140" s="1"/>
    </row>
    <row r="141" spans="2:2" ht="12.6">
      <c r="B141" s="1"/>
    </row>
    <row r="142" spans="2:2" ht="12.6">
      <c r="B142" s="1"/>
    </row>
    <row r="143" spans="2:2" ht="12.6">
      <c r="B143" s="1"/>
    </row>
    <row r="144" spans="2:2" ht="12.6">
      <c r="B144" s="1"/>
    </row>
    <row r="145" spans="2:2" ht="12.6">
      <c r="B145" s="1"/>
    </row>
    <row r="146" spans="2:2" ht="12.6">
      <c r="B146" s="1"/>
    </row>
    <row r="147" spans="2:2" ht="12.6">
      <c r="B147" s="1"/>
    </row>
    <row r="148" spans="2:2" ht="12.6">
      <c r="B148" s="1"/>
    </row>
    <row r="149" spans="2:2" ht="12.6">
      <c r="B149" s="1"/>
    </row>
    <row r="150" spans="2:2" ht="12.6">
      <c r="B150" s="1"/>
    </row>
    <row r="151" spans="2:2" ht="12.6">
      <c r="B151" s="1"/>
    </row>
    <row r="152" spans="2:2" ht="12.6">
      <c r="B152" s="1"/>
    </row>
    <row r="153" spans="2:2" ht="12.6">
      <c r="B153" s="1"/>
    </row>
    <row r="154" spans="2:2" ht="12.6">
      <c r="B154" s="1"/>
    </row>
    <row r="155" spans="2:2" ht="12.6">
      <c r="B155" s="1"/>
    </row>
    <row r="156" spans="2:2" ht="12.6">
      <c r="B156" s="1"/>
    </row>
    <row r="157" spans="2:2" ht="12.6">
      <c r="B157" s="1"/>
    </row>
    <row r="158" spans="2:2" ht="12.6">
      <c r="B158" s="1"/>
    </row>
    <row r="159" spans="2:2" ht="12.6">
      <c r="B159" s="1"/>
    </row>
    <row r="160" spans="2:2" ht="12.6">
      <c r="B160" s="1"/>
    </row>
    <row r="161" spans="2:2" ht="12.6">
      <c r="B161" s="1"/>
    </row>
    <row r="162" spans="2:2" ht="12.6">
      <c r="B162" s="1"/>
    </row>
    <row r="163" spans="2:2" ht="12.6">
      <c r="B163" s="1"/>
    </row>
    <row r="164" spans="2:2" ht="12.6">
      <c r="B164" s="1"/>
    </row>
    <row r="165" spans="2:2" ht="12.6">
      <c r="B165" s="1"/>
    </row>
    <row r="166" spans="2:2" ht="12.6">
      <c r="B166" s="1"/>
    </row>
    <row r="167" spans="2:2" ht="12.6">
      <c r="B167" s="1"/>
    </row>
    <row r="168" spans="2:2" ht="12.6">
      <c r="B168" s="1"/>
    </row>
    <row r="169" spans="2:2" ht="12.6">
      <c r="B169" s="1"/>
    </row>
    <row r="170" spans="2:2" ht="12.6">
      <c r="B170" s="1"/>
    </row>
    <row r="171" spans="2:2" ht="12.6">
      <c r="B171" s="1"/>
    </row>
    <row r="172" spans="2:2" ht="12.6">
      <c r="B172" s="1"/>
    </row>
    <row r="173" spans="2:2" ht="12.6">
      <c r="B173" s="1"/>
    </row>
    <row r="174" spans="2:2" ht="12.6">
      <c r="B174" s="1"/>
    </row>
    <row r="175" spans="2:2" ht="12.6">
      <c r="B175" s="1"/>
    </row>
    <row r="176" spans="2:2" ht="12.6">
      <c r="B176" s="1"/>
    </row>
    <row r="177" spans="2:2" ht="12.6">
      <c r="B177" s="1"/>
    </row>
    <row r="178" spans="2:2" ht="12.6">
      <c r="B178" s="1"/>
    </row>
    <row r="179" spans="2:2" ht="12.6">
      <c r="B179" s="1"/>
    </row>
    <row r="180" spans="2:2" ht="12.6">
      <c r="B180" s="1"/>
    </row>
    <row r="181" spans="2:2" ht="12.6">
      <c r="B181" s="1"/>
    </row>
    <row r="182" spans="2:2" ht="12.6">
      <c r="B182" s="1"/>
    </row>
    <row r="183" spans="2:2" ht="12.6">
      <c r="B183" s="1"/>
    </row>
    <row r="184" spans="2:2" ht="12.6">
      <c r="B184" s="1"/>
    </row>
    <row r="185" spans="2:2" ht="12.6">
      <c r="B185" s="1"/>
    </row>
    <row r="186" spans="2:2" ht="12.6">
      <c r="B186" s="1"/>
    </row>
    <row r="187" spans="2:2" ht="12.6">
      <c r="B187" s="1"/>
    </row>
    <row r="188" spans="2:2" ht="12.6">
      <c r="B188" s="1"/>
    </row>
    <row r="189" spans="2:2" ht="12.6">
      <c r="B189" s="1"/>
    </row>
    <row r="190" spans="2:2" ht="12.6">
      <c r="B190" s="1"/>
    </row>
    <row r="191" spans="2:2" ht="12.6">
      <c r="B191" s="1"/>
    </row>
    <row r="192" spans="2:2" ht="12.6">
      <c r="B192" s="1"/>
    </row>
    <row r="193" spans="2:2" ht="12.6">
      <c r="B193" s="1"/>
    </row>
    <row r="194" spans="2:2" ht="12.6">
      <c r="B194" s="1"/>
    </row>
    <row r="195" spans="2:2" ht="12.6">
      <c r="B195" s="1"/>
    </row>
    <row r="196" spans="2:2" ht="12.6">
      <c r="B196" s="1"/>
    </row>
    <row r="197" spans="2:2" ht="12.6">
      <c r="B197" s="1"/>
    </row>
    <row r="198" spans="2:2" ht="12.6">
      <c r="B198" s="1"/>
    </row>
    <row r="199" spans="2:2" ht="12.6">
      <c r="B199" s="1"/>
    </row>
    <row r="200" spans="2:2" ht="12.6">
      <c r="B200" s="1"/>
    </row>
    <row r="201" spans="2:2" ht="12.6">
      <c r="B201" s="1"/>
    </row>
    <row r="202" spans="2:2" ht="12.6">
      <c r="B202" s="1"/>
    </row>
    <row r="203" spans="2:2" ht="12.6">
      <c r="B203" s="1"/>
    </row>
    <row r="204" spans="2:2" ht="12.6">
      <c r="B204" s="1"/>
    </row>
    <row r="205" spans="2:2" ht="12.6">
      <c r="B205" s="1"/>
    </row>
    <row r="206" spans="2:2" ht="12.6">
      <c r="B206" s="1"/>
    </row>
    <row r="207" spans="2:2" ht="12.6">
      <c r="B207" s="1"/>
    </row>
    <row r="208" spans="2:2" ht="12.6">
      <c r="B208" s="1"/>
    </row>
    <row r="209" spans="2:2" ht="12.6">
      <c r="B209" s="1"/>
    </row>
    <row r="210" spans="2:2" ht="12.6">
      <c r="B210" s="1"/>
    </row>
    <row r="211" spans="2:2" ht="12.6">
      <c r="B211" s="1"/>
    </row>
    <row r="212" spans="2:2" ht="12.6">
      <c r="B212" s="1"/>
    </row>
    <row r="213" spans="2:2" ht="12.6">
      <c r="B213" s="1"/>
    </row>
    <row r="214" spans="2:2" ht="12.6">
      <c r="B214" s="1"/>
    </row>
    <row r="215" spans="2:2" ht="12.6">
      <c r="B215" s="1"/>
    </row>
    <row r="216" spans="2:2" ht="12.6">
      <c r="B216" s="1"/>
    </row>
    <row r="217" spans="2:2" ht="12.6">
      <c r="B217" s="1"/>
    </row>
    <row r="218" spans="2:2" ht="12.6">
      <c r="B218" s="1"/>
    </row>
    <row r="219" spans="2:2" ht="12.6">
      <c r="B219" s="1"/>
    </row>
    <row r="220" spans="2:2" ht="12.6">
      <c r="B220" s="1"/>
    </row>
    <row r="221" spans="2:2" ht="12.6">
      <c r="B221" s="1"/>
    </row>
    <row r="222" spans="2:2" ht="12.6">
      <c r="B222" s="1"/>
    </row>
    <row r="223" spans="2:2" ht="12.6">
      <c r="B223" s="1"/>
    </row>
    <row r="224" spans="2:2" ht="12.6">
      <c r="B224" s="1"/>
    </row>
    <row r="225" spans="2:2" ht="12.6">
      <c r="B225" s="1"/>
    </row>
    <row r="226" spans="2:2" ht="12.6">
      <c r="B226" s="1"/>
    </row>
    <row r="227" spans="2:2" ht="12.6">
      <c r="B227" s="1"/>
    </row>
    <row r="228" spans="2:2" ht="12.6">
      <c r="B228" s="1"/>
    </row>
    <row r="229" spans="2:2" ht="12.6">
      <c r="B229" s="1"/>
    </row>
    <row r="230" spans="2:2" ht="12.6">
      <c r="B230" s="1"/>
    </row>
    <row r="231" spans="2:2" ht="12.6">
      <c r="B231" s="1"/>
    </row>
    <row r="232" spans="2:2" ht="12.6">
      <c r="B232" s="1"/>
    </row>
    <row r="233" spans="2:2" ht="12.6">
      <c r="B233" s="1"/>
    </row>
    <row r="234" spans="2:2" ht="12.6">
      <c r="B234" s="1"/>
    </row>
    <row r="235" spans="2:2" ht="12.6">
      <c r="B235" s="1"/>
    </row>
    <row r="236" spans="2:2" ht="12.6">
      <c r="B236" s="1"/>
    </row>
    <row r="237" spans="2:2" ht="12.6">
      <c r="B237" s="1"/>
    </row>
    <row r="238" spans="2:2" ht="12.6">
      <c r="B238" s="1"/>
    </row>
    <row r="239" spans="2:2" ht="12.6">
      <c r="B239" s="1"/>
    </row>
    <row r="240" spans="2:2" ht="12.6">
      <c r="B240" s="1"/>
    </row>
    <row r="241" spans="2:2" ht="12.6">
      <c r="B241" s="1"/>
    </row>
    <row r="242" spans="2:2" ht="12.6">
      <c r="B242" s="1"/>
    </row>
    <row r="243" spans="2:2" ht="12.6">
      <c r="B243" s="1"/>
    </row>
    <row r="244" spans="2:2" ht="12.6">
      <c r="B244" s="1"/>
    </row>
    <row r="245" spans="2:2" ht="12.6">
      <c r="B245" s="1"/>
    </row>
    <row r="246" spans="2:2" ht="12.6">
      <c r="B246" s="1"/>
    </row>
    <row r="247" spans="2:2" ht="12.6">
      <c r="B247" s="1"/>
    </row>
    <row r="248" spans="2:2" ht="12.6">
      <c r="B248" s="1"/>
    </row>
    <row r="249" spans="2:2" ht="12.6">
      <c r="B249" s="1"/>
    </row>
    <row r="250" spans="2:2" ht="12.6">
      <c r="B250" s="1"/>
    </row>
    <row r="251" spans="2:2" ht="12.6">
      <c r="B251" s="1"/>
    </row>
    <row r="252" spans="2:2" ht="12.6">
      <c r="B252" s="1"/>
    </row>
    <row r="253" spans="2:2" ht="12.6">
      <c r="B253" s="1"/>
    </row>
    <row r="254" spans="2:2" ht="12.6">
      <c r="B254" s="1"/>
    </row>
    <row r="255" spans="2:2" ht="12.6">
      <c r="B255" s="1"/>
    </row>
    <row r="256" spans="2:2" ht="12.6">
      <c r="B256" s="1"/>
    </row>
    <row r="257" spans="2:2" ht="12.6">
      <c r="B257" s="1"/>
    </row>
    <row r="258" spans="2:2" ht="12.6">
      <c r="B258" s="1"/>
    </row>
    <row r="259" spans="2:2" ht="12.6">
      <c r="B259" s="1"/>
    </row>
    <row r="260" spans="2:2" ht="12.6">
      <c r="B260" s="1"/>
    </row>
    <row r="261" spans="2:2" ht="12.6">
      <c r="B261" s="1"/>
    </row>
    <row r="262" spans="2:2" ht="12.6">
      <c r="B262" s="1"/>
    </row>
    <row r="263" spans="2:2" ht="12.6">
      <c r="B263" s="1"/>
    </row>
    <row r="264" spans="2:2" ht="12.6">
      <c r="B264" s="1"/>
    </row>
    <row r="265" spans="2:2" ht="12.6">
      <c r="B265" s="1"/>
    </row>
    <row r="266" spans="2:2" ht="12.6">
      <c r="B266" s="1"/>
    </row>
    <row r="267" spans="2:2" ht="12.6">
      <c r="B267" s="1"/>
    </row>
    <row r="268" spans="2:2" ht="12.6">
      <c r="B268" s="1"/>
    </row>
    <row r="269" spans="2:2" ht="12.6">
      <c r="B269" s="1"/>
    </row>
    <row r="270" spans="2:2" ht="12.6">
      <c r="B270" s="1"/>
    </row>
    <row r="271" spans="2:2" ht="12.6">
      <c r="B271" s="1"/>
    </row>
    <row r="272" spans="2:2" ht="12.6">
      <c r="B272" s="1"/>
    </row>
    <row r="273" spans="2:2" ht="12.6">
      <c r="B273" s="1"/>
    </row>
    <row r="274" spans="2:2" ht="12.6">
      <c r="B274" s="1"/>
    </row>
    <row r="275" spans="2:2" ht="12.6">
      <c r="B275" s="1"/>
    </row>
    <row r="276" spans="2:2" ht="12.6">
      <c r="B276" s="1"/>
    </row>
    <row r="277" spans="2:2" ht="12.6">
      <c r="B277" s="1"/>
    </row>
    <row r="278" spans="2:2" ht="12.6">
      <c r="B278" s="1"/>
    </row>
    <row r="279" spans="2:2" ht="12.6">
      <c r="B279" s="1"/>
    </row>
    <row r="280" spans="2:2" ht="12.6">
      <c r="B280" s="1"/>
    </row>
    <row r="281" spans="2:2" ht="12.6">
      <c r="B281" s="1"/>
    </row>
    <row r="282" spans="2:2" ht="12.6">
      <c r="B282" s="1"/>
    </row>
    <row r="283" spans="2:2" ht="12.6">
      <c r="B283" s="1"/>
    </row>
    <row r="284" spans="2:2" ht="12.6">
      <c r="B284" s="1"/>
    </row>
    <row r="285" spans="2:2" ht="12.6">
      <c r="B285" s="1"/>
    </row>
    <row r="286" spans="2:2" ht="12.6">
      <c r="B286" s="1"/>
    </row>
    <row r="287" spans="2:2" ht="12.6">
      <c r="B287" s="1"/>
    </row>
    <row r="288" spans="2:2" ht="12.6">
      <c r="B288" s="1"/>
    </row>
    <row r="289" spans="2:2" ht="12.6">
      <c r="B289" s="1"/>
    </row>
    <row r="290" spans="2:2" ht="12.6">
      <c r="B290" s="1"/>
    </row>
    <row r="291" spans="2:2" ht="12.6">
      <c r="B291" s="1"/>
    </row>
    <row r="292" spans="2:2" ht="12.6">
      <c r="B292" s="1"/>
    </row>
    <row r="293" spans="2:2" ht="12.6">
      <c r="B293" s="1"/>
    </row>
    <row r="294" spans="2:2" ht="12.6">
      <c r="B294" s="1"/>
    </row>
    <row r="295" spans="2:2" ht="12.6">
      <c r="B295" s="1"/>
    </row>
    <row r="296" spans="2:2" ht="12.6">
      <c r="B296" s="1"/>
    </row>
    <row r="297" spans="2:2" ht="12.6">
      <c r="B297" s="1"/>
    </row>
    <row r="298" spans="2:2" ht="12.6">
      <c r="B298" s="1"/>
    </row>
    <row r="299" spans="2:2" ht="12.6">
      <c r="B299" s="1"/>
    </row>
    <row r="300" spans="2:2" ht="12.6">
      <c r="B300" s="1"/>
    </row>
    <row r="301" spans="2:2" ht="12.6">
      <c r="B301" s="1"/>
    </row>
    <row r="302" spans="2:2" ht="12.6">
      <c r="B302" s="1"/>
    </row>
    <row r="303" spans="2:2" ht="12.6">
      <c r="B303" s="1"/>
    </row>
    <row r="304" spans="2:2" ht="12.6">
      <c r="B304" s="1"/>
    </row>
    <row r="305" spans="2:2" ht="12.6">
      <c r="B305" s="1"/>
    </row>
    <row r="306" spans="2:2" ht="12.6">
      <c r="B306" s="1"/>
    </row>
    <row r="307" spans="2:2" ht="12.6">
      <c r="B307" s="1"/>
    </row>
    <row r="308" spans="2:2" ht="12.6">
      <c r="B308" s="1"/>
    </row>
    <row r="309" spans="2:2" ht="12.6">
      <c r="B309" s="1"/>
    </row>
    <row r="310" spans="2:2" ht="12.6">
      <c r="B310" s="1"/>
    </row>
    <row r="311" spans="2:2" ht="12.6">
      <c r="B311" s="1"/>
    </row>
    <row r="312" spans="2:2" ht="12.6">
      <c r="B312" s="1"/>
    </row>
    <row r="313" spans="2:2" ht="12.6">
      <c r="B313" s="1"/>
    </row>
    <row r="314" spans="2:2" ht="12.6">
      <c r="B314" s="1"/>
    </row>
    <row r="315" spans="2:2" ht="12.6">
      <c r="B315" s="1"/>
    </row>
    <row r="316" spans="2:2" ht="12.6">
      <c r="B316" s="1"/>
    </row>
    <row r="317" spans="2:2" ht="12.6">
      <c r="B317" s="1"/>
    </row>
    <row r="318" spans="2:2" ht="12.6">
      <c r="B318" s="1"/>
    </row>
    <row r="319" spans="2:2" ht="12.6">
      <c r="B319" s="1"/>
    </row>
    <row r="320" spans="2:2" ht="12.6">
      <c r="B320" s="1"/>
    </row>
    <row r="321" spans="2:2" ht="12.6">
      <c r="B321" s="1"/>
    </row>
    <row r="322" spans="2:2" ht="12.6">
      <c r="B322" s="1"/>
    </row>
    <row r="323" spans="2:2" ht="12.6">
      <c r="B323" s="1"/>
    </row>
    <row r="324" spans="2:2" ht="12.6">
      <c r="B324" s="1"/>
    </row>
    <row r="325" spans="2:2" ht="12.6">
      <c r="B325" s="1"/>
    </row>
    <row r="326" spans="2:2" ht="12.6">
      <c r="B326" s="1"/>
    </row>
    <row r="327" spans="2:2" ht="12.6">
      <c r="B327" s="1"/>
    </row>
    <row r="328" spans="2:2" ht="12.6">
      <c r="B328" s="1"/>
    </row>
    <row r="329" spans="2:2" ht="12.6">
      <c r="B329" s="1"/>
    </row>
    <row r="330" spans="2:2" ht="12.6">
      <c r="B330" s="1"/>
    </row>
    <row r="331" spans="2:2" ht="12.6">
      <c r="B331" s="1"/>
    </row>
    <row r="332" spans="2:2" ht="12.6">
      <c r="B332" s="1"/>
    </row>
    <row r="333" spans="2:2" ht="12.6">
      <c r="B333" s="1"/>
    </row>
    <row r="334" spans="2:2" ht="12.6">
      <c r="B334" s="1"/>
    </row>
    <row r="335" spans="2:2" ht="12.6">
      <c r="B335" s="1"/>
    </row>
    <row r="336" spans="2:2" ht="12.6">
      <c r="B336" s="1"/>
    </row>
    <row r="337" spans="2:2" ht="12.6">
      <c r="B337" s="1"/>
    </row>
    <row r="338" spans="2:2" ht="12.6">
      <c r="B338" s="1"/>
    </row>
    <row r="339" spans="2:2" ht="12.6">
      <c r="B339" s="1"/>
    </row>
    <row r="340" spans="2:2" ht="12.6">
      <c r="B340" s="1"/>
    </row>
    <row r="341" spans="2:2" ht="12.6">
      <c r="B341" s="1"/>
    </row>
    <row r="342" spans="2:2" ht="12.6">
      <c r="B342" s="1"/>
    </row>
    <row r="343" spans="2:2" ht="12.6">
      <c r="B343" s="1"/>
    </row>
    <row r="344" spans="2:2" ht="12.6">
      <c r="B344" s="1"/>
    </row>
    <row r="345" spans="2:2" ht="12.6">
      <c r="B345" s="1"/>
    </row>
    <row r="346" spans="2:2" ht="12.6">
      <c r="B346" s="1"/>
    </row>
    <row r="347" spans="2:2" ht="12.6">
      <c r="B347" s="1"/>
    </row>
    <row r="348" spans="2:2" ht="12.6">
      <c r="B348" s="1"/>
    </row>
    <row r="349" spans="2:2" ht="12.6">
      <c r="B349" s="1"/>
    </row>
    <row r="350" spans="2:2" ht="12.6">
      <c r="B350" s="1"/>
    </row>
    <row r="351" spans="2:2" ht="12.6">
      <c r="B351" s="1"/>
    </row>
    <row r="352" spans="2:2" ht="12.6">
      <c r="B352" s="1"/>
    </row>
    <row r="353" spans="2:2" ht="12.6">
      <c r="B353" s="1"/>
    </row>
    <row r="354" spans="2:2" ht="12.6">
      <c r="B354" s="1"/>
    </row>
    <row r="355" spans="2:2" ht="12.6">
      <c r="B355" s="1"/>
    </row>
    <row r="356" spans="2:2" ht="12.6">
      <c r="B356" s="1"/>
    </row>
    <row r="357" spans="2:2" ht="12.6">
      <c r="B357" s="1"/>
    </row>
    <row r="358" spans="2:2" ht="12.6">
      <c r="B358" s="1"/>
    </row>
    <row r="359" spans="2:2" ht="12.6">
      <c r="B359" s="1"/>
    </row>
    <row r="360" spans="2:2" ht="12.6">
      <c r="B360" s="1"/>
    </row>
    <row r="361" spans="2:2" ht="12.6">
      <c r="B361" s="1"/>
    </row>
    <row r="362" spans="2:2" ht="12.6">
      <c r="B362" s="1"/>
    </row>
    <row r="363" spans="2:2" ht="12.6">
      <c r="B363" s="1"/>
    </row>
    <row r="364" spans="2:2" ht="12.6">
      <c r="B364" s="1"/>
    </row>
    <row r="365" spans="2:2" ht="12.6">
      <c r="B365" s="1"/>
    </row>
    <row r="366" spans="2:2" ht="12.6">
      <c r="B366" s="1"/>
    </row>
    <row r="367" spans="2:2" ht="12.6">
      <c r="B367" s="1"/>
    </row>
    <row r="368" spans="2:2" ht="12.6">
      <c r="B368" s="1"/>
    </row>
    <row r="369" spans="2:2" ht="12.6">
      <c r="B369" s="1"/>
    </row>
    <row r="370" spans="2:2" ht="12.6">
      <c r="B370" s="1"/>
    </row>
    <row r="371" spans="2:2" ht="12.6">
      <c r="B371" s="1"/>
    </row>
    <row r="372" spans="2:2" ht="12.6">
      <c r="B372" s="1"/>
    </row>
    <row r="373" spans="2:2" ht="12.6">
      <c r="B373" s="1"/>
    </row>
    <row r="374" spans="2:2" ht="12.6">
      <c r="B374" s="1"/>
    </row>
    <row r="375" spans="2:2" ht="12.6">
      <c r="B375" s="1"/>
    </row>
    <row r="376" spans="2:2" ht="12.6">
      <c r="B376" s="1"/>
    </row>
    <row r="377" spans="2:2" ht="12.6">
      <c r="B377" s="1"/>
    </row>
    <row r="378" spans="2:2" ht="12.6">
      <c r="B378" s="1"/>
    </row>
    <row r="379" spans="2:2" ht="12.6">
      <c r="B379" s="1"/>
    </row>
    <row r="380" spans="2:2" ht="12.6">
      <c r="B380" s="1"/>
    </row>
    <row r="381" spans="2:2" ht="12.6">
      <c r="B381" s="1"/>
    </row>
    <row r="382" spans="2:2" ht="12.6">
      <c r="B382" s="1"/>
    </row>
    <row r="383" spans="2:2" ht="12.6">
      <c r="B383" s="1"/>
    </row>
    <row r="384" spans="2:2" ht="12.6">
      <c r="B384" s="1"/>
    </row>
    <row r="385" spans="2:2" ht="12.6">
      <c r="B385" s="1"/>
    </row>
    <row r="386" spans="2:2" ht="12.6">
      <c r="B386" s="1"/>
    </row>
    <row r="387" spans="2:2" ht="12.6">
      <c r="B387" s="1"/>
    </row>
    <row r="388" spans="2:2" ht="12.6">
      <c r="B388" s="1"/>
    </row>
    <row r="389" spans="2:2" ht="12.6">
      <c r="B389" s="1"/>
    </row>
    <row r="390" spans="2:2" ht="12.6">
      <c r="B390" s="1"/>
    </row>
    <row r="391" spans="2:2" ht="12.6">
      <c r="B391" s="1"/>
    </row>
    <row r="392" spans="2:2" ht="12.6">
      <c r="B392" s="1"/>
    </row>
    <row r="393" spans="2:2" ht="12.6">
      <c r="B393" s="1"/>
    </row>
    <row r="394" spans="2:2" ht="12.6">
      <c r="B394" s="1"/>
    </row>
    <row r="395" spans="2:2" ht="12.6">
      <c r="B395" s="1"/>
    </row>
    <row r="396" spans="2:2" ht="12.6">
      <c r="B396" s="1"/>
    </row>
    <row r="397" spans="2:2" ht="12.6">
      <c r="B397" s="1"/>
    </row>
    <row r="398" spans="2:2" ht="12.6">
      <c r="B398" s="1"/>
    </row>
    <row r="399" spans="2:2" ht="12.6">
      <c r="B399" s="1"/>
    </row>
    <row r="400" spans="2:2" ht="12.6">
      <c r="B400" s="1"/>
    </row>
    <row r="401" spans="2:2" ht="12.6">
      <c r="B401" s="1"/>
    </row>
    <row r="402" spans="2:2" ht="12.6">
      <c r="B402" s="1"/>
    </row>
    <row r="403" spans="2:2" ht="12.6">
      <c r="B403" s="1"/>
    </row>
    <row r="404" spans="2:2" ht="12.6">
      <c r="B404" s="1"/>
    </row>
    <row r="405" spans="2:2" ht="12.6">
      <c r="B405" s="1"/>
    </row>
    <row r="406" spans="2:2" ht="12.6">
      <c r="B406" s="1"/>
    </row>
    <row r="407" spans="2:2" ht="12.6">
      <c r="B407" s="1"/>
    </row>
    <row r="408" spans="2:2" ht="12.6">
      <c r="B408" s="1"/>
    </row>
    <row r="409" spans="2:2" ht="12.6">
      <c r="B409" s="1"/>
    </row>
    <row r="410" spans="2:2" ht="12.6">
      <c r="B410" s="1"/>
    </row>
    <row r="411" spans="2:2" ht="12.6">
      <c r="B411" s="1"/>
    </row>
    <row r="412" spans="2:2" ht="12.6">
      <c r="B412" s="1"/>
    </row>
    <row r="413" spans="2:2" ht="12.6">
      <c r="B413" s="1"/>
    </row>
    <row r="414" spans="2:2" ht="12.6">
      <c r="B414" s="1"/>
    </row>
    <row r="415" spans="2:2" ht="12.6">
      <c r="B415" s="1"/>
    </row>
    <row r="416" spans="2:2" ht="12.6">
      <c r="B416" s="1"/>
    </row>
    <row r="417" spans="2:2" ht="12.6">
      <c r="B417" s="1"/>
    </row>
    <row r="418" spans="2:2" ht="12.6">
      <c r="B418" s="1"/>
    </row>
    <row r="419" spans="2:2" ht="12.6">
      <c r="B419" s="1"/>
    </row>
    <row r="420" spans="2:2" ht="12.6">
      <c r="B420" s="1"/>
    </row>
    <row r="421" spans="2:2" ht="12.6">
      <c r="B421" s="1"/>
    </row>
    <row r="422" spans="2:2" ht="12.6">
      <c r="B422" s="1"/>
    </row>
    <row r="423" spans="2:2" ht="12.6">
      <c r="B423" s="1"/>
    </row>
    <row r="424" spans="2:2" ht="12.6">
      <c r="B424" s="1"/>
    </row>
    <row r="425" spans="2:2" ht="12.6">
      <c r="B425" s="1"/>
    </row>
    <row r="426" spans="2:2" ht="12.6">
      <c r="B426" s="1"/>
    </row>
    <row r="427" spans="2:2" ht="12.6">
      <c r="B427" s="1"/>
    </row>
    <row r="428" spans="2:2" ht="12.6">
      <c r="B428" s="1"/>
    </row>
    <row r="429" spans="2:2" ht="12.6">
      <c r="B429" s="1"/>
    </row>
    <row r="430" spans="2:2" ht="12.6">
      <c r="B430" s="1"/>
    </row>
    <row r="431" spans="2:2" ht="12.6">
      <c r="B431" s="1"/>
    </row>
    <row r="432" spans="2:2" ht="12.6">
      <c r="B432" s="1"/>
    </row>
    <row r="433" spans="2:2" ht="12.6">
      <c r="B433" s="1"/>
    </row>
    <row r="434" spans="2:2" ht="12.6">
      <c r="B434" s="1"/>
    </row>
    <row r="435" spans="2:2" ht="12.6">
      <c r="B435" s="1"/>
    </row>
    <row r="436" spans="2:2" ht="12.6">
      <c r="B436" s="1"/>
    </row>
    <row r="437" spans="2:2" ht="12.6">
      <c r="B437" s="1"/>
    </row>
    <row r="438" spans="2:2" ht="12.6">
      <c r="B438" s="1"/>
    </row>
    <row r="439" spans="2:2" ht="12.6">
      <c r="B439" s="1"/>
    </row>
    <row r="440" spans="2:2" ht="12.6">
      <c r="B440" s="1"/>
    </row>
    <row r="441" spans="2:2" ht="12.6">
      <c r="B441" s="1"/>
    </row>
    <row r="442" spans="2:2" ht="12.6">
      <c r="B442" s="1"/>
    </row>
    <row r="443" spans="2:2" ht="12.6">
      <c r="B443" s="1"/>
    </row>
    <row r="444" spans="2:2" ht="12.6">
      <c r="B444" s="1"/>
    </row>
    <row r="445" spans="2:2" ht="12.6">
      <c r="B445" s="1"/>
    </row>
    <row r="446" spans="2:2" ht="12.6">
      <c r="B446" s="1"/>
    </row>
    <row r="447" spans="2:2" ht="12.6">
      <c r="B447" s="1"/>
    </row>
    <row r="448" spans="2:2" ht="12.6">
      <c r="B448" s="1"/>
    </row>
    <row r="449" spans="2:2" ht="12.6">
      <c r="B449" s="1"/>
    </row>
    <row r="450" spans="2:2" ht="12.6">
      <c r="B450" s="1"/>
    </row>
    <row r="451" spans="2:2" ht="12.6">
      <c r="B451" s="1"/>
    </row>
    <row r="452" spans="2:2" ht="12.6">
      <c r="B452" s="1"/>
    </row>
    <row r="453" spans="2:2" ht="12.6">
      <c r="B453" s="1"/>
    </row>
    <row r="454" spans="2:2" ht="12.6">
      <c r="B454" s="1"/>
    </row>
    <row r="455" spans="2:2" ht="12.6">
      <c r="B455" s="1"/>
    </row>
    <row r="456" spans="2:2" ht="12.6">
      <c r="B456" s="1"/>
    </row>
    <row r="457" spans="2:2" ht="12.6">
      <c r="B457" s="1"/>
    </row>
    <row r="458" spans="2:2" ht="12.6">
      <c r="B458" s="1"/>
    </row>
    <row r="459" spans="2:2" ht="12.6">
      <c r="B459" s="1"/>
    </row>
    <row r="460" spans="2:2" ht="12.6">
      <c r="B460" s="1"/>
    </row>
    <row r="461" spans="2:2" ht="12.6">
      <c r="B461" s="1"/>
    </row>
    <row r="462" spans="2:2" ht="12.6">
      <c r="B462" s="1"/>
    </row>
    <row r="463" spans="2:2" ht="12.6">
      <c r="B463" s="1"/>
    </row>
    <row r="464" spans="2:2" ht="12.6">
      <c r="B464" s="1"/>
    </row>
    <row r="465" spans="2:2" ht="12.6">
      <c r="B465" s="1"/>
    </row>
    <row r="466" spans="2:2" ht="12.6">
      <c r="B466" s="1"/>
    </row>
    <row r="467" spans="2:2" ht="12.6">
      <c r="B467" s="1"/>
    </row>
    <row r="468" spans="2:2" ht="12.6">
      <c r="B468" s="1"/>
    </row>
    <row r="469" spans="2:2" ht="12.6">
      <c r="B469" s="1"/>
    </row>
    <row r="470" spans="2:2" ht="12.6">
      <c r="B470" s="1"/>
    </row>
    <row r="471" spans="2:2" ht="12.6">
      <c r="B471" s="1"/>
    </row>
    <row r="472" spans="2:2" ht="12.6">
      <c r="B472" s="1"/>
    </row>
    <row r="473" spans="2:2" ht="12.6">
      <c r="B473" s="1"/>
    </row>
    <row r="474" spans="2:2" ht="12.6">
      <c r="B474" s="1"/>
    </row>
    <row r="475" spans="2:2" ht="12.6">
      <c r="B475" s="1"/>
    </row>
    <row r="476" spans="2:2" ht="12.6">
      <c r="B476" s="1"/>
    </row>
    <row r="477" spans="2:2" ht="12.6">
      <c r="B477" s="1"/>
    </row>
    <row r="478" spans="2:2" ht="12.6">
      <c r="B478" s="1"/>
    </row>
    <row r="479" spans="2:2" ht="12.6">
      <c r="B479" s="1"/>
    </row>
    <row r="480" spans="2:2" ht="12.6">
      <c r="B480" s="1"/>
    </row>
    <row r="481" spans="2:2" ht="12.6">
      <c r="B481" s="1"/>
    </row>
    <row r="482" spans="2:2" ht="12.6">
      <c r="B482" s="1"/>
    </row>
    <row r="483" spans="2:2" ht="12.6">
      <c r="B483" s="1"/>
    </row>
    <row r="484" spans="2:2" ht="12.6">
      <c r="B484" s="1"/>
    </row>
    <row r="485" spans="2:2" ht="12.6">
      <c r="B485" s="1"/>
    </row>
    <row r="486" spans="2:2" ht="12.6">
      <c r="B486" s="1"/>
    </row>
    <row r="487" spans="2:2" ht="12.6">
      <c r="B487" s="1"/>
    </row>
    <row r="488" spans="2:2" ht="12.6">
      <c r="B488" s="1"/>
    </row>
    <row r="489" spans="2:2" ht="12.6">
      <c r="B489" s="1"/>
    </row>
    <row r="490" spans="2:2" ht="12.6">
      <c r="B490" s="1"/>
    </row>
    <row r="491" spans="2:2" ht="12.6">
      <c r="B491" s="1"/>
    </row>
    <row r="492" spans="2:2" ht="12.6">
      <c r="B492" s="1"/>
    </row>
    <row r="493" spans="2:2" ht="12.6">
      <c r="B493" s="1"/>
    </row>
    <row r="494" spans="2:2" ht="12.6">
      <c r="B494" s="1"/>
    </row>
    <row r="495" spans="2:2" ht="12.6">
      <c r="B495" s="1"/>
    </row>
    <row r="496" spans="2:2" ht="12.6">
      <c r="B496" s="1"/>
    </row>
    <row r="497" spans="2:2" ht="12.6">
      <c r="B497" s="1"/>
    </row>
    <row r="498" spans="2:2" ht="12.6">
      <c r="B498" s="1"/>
    </row>
    <row r="499" spans="2:2" ht="12.6">
      <c r="B499" s="1"/>
    </row>
    <row r="500" spans="2:2" ht="12.6">
      <c r="B500" s="1"/>
    </row>
    <row r="501" spans="2:2" ht="12.6">
      <c r="B501" s="1"/>
    </row>
    <row r="502" spans="2:2" ht="12.6">
      <c r="B502" s="1"/>
    </row>
    <row r="503" spans="2:2" ht="12.6">
      <c r="B503" s="1"/>
    </row>
    <row r="504" spans="2:2" ht="12.6">
      <c r="B504" s="1"/>
    </row>
    <row r="505" spans="2:2" ht="12.6">
      <c r="B505" s="1"/>
    </row>
    <row r="506" spans="2:2" ht="12.6">
      <c r="B506" s="1"/>
    </row>
    <row r="507" spans="2:2" ht="12.6">
      <c r="B507" s="1"/>
    </row>
    <row r="508" spans="2:2" ht="12.6">
      <c r="B508" s="1"/>
    </row>
    <row r="509" spans="2:2" ht="12.6">
      <c r="B509" s="1"/>
    </row>
    <row r="510" spans="2:2" ht="12.6">
      <c r="B510" s="1"/>
    </row>
    <row r="511" spans="2:2" ht="12.6">
      <c r="B511" s="1"/>
    </row>
    <row r="512" spans="2:2" ht="12.6">
      <c r="B512" s="1"/>
    </row>
    <row r="513" spans="2:2" ht="12.6">
      <c r="B513" s="1"/>
    </row>
    <row r="514" spans="2:2" ht="12.6">
      <c r="B514" s="1"/>
    </row>
    <row r="515" spans="2:2" ht="12.6">
      <c r="B515" s="1"/>
    </row>
    <row r="516" spans="2:2" ht="12.6">
      <c r="B516" s="1"/>
    </row>
    <row r="517" spans="2:2" ht="12.6">
      <c r="B517" s="1"/>
    </row>
    <row r="518" spans="2:2" ht="12.6">
      <c r="B518" s="1"/>
    </row>
    <row r="519" spans="2:2" ht="12.6">
      <c r="B519" s="1"/>
    </row>
    <row r="520" spans="2:2" ht="12.6">
      <c r="B520" s="1"/>
    </row>
    <row r="521" spans="2:2" ht="12.6">
      <c r="B521" s="1"/>
    </row>
    <row r="522" spans="2:2" ht="12.6">
      <c r="B522" s="1"/>
    </row>
    <row r="523" spans="2:2" ht="12.6">
      <c r="B523" s="1"/>
    </row>
    <row r="524" spans="2:2" ht="12.6">
      <c r="B524" s="1"/>
    </row>
    <row r="525" spans="2:2" ht="12.6">
      <c r="B525" s="1"/>
    </row>
    <row r="526" spans="2:2" ht="12.6">
      <c r="B526" s="1"/>
    </row>
    <row r="527" spans="2:2" ht="12.6">
      <c r="B527" s="1"/>
    </row>
    <row r="528" spans="2:2" ht="12.6">
      <c r="B528" s="1"/>
    </row>
    <row r="529" spans="2:2" ht="12.6">
      <c r="B529" s="1"/>
    </row>
    <row r="530" spans="2:2" ht="12.6">
      <c r="B530" s="1"/>
    </row>
    <row r="531" spans="2:2" ht="12.6">
      <c r="B531" s="1"/>
    </row>
    <row r="532" spans="2:2" ht="12.6">
      <c r="B532" s="1"/>
    </row>
    <row r="533" spans="2:2" ht="12.6">
      <c r="B533" s="1"/>
    </row>
    <row r="534" spans="2:2" ht="12.6">
      <c r="B534" s="1"/>
    </row>
    <row r="535" spans="2:2" ht="12.6">
      <c r="B535" s="1"/>
    </row>
    <row r="536" spans="2:2" ht="12.6">
      <c r="B536" s="1"/>
    </row>
    <row r="537" spans="2:2" ht="12.6">
      <c r="B537" s="1"/>
    </row>
    <row r="538" spans="2:2" ht="12.6">
      <c r="B538" s="1"/>
    </row>
    <row r="539" spans="2:2" ht="12.6">
      <c r="B539" s="1"/>
    </row>
    <row r="540" spans="2:2" ht="12.6">
      <c r="B540" s="1"/>
    </row>
    <row r="541" spans="2:2" ht="12.6">
      <c r="B541" s="1"/>
    </row>
    <row r="542" spans="2:2" ht="12.6">
      <c r="B542" s="1"/>
    </row>
    <row r="543" spans="2:2" ht="12.6">
      <c r="B543" s="1"/>
    </row>
    <row r="544" spans="2:2" ht="12.6">
      <c r="B544" s="1"/>
    </row>
    <row r="545" spans="2:2" ht="12.6">
      <c r="B545" s="1"/>
    </row>
    <row r="546" spans="2:2" ht="12.6">
      <c r="B546" s="1"/>
    </row>
    <row r="547" spans="2:2" ht="12.6">
      <c r="B547" s="1"/>
    </row>
    <row r="548" spans="2:2" ht="12.6">
      <c r="B548" s="1"/>
    </row>
    <row r="549" spans="2:2" ht="12.6">
      <c r="B549" s="1"/>
    </row>
    <row r="550" spans="2:2" ht="12.6">
      <c r="B550" s="1"/>
    </row>
    <row r="551" spans="2:2" ht="12.6">
      <c r="B551" s="1"/>
    </row>
    <row r="552" spans="2:2" ht="12.6">
      <c r="B552" s="1"/>
    </row>
    <row r="553" spans="2:2" ht="12.6">
      <c r="B553" s="1"/>
    </row>
    <row r="554" spans="2:2" ht="12.6">
      <c r="B554" s="1"/>
    </row>
    <row r="555" spans="2:2" ht="12.6">
      <c r="B555" s="1"/>
    </row>
    <row r="556" spans="2:2" ht="12.6">
      <c r="B556" s="1"/>
    </row>
    <row r="557" spans="2:2" ht="12.6">
      <c r="B557" s="1"/>
    </row>
    <row r="558" spans="2:2" ht="12.6">
      <c r="B558" s="1"/>
    </row>
    <row r="559" spans="2:2" ht="12.6">
      <c r="B559" s="1"/>
    </row>
    <row r="560" spans="2:2" ht="12.6">
      <c r="B560" s="1"/>
    </row>
    <row r="561" spans="2:2" ht="12.6">
      <c r="B561" s="1"/>
    </row>
    <row r="562" spans="2:2" ht="12.6">
      <c r="B562" s="1"/>
    </row>
    <row r="563" spans="2:2" ht="12.6">
      <c r="B563" s="1"/>
    </row>
    <row r="564" spans="2:2" ht="12.6">
      <c r="B564" s="1"/>
    </row>
    <row r="565" spans="2:2" ht="12.6">
      <c r="B565" s="1"/>
    </row>
    <row r="566" spans="2:2" ht="12.6">
      <c r="B566" s="1"/>
    </row>
    <row r="567" spans="2:2" ht="12.6">
      <c r="B567" s="1"/>
    </row>
    <row r="568" spans="2:2" ht="12.6">
      <c r="B568" s="1"/>
    </row>
    <row r="569" spans="2:2" ht="12.6">
      <c r="B569" s="1"/>
    </row>
    <row r="570" spans="2:2" ht="12.6">
      <c r="B570" s="1"/>
    </row>
    <row r="571" spans="2:2" ht="12.6">
      <c r="B571" s="1"/>
    </row>
    <row r="572" spans="2:2" ht="12.6">
      <c r="B572" s="1"/>
    </row>
    <row r="573" spans="2:2" ht="12.6">
      <c r="B573" s="1"/>
    </row>
    <row r="574" spans="2:2" ht="12.6">
      <c r="B574" s="1"/>
    </row>
    <row r="575" spans="2:2" ht="12.6">
      <c r="B575" s="1"/>
    </row>
    <row r="576" spans="2:2" ht="12.6">
      <c r="B576" s="1"/>
    </row>
    <row r="577" spans="2:2" ht="12.6">
      <c r="B577" s="1"/>
    </row>
    <row r="578" spans="2:2" ht="12.6">
      <c r="B578" s="1"/>
    </row>
    <row r="579" spans="2:2" ht="12.6">
      <c r="B579" s="1"/>
    </row>
    <row r="580" spans="2:2" ht="12.6">
      <c r="B580" s="1"/>
    </row>
    <row r="581" spans="2:2" ht="12.6">
      <c r="B581" s="1"/>
    </row>
    <row r="582" spans="2:2" ht="12.6">
      <c r="B582" s="1"/>
    </row>
    <row r="583" spans="2:2" ht="12.6">
      <c r="B583" s="1"/>
    </row>
    <row r="584" spans="2:2" ht="12.6">
      <c r="B584" s="1"/>
    </row>
    <row r="585" spans="2:2" ht="12.6">
      <c r="B585" s="1"/>
    </row>
    <row r="586" spans="2:2" ht="12.6">
      <c r="B586" s="1"/>
    </row>
    <row r="587" spans="2:2" ht="12.6">
      <c r="B587" s="1"/>
    </row>
    <row r="588" spans="2:2" ht="12.6">
      <c r="B588" s="1"/>
    </row>
    <row r="589" spans="2:2" ht="12.6">
      <c r="B589" s="1"/>
    </row>
    <row r="590" spans="2:2" ht="12.6">
      <c r="B590" s="1"/>
    </row>
    <row r="591" spans="2:2" ht="12.6">
      <c r="B591" s="1"/>
    </row>
    <row r="592" spans="2:2" ht="12.6">
      <c r="B592" s="1"/>
    </row>
    <row r="593" spans="2:2" ht="12.6">
      <c r="B593" s="1"/>
    </row>
    <row r="594" spans="2:2" ht="12.6">
      <c r="B594" s="1"/>
    </row>
    <row r="595" spans="2:2" ht="12.6">
      <c r="B595" s="1"/>
    </row>
    <row r="596" spans="2:2" ht="12.6">
      <c r="B596" s="1"/>
    </row>
    <row r="597" spans="2:2" ht="12.6">
      <c r="B597" s="1"/>
    </row>
    <row r="598" spans="2:2" ht="12.6">
      <c r="B598" s="1"/>
    </row>
    <row r="599" spans="2:2" ht="12.6">
      <c r="B599" s="1"/>
    </row>
    <row r="600" spans="2:2" ht="12.6">
      <c r="B600" s="1"/>
    </row>
    <row r="601" spans="2:2" ht="12.6">
      <c r="B601" s="1"/>
    </row>
    <row r="602" spans="2:2" ht="12.6">
      <c r="B602" s="1"/>
    </row>
    <row r="603" spans="2:2" ht="12.6">
      <c r="B603" s="1"/>
    </row>
    <row r="604" spans="2:2" ht="12.6">
      <c r="B604" s="1"/>
    </row>
    <row r="605" spans="2:2" ht="12.6">
      <c r="B605" s="1"/>
    </row>
    <row r="606" spans="2:2" ht="12.6">
      <c r="B606" s="1"/>
    </row>
    <row r="607" spans="2:2" ht="12.6">
      <c r="B607" s="1"/>
    </row>
    <row r="608" spans="2:2" ht="12.6">
      <c r="B608" s="1"/>
    </row>
    <row r="609" spans="2:2" ht="12.6">
      <c r="B609" s="1"/>
    </row>
    <row r="610" spans="2:2" ht="12.6">
      <c r="B610" s="1"/>
    </row>
    <row r="611" spans="2:2" ht="12.6">
      <c r="B611" s="1"/>
    </row>
    <row r="612" spans="2:2" ht="12.6">
      <c r="B612" s="1"/>
    </row>
    <row r="613" spans="2:2" ht="12.6">
      <c r="B613" s="1"/>
    </row>
    <row r="614" spans="2:2" ht="12.6">
      <c r="B614" s="1"/>
    </row>
    <row r="615" spans="2:2" ht="12.6">
      <c r="B615" s="1"/>
    </row>
    <row r="616" spans="2:2" ht="12.6">
      <c r="B616" s="1"/>
    </row>
    <row r="617" spans="2:2" ht="12.6">
      <c r="B617" s="1"/>
    </row>
    <row r="618" spans="2:2" ht="12.6">
      <c r="B618" s="1"/>
    </row>
    <row r="619" spans="2:2" ht="12.6">
      <c r="B619" s="1"/>
    </row>
    <row r="620" spans="2:2" ht="12.6">
      <c r="B620" s="1"/>
    </row>
    <row r="621" spans="2:2" ht="12.6">
      <c r="B621" s="1"/>
    </row>
    <row r="622" spans="2:2" ht="12.6">
      <c r="B622" s="1"/>
    </row>
    <row r="623" spans="2:2" ht="12.6">
      <c r="B623" s="1"/>
    </row>
    <row r="624" spans="2:2" ht="12.6">
      <c r="B624" s="1"/>
    </row>
    <row r="625" spans="2:2" ht="12.6">
      <c r="B625" s="1"/>
    </row>
    <row r="626" spans="2:2" ht="12.6">
      <c r="B626" s="1"/>
    </row>
    <row r="627" spans="2:2" ht="12.6">
      <c r="B627" s="1"/>
    </row>
    <row r="628" spans="2:2" ht="12.6">
      <c r="B628" s="1"/>
    </row>
    <row r="629" spans="2:2" ht="12.6">
      <c r="B629" s="1"/>
    </row>
    <row r="630" spans="2:2" ht="12.6">
      <c r="B630" s="1"/>
    </row>
    <row r="631" spans="2:2" ht="12.6">
      <c r="B631" s="1"/>
    </row>
    <row r="632" spans="2:2" ht="12.6">
      <c r="B632" s="1"/>
    </row>
    <row r="633" spans="2:2" ht="12.6">
      <c r="B633" s="1"/>
    </row>
    <row r="634" spans="2:2" ht="12.6">
      <c r="B634" s="1"/>
    </row>
    <row r="635" spans="2:2" ht="12.6">
      <c r="B635" s="1"/>
    </row>
    <row r="636" spans="2:2" ht="12.6">
      <c r="B636" s="1"/>
    </row>
    <row r="637" spans="2:2" ht="12.6">
      <c r="B637" s="1"/>
    </row>
    <row r="638" spans="2:2" ht="12.6">
      <c r="B638" s="1"/>
    </row>
    <row r="639" spans="2:2" ht="12.6">
      <c r="B639" s="1"/>
    </row>
    <row r="640" spans="2:2" ht="12.6">
      <c r="B640" s="1"/>
    </row>
    <row r="641" spans="2:2" ht="12.6">
      <c r="B641" s="1"/>
    </row>
    <row r="642" spans="2:2" ht="12.6">
      <c r="B642" s="1"/>
    </row>
    <row r="643" spans="2:2" ht="12.6">
      <c r="B643" s="1"/>
    </row>
    <row r="644" spans="2:2" ht="12.6">
      <c r="B644" s="1"/>
    </row>
    <row r="645" spans="2:2" ht="12.6">
      <c r="B645" s="1"/>
    </row>
    <row r="646" spans="2:2" ht="12.6">
      <c r="B646" s="1"/>
    </row>
    <row r="647" spans="2:2" ht="12.6">
      <c r="B647" s="1"/>
    </row>
    <row r="648" spans="2:2" ht="12.6">
      <c r="B648" s="1"/>
    </row>
    <row r="649" spans="2:2" ht="12.6">
      <c r="B649" s="1"/>
    </row>
    <row r="650" spans="2:2" ht="12.6">
      <c r="B650" s="1"/>
    </row>
    <row r="651" spans="2:2" ht="12.6">
      <c r="B651" s="1"/>
    </row>
    <row r="652" spans="2:2" ht="12.6">
      <c r="B652" s="1"/>
    </row>
    <row r="653" spans="2:2" ht="12.6">
      <c r="B653" s="1"/>
    </row>
    <row r="654" spans="2:2" ht="12.6">
      <c r="B654" s="1"/>
    </row>
    <row r="655" spans="2:2" ht="12.6">
      <c r="B655" s="1"/>
    </row>
    <row r="656" spans="2:2" ht="12.6">
      <c r="B656" s="1"/>
    </row>
    <row r="657" spans="2:2" ht="12.6">
      <c r="B657" s="1"/>
    </row>
    <row r="658" spans="2:2" ht="12.6">
      <c r="B658" s="1"/>
    </row>
    <row r="659" spans="2:2" ht="12.6">
      <c r="B659" s="1"/>
    </row>
    <row r="660" spans="2:2" ht="12.6">
      <c r="B660" s="1"/>
    </row>
    <row r="661" spans="2:2" ht="12.6">
      <c r="B661" s="1"/>
    </row>
    <row r="662" spans="2:2" ht="12.6">
      <c r="B662" s="1"/>
    </row>
    <row r="663" spans="2:2" ht="12.6">
      <c r="B663" s="1"/>
    </row>
    <row r="664" spans="2:2" ht="12.6">
      <c r="B664" s="1"/>
    </row>
    <row r="665" spans="2:2" ht="12.6">
      <c r="B665" s="1"/>
    </row>
    <row r="666" spans="2:2" ht="12.6">
      <c r="B666" s="1"/>
    </row>
    <row r="667" spans="2:2" ht="12.6">
      <c r="B667" s="1"/>
    </row>
    <row r="668" spans="2:2" ht="12.6">
      <c r="B668" s="1"/>
    </row>
    <row r="669" spans="2:2" ht="12.6">
      <c r="B669" s="1"/>
    </row>
    <row r="670" spans="2:2" ht="12.6">
      <c r="B670" s="1"/>
    </row>
    <row r="671" spans="2:2" ht="12.6">
      <c r="B671" s="1"/>
    </row>
    <row r="672" spans="2:2" ht="12.6">
      <c r="B672" s="1"/>
    </row>
    <row r="673" spans="2:2" ht="12.6">
      <c r="B673" s="1"/>
    </row>
    <row r="674" spans="2:2" ht="12.6">
      <c r="B674" s="1"/>
    </row>
    <row r="675" spans="2:2" ht="12.6">
      <c r="B675" s="1"/>
    </row>
    <row r="676" spans="2:2" ht="12.6">
      <c r="B676" s="1"/>
    </row>
    <row r="677" spans="2:2" ht="12.6">
      <c r="B677" s="1"/>
    </row>
    <row r="678" spans="2:2" ht="12.6">
      <c r="B678" s="1"/>
    </row>
    <row r="679" spans="2:2" ht="12.6">
      <c r="B679" s="1"/>
    </row>
    <row r="680" spans="2:2" ht="12.6">
      <c r="B680" s="1"/>
    </row>
    <row r="681" spans="2:2" ht="12.6">
      <c r="B681" s="1"/>
    </row>
    <row r="682" spans="2:2" ht="12.6">
      <c r="B682" s="1"/>
    </row>
    <row r="683" spans="2:2" ht="12.6">
      <c r="B683" s="1"/>
    </row>
    <row r="684" spans="2:2" ht="12.6">
      <c r="B684" s="1"/>
    </row>
    <row r="685" spans="2:2" ht="12.6">
      <c r="B685" s="1"/>
    </row>
    <row r="686" spans="2:2" ht="12.6">
      <c r="B686" s="1"/>
    </row>
    <row r="687" spans="2:2" ht="12.6">
      <c r="B687" s="1"/>
    </row>
    <row r="688" spans="2:2" ht="12.6">
      <c r="B688" s="1"/>
    </row>
    <row r="689" spans="2:2" ht="12.6">
      <c r="B689" s="1"/>
    </row>
    <row r="690" spans="2:2" ht="12.6">
      <c r="B690" s="1"/>
    </row>
    <row r="691" spans="2:2" ht="12.6">
      <c r="B691" s="1"/>
    </row>
    <row r="692" spans="2:2" ht="12.6">
      <c r="B692" s="1"/>
    </row>
    <row r="693" spans="2:2" ht="12.6">
      <c r="B693" s="1"/>
    </row>
    <row r="694" spans="2:2" ht="12.6">
      <c r="B694" s="1"/>
    </row>
    <row r="695" spans="2:2" ht="12.6">
      <c r="B695" s="1"/>
    </row>
    <row r="696" spans="2:2" ht="12.6">
      <c r="B696" s="1"/>
    </row>
    <row r="697" spans="2:2" ht="12.6">
      <c r="B697" s="1"/>
    </row>
    <row r="698" spans="2:2" ht="12.6">
      <c r="B698" s="1"/>
    </row>
    <row r="699" spans="2:2" ht="12.6">
      <c r="B699" s="1"/>
    </row>
    <row r="700" spans="2:2" ht="12.6">
      <c r="B700" s="1"/>
    </row>
    <row r="701" spans="2:2" ht="12.6">
      <c r="B701" s="1"/>
    </row>
    <row r="702" spans="2:2" ht="12.6">
      <c r="B702" s="1"/>
    </row>
    <row r="703" spans="2:2" ht="12.6">
      <c r="B703" s="1"/>
    </row>
    <row r="704" spans="2:2" ht="12.6">
      <c r="B704" s="1"/>
    </row>
    <row r="705" spans="2:2" ht="12.6">
      <c r="B705" s="1"/>
    </row>
    <row r="706" spans="2:2" ht="12.6">
      <c r="B706" s="1"/>
    </row>
    <row r="707" spans="2:2" ht="12.6">
      <c r="B707" s="1"/>
    </row>
    <row r="708" spans="2:2" ht="12.6">
      <c r="B708" s="1"/>
    </row>
    <row r="709" spans="2:2" ht="12.6">
      <c r="B709" s="1"/>
    </row>
    <row r="710" spans="2:2" ht="12.6">
      <c r="B710" s="1"/>
    </row>
    <row r="711" spans="2:2" ht="12.6">
      <c r="B711" s="1"/>
    </row>
    <row r="712" spans="2:2" ht="12.6">
      <c r="B712" s="1"/>
    </row>
    <row r="713" spans="2:2" ht="12.6">
      <c r="B713" s="1"/>
    </row>
    <row r="714" spans="2:2" ht="12.6">
      <c r="B714" s="1"/>
    </row>
    <row r="715" spans="2:2" ht="12.6">
      <c r="B715" s="1"/>
    </row>
    <row r="716" spans="2:2" ht="12.6">
      <c r="B716" s="1"/>
    </row>
    <row r="717" spans="2:2" ht="12.6">
      <c r="B717" s="1"/>
    </row>
    <row r="718" spans="2:2" ht="12.6">
      <c r="B718" s="1"/>
    </row>
    <row r="719" spans="2:2" ht="12.6">
      <c r="B719" s="1"/>
    </row>
    <row r="720" spans="2:2" ht="12.6">
      <c r="B720" s="1"/>
    </row>
    <row r="721" spans="2:2" ht="12.6">
      <c r="B721" s="1"/>
    </row>
    <row r="722" spans="2:2" ht="12.6">
      <c r="B722" s="1"/>
    </row>
    <row r="723" spans="2:2" ht="12.6">
      <c r="B723" s="1"/>
    </row>
    <row r="724" spans="2:2" ht="12.6">
      <c r="B724" s="1"/>
    </row>
    <row r="725" spans="2:2" ht="12.6">
      <c r="B725" s="1"/>
    </row>
    <row r="726" spans="2:2" ht="12.6">
      <c r="B726" s="1"/>
    </row>
    <row r="727" spans="2:2" ht="12.6">
      <c r="B727" s="1"/>
    </row>
    <row r="728" spans="2:2" ht="12.6">
      <c r="B728" s="1"/>
    </row>
    <row r="729" spans="2:2" ht="12.6">
      <c r="B729" s="1"/>
    </row>
    <row r="730" spans="2:2" ht="12.6">
      <c r="B730" s="1"/>
    </row>
    <row r="731" spans="2:2" ht="12.6">
      <c r="B731" s="1"/>
    </row>
    <row r="732" spans="2:2" ht="12.6">
      <c r="B732" s="1"/>
    </row>
    <row r="733" spans="2:2" ht="12.6">
      <c r="B733" s="1"/>
    </row>
    <row r="734" spans="2:2" ht="12.6">
      <c r="B734" s="1"/>
    </row>
    <row r="735" spans="2:2" ht="12.6">
      <c r="B735" s="1"/>
    </row>
    <row r="736" spans="2:2" ht="12.6">
      <c r="B736" s="1"/>
    </row>
    <row r="737" spans="2:2" ht="12.6">
      <c r="B737" s="1"/>
    </row>
    <row r="738" spans="2:2" ht="12.6">
      <c r="B738" s="1"/>
    </row>
    <row r="739" spans="2:2" ht="12.6">
      <c r="B739" s="1"/>
    </row>
    <row r="740" spans="2:2" ht="12.6">
      <c r="B740" s="1"/>
    </row>
    <row r="741" spans="2:2" ht="12.6">
      <c r="B741" s="1"/>
    </row>
    <row r="742" spans="2:2" ht="12.6">
      <c r="B742" s="1"/>
    </row>
    <row r="743" spans="2:2" ht="12.6">
      <c r="B743" s="1"/>
    </row>
    <row r="744" spans="2:2" ht="12.6">
      <c r="B744" s="1"/>
    </row>
    <row r="745" spans="2:2" ht="12.6">
      <c r="B745" s="1"/>
    </row>
    <row r="746" spans="2:2" ht="12.6">
      <c r="B746" s="1"/>
    </row>
    <row r="747" spans="2:2" ht="12.6">
      <c r="B747" s="1"/>
    </row>
    <row r="748" spans="2:2" ht="12.6">
      <c r="B748" s="1"/>
    </row>
    <row r="749" spans="2:2" ht="12.6">
      <c r="B749" s="1"/>
    </row>
    <row r="750" spans="2:2" ht="12.6">
      <c r="B750" s="1"/>
    </row>
    <row r="751" spans="2:2" ht="12.6">
      <c r="B751" s="1"/>
    </row>
    <row r="752" spans="2:2" ht="12.6">
      <c r="B752" s="1"/>
    </row>
    <row r="753" spans="2:2" ht="12.6">
      <c r="B753" s="1"/>
    </row>
    <row r="754" spans="2:2" ht="12.6">
      <c r="B754" s="1"/>
    </row>
    <row r="755" spans="2:2" ht="12.6">
      <c r="B755" s="1"/>
    </row>
    <row r="756" spans="2:2" ht="12.6">
      <c r="B756" s="1"/>
    </row>
    <row r="757" spans="2:2" ht="12.6">
      <c r="B757" s="1"/>
    </row>
    <row r="758" spans="2:2" ht="12.6">
      <c r="B758" s="1"/>
    </row>
    <row r="759" spans="2:2" ht="12.6">
      <c r="B759" s="1"/>
    </row>
    <row r="760" spans="2:2" ht="12.6">
      <c r="B760" s="1"/>
    </row>
    <row r="761" spans="2:2" ht="12.6">
      <c r="B761" s="1"/>
    </row>
    <row r="762" spans="2:2" ht="12.6">
      <c r="B762" s="1"/>
    </row>
    <row r="763" spans="2:2" ht="12.6">
      <c r="B763" s="1"/>
    </row>
    <row r="764" spans="2:2" ht="12.6">
      <c r="B764" s="1"/>
    </row>
    <row r="765" spans="2:2" ht="12.6">
      <c r="B765" s="1"/>
    </row>
    <row r="766" spans="2:2" ht="12.6">
      <c r="B766" s="1"/>
    </row>
    <row r="767" spans="2:2" ht="12.6">
      <c r="B767" s="1"/>
    </row>
    <row r="768" spans="2:2" ht="12.6">
      <c r="B768" s="1"/>
    </row>
    <row r="769" spans="2:2" ht="12.6">
      <c r="B769" s="1"/>
    </row>
    <row r="770" spans="2:2" ht="12.6">
      <c r="B770" s="1"/>
    </row>
    <row r="771" spans="2:2" ht="12.6">
      <c r="B771" s="1"/>
    </row>
    <row r="772" spans="2:2" ht="12.6">
      <c r="B772" s="1"/>
    </row>
    <row r="773" spans="2:2" ht="12.6">
      <c r="B773" s="1"/>
    </row>
    <row r="774" spans="2:2" ht="12.6">
      <c r="B774" s="1"/>
    </row>
    <row r="775" spans="2:2" ht="12.6">
      <c r="B775" s="1"/>
    </row>
    <row r="776" spans="2:2" ht="12.6">
      <c r="B776" s="1"/>
    </row>
    <row r="777" spans="2:2" ht="12.6">
      <c r="B777" s="1"/>
    </row>
    <row r="778" spans="2:2" ht="12.6">
      <c r="B778" s="1"/>
    </row>
    <row r="779" spans="2:2" ht="12.6">
      <c r="B779" s="1"/>
    </row>
    <row r="780" spans="2:2" ht="12.6">
      <c r="B780" s="1"/>
    </row>
    <row r="781" spans="2:2" ht="12.6">
      <c r="B781" s="1"/>
    </row>
    <row r="782" spans="2:2" ht="12.6">
      <c r="B782" s="1"/>
    </row>
    <row r="783" spans="2:2" ht="12.6">
      <c r="B783" s="1"/>
    </row>
    <row r="784" spans="2:2" ht="12.6">
      <c r="B784" s="1"/>
    </row>
    <row r="785" spans="2:2" ht="12.6">
      <c r="B785" s="1"/>
    </row>
    <row r="786" spans="2:2" ht="12.6">
      <c r="B786" s="1"/>
    </row>
    <row r="787" spans="2:2" ht="12.6">
      <c r="B787" s="1"/>
    </row>
    <row r="788" spans="2:2" ht="12.6">
      <c r="B788" s="1"/>
    </row>
    <row r="789" spans="2:2" ht="12.6">
      <c r="B789" s="1"/>
    </row>
    <row r="790" spans="2:2" ht="12.6">
      <c r="B790" s="1"/>
    </row>
    <row r="791" spans="2:2" ht="12.6">
      <c r="B791" s="1"/>
    </row>
    <row r="792" spans="2:2" ht="12.6">
      <c r="B792" s="1"/>
    </row>
    <row r="793" spans="2:2" ht="12.6">
      <c r="B793" s="1"/>
    </row>
    <row r="794" spans="2:2" ht="12.6">
      <c r="B794" s="1"/>
    </row>
    <row r="795" spans="2:2" ht="12.6">
      <c r="B795" s="1"/>
    </row>
    <row r="796" spans="2:2" ht="12.6">
      <c r="B796" s="1"/>
    </row>
    <row r="797" spans="2:2" ht="12.6">
      <c r="B797" s="1"/>
    </row>
    <row r="798" spans="2:2" ht="12.6">
      <c r="B798" s="1"/>
    </row>
    <row r="799" spans="2:2" ht="12.6">
      <c r="B799" s="1"/>
    </row>
    <row r="800" spans="2:2" ht="12.6">
      <c r="B800" s="1"/>
    </row>
    <row r="801" spans="2:2" ht="12.6">
      <c r="B801" s="1"/>
    </row>
    <row r="802" spans="2:2" ht="12.6">
      <c r="B802" s="1"/>
    </row>
    <row r="803" spans="2:2" ht="12.6">
      <c r="B803" s="1"/>
    </row>
    <row r="804" spans="2:2" ht="12.6">
      <c r="B804" s="1"/>
    </row>
    <row r="805" spans="2:2" ht="12.6">
      <c r="B805" s="1"/>
    </row>
    <row r="806" spans="2:2" ht="12.6">
      <c r="B806" s="1"/>
    </row>
    <row r="807" spans="2:2" ht="12.6">
      <c r="B807" s="1"/>
    </row>
    <row r="808" spans="2:2" ht="12.6">
      <c r="B808" s="1"/>
    </row>
    <row r="809" spans="2:2" ht="12.6">
      <c r="B809" s="1"/>
    </row>
    <row r="810" spans="2:2" ht="12.6">
      <c r="B810" s="1"/>
    </row>
    <row r="811" spans="2:2" ht="12.6">
      <c r="B811" s="1"/>
    </row>
    <row r="812" spans="2:2" ht="12.6">
      <c r="B812" s="1"/>
    </row>
    <row r="813" spans="2:2" ht="12.6">
      <c r="B813" s="1"/>
    </row>
    <row r="814" spans="2:2" ht="12.6">
      <c r="B814" s="1"/>
    </row>
    <row r="815" spans="2:2" ht="12.6">
      <c r="B815" s="1"/>
    </row>
    <row r="816" spans="2:2" ht="12.6">
      <c r="B816" s="1"/>
    </row>
    <row r="817" spans="2:2" ht="12.6">
      <c r="B817" s="1"/>
    </row>
    <row r="818" spans="2:2" ht="12.6">
      <c r="B818" s="1"/>
    </row>
    <row r="819" spans="2:2" ht="12.6">
      <c r="B819" s="1"/>
    </row>
    <row r="820" spans="2:2" ht="12.6">
      <c r="B820" s="1"/>
    </row>
    <row r="821" spans="2:2" ht="12.6">
      <c r="B821" s="1"/>
    </row>
    <row r="822" spans="2:2" ht="12.6">
      <c r="B822" s="1"/>
    </row>
    <row r="823" spans="2:2" ht="12.6">
      <c r="B823" s="1"/>
    </row>
    <row r="824" spans="2:2" ht="12.6">
      <c r="B824" s="1"/>
    </row>
    <row r="825" spans="2:2" ht="12.6">
      <c r="B825" s="1"/>
    </row>
    <row r="826" spans="2:2" ht="12.6">
      <c r="B826" s="1"/>
    </row>
    <row r="827" spans="2:2" ht="12.6">
      <c r="B827" s="1"/>
    </row>
    <row r="828" spans="2:2" ht="12.6">
      <c r="B828" s="1"/>
    </row>
    <row r="829" spans="2:2" ht="12.6">
      <c r="B829" s="1"/>
    </row>
    <row r="830" spans="2:2" ht="12.6">
      <c r="B830" s="1"/>
    </row>
    <row r="831" spans="2:2" ht="12.6">
      <c r="B831" s="1"/>
    </row>
    <row r="832" spans="2:2" ht="12.6">
      <c r="B832" s="1"/>
    </row>
    <row r="833" spans="2:2" ht="12.6">
      <c r="B833" s="1"/>
    </row>
    <row r="834" spans="2:2" ht="12.6">
      <c r="B834" s="1"/>
    </row>
    <row r="835" spans="2:2" ht="12.6">
      <c r="B835" s="1"/>
    </row>
    <row r="836" spans="2:2" ht="12.6">
      <c r="B836" s="1"/>
    </row>
    <row r="837" spans="2:2" ht="12.6">
      <c r="B837" s="1"/>
    </row>
    <row r="838" spans="2:2" ht="12.6">
      <c r="B838" s="1"/>
    </row>
    <row r="839" spans="2:2" ht="12.6">
      <c r="B839" s="1"/>
    </row>
    <row r="840" spans="2:2" ht="12.6">
      <c r="B840" s="1"/>
    </row>
    <row r="841" spans="2:2" ht="12.6">
      <c r="B841" s="1"/>
    </row>
    <row r="842" spans="2:2" ht="12.6">
      <c r="B842" s="1"/>
    </row>
    <row r="843" spans="2:2" ht="12.6">
      <c r="B843" s="1"/>
    </row>
    <row r="844" spans="2:2" ht="12.6">
      <c r="B844" s="1"/>
    </row>
    <row r="845" spans="2:2" ht="12.6">
      <c r="B845" s="1"/>
    </row>
    <row r="846" spans="2:2" ht="12.6">
      <c r="B846" s="1"/>
    </row>
    <row r="847" spans="2:2" ht="12.6">
      <c r="B847" s="1"/>
    </row>
    <row r="848" spans="2:2" ht="12.6">
      <c r="B848" s="1"/>
    </row>
    <row r="849" spans="2:2" ht="12.6">
      <c r="B849" s="1"/>
    </row>
    <row r="850" spans="2:2" ht="12.6">
      <c r="B850" s="1"/>
    </row>
    <row r="851" spans="2:2" ht="12.6">
      <c r="B851" s="1"/>
    </row>
    <row r="852" spans="2:2" ht="12.6">
      <c r="B852" s="1"/>
    </row>
    <row r="853" spans="2:2" ht="12.6">
      <c r="B853" s="1"/>
    </row>
    <row r="854" spans="2:2" ht="12.6">
      <c r="B854" s="1"/>
    </row>
    <row r="855" spans="2:2" ht="12.6">
      <c r="B855" s="1"/>
    </row>
    <row r="856" spans="2:2" ht="12.6">
      <c r="B856" s="1"/>
    </row>
    <row r="857" spans="2:2" ht="12.6">
      <c r="B857" s="1"/>
    </row>
    <row r="858" spans="2:2" ht="12.6">
      <c r="B858" s="1"/>
    </row>
    <row r="859" spans="2:2" ht="12.6">
      <c r="B859" s="1"/>
    </row>
    <row r="860" spans="2:2" ht="12.6">
      <c r="B860" s="1"/>
    </row>
    <row r="861" spans="2:2" ht="12.6">
      <c r="B861" s="1"/>
    </row>
    <row r="862" spans="2:2" ht="12.6">
      <c r="B862" s="1"/>
    </row>
    <row r="863" spans="2:2" ht="12.6">
      <c r="B863" s="1"/>
    </row>
    <row r="864" spans="2:2" ht="12.6">
      <c r="B864" s="1"/>
    </row>
    <row r="865" spans="2:2" ht="12.6">
      <c r="B865" s="1"/>
    </row>
    <row r="866" spans="2:2" ht="12.6">
      <c r="B866" s="1"/>
    </row>
    <row r="867" spans="2:2" ht="12.6">
      <c r="B867" s="1"/>
    </row>
    <row r="868" spans="2:2" ht="12.6">
      <c r="B868" s="1"/>
    </row>
    <row r="869" spans="2:2" ht="12.6">
      <c r="B869" s="1"/>
    </row>
    <row r="870" spans="2:2" ht="12.6">
      <c r="B870" s="1"/>
    </row>
    <row r="871" spans="2:2" ht="12.6">
      <c r="B871" s="1"/>
    </row>
    <row r="872" spans="2:2" ht="12.6">
      <c r="B872" s="1"/>
    </row>
    <row r="873" spans="2:2" ht="12.6">
      <c r="B873" s="1"/>
    </row>
    <row r="874" spans="2:2" ht="12.6">
      <c r="B874" s="1"/>
    </row>
    <row r="875" spans="2:2" ht="12.6">
      <c r="B875" s="1"/>
    </row>
    <row r="876" spans="2:2" ht="12.6">
      <c r="B876" s="1"/>
    </row>
    <row r="877" spans="2:2" ht="12.6">
      <c r="B877" s="1"/>
    </row>
    <row r="878" spans="2:2" ht="12.6">
      <c r="B878" s="1"/>
    </row>
    <row r="879" spans="2:2" ht="12.6">
      <c r="B879" s="1"/>
    </row>
    <row r="880" spans="2:2" ht="12.6">
      <c r="B880" s="1"/>
    </row>
    <row r="881" spans="2:2" ht="12.6">
      <c r="B881" s="1"/>
    </row>
    <row r="882" spans="2:2" ht="12.6">
      <c r="B882" s="1"/>
    </row>
    <row r="883" spans="2:2" ht="12.6">
      <c r="B883" s="1"/>
    </row>
    <row r="884" spans="2:2" ht="12.6">
      <c r="B884" s="1"/>
    </row>
    <row r="885" spans="2:2" ht="12.6">
      <c r="B885" s="1"/>
    </row>
    <row r="886" spans="2:2" ht="12.6">
      <c r="B886" s="1"/>
    </row>
    <row r="887" spans="2:2" ht="12.6">
      <c r="B887" s="1"/>
    </row>
    <row r="888" spans="2:2" ht="12.6">
      <c r="B888" s="1"/>
    </row>
    <row r="889" spans="2:2" ht="12.6">
      <c r="B889" s="1"/>
    </row>
    <row r="890" spans="2:2" ht="12.6">
      <c r="B890" s="1"/>
    </row>
    <row r="891" spans="2:2" ht="12.6">
      <c r="B891" s="1"/>
    </row>
    <row r="892" spans="2:2" ht="12.6">
      <c r="B892" s="1"/>
    </row>
    <row r="893" spans="2:2" ht="12.6">
      <c r="B893" s="1"/>
    </row>
    <row r="894" spans="2:2" ht="12.6">
      <c r="B894" s="1"/>
    </row>
    <row r="895" spans="2:2" ht="12.6">
      <c r="B895" s="1"/>
    </row>
    <row r="896" spans="2:2" ht="12.6">
      <c r="B896" s="1"/>
    </row>
    <row r="897" spans="2:2" ht="12.6">
      <c r="B897" s="1"/>
    </row>
    <row r="898" spans="2:2" ht="12.6">
      <c r="B898" s="1"/>
    </row>
    <row r="899" spans="2:2" ht="12.6">
      <c r="B899" s="1"/>
    </row>
    <row r="900" spans="2:2" ht="12.6">
      <c r="B900" s="1"/>
    </row>
    <row r="901" spans="2:2" ht="12.6">
      <c r="B901" s="1"/>
    </row>
    <row r="902" spans="2:2" ht="12.6">
      <c r="B902" s="1"/>
    </row>
    <row r="903" spans="2:2" ht="12.6">
      <c r="B903" s="1"/>
    </row>
    <row r="904" spans="2:2" ht="12.6">
      <c r="B904" s="1"/>
    </row>
    <row r="905" spans="2:2" ht="12.6">
      <c r="B905" s="1"/>
    </row>
    <row r="906" spans="2:2" ht="12.6">
      <c r="B906" s="1"/>
    </row>
    <row r="907" spans="2:2" ht="12.6">
      <c r="B907" s="1"/>
    </row>
    <row r="908" spans="2:2" ht="12.6">
      <c r="B908" s="1"/>
    </row>
    <row r="909" spans="2:2" ht="12.6">
      <c r="B909" s="1"/>
    </row>
    <row r="910" spans="2:2" ht="12.6">
      <c r="B910" s="1"/>
    </row>
    <row r="911" spans="2:2" ht="12.6">
      <c r="B911" s="1"/>
    </row>
    <row r="912" spans="2:2" ht="12.6">
      <c r="B912" s="1"/>
    </row>
    <row r="913" spans="2:2" ht="12.6">
      <c r="B913" s="1"/>
    </row>
    <row r="914" spans="2:2" ht="12.6">
      <c r="B914" s="1"/>
    </row>
    <row r="915" spans="2:2" ht="12.6">
      <c r="B915" s="1"/>
    </row>
    <row r="916" spans="2:2" ht="12.6">
      <c r="B916" s="1"/>
    </row>
    <row r="917" spans="2:2" ht="12.6">
      <c r="B917" s="1"/>
    </row>
    <row r="918" spans="2:2" ht="12.6">
      <c r="B918" s="1"/>
    </row>
    <row r="919" spans="2:2" ht="12.6">
      <c r="B919" s="1"/>
    </row>
    <row r="920" spans="2:2" ht="12.6">
      <c r="B920" s="1"/>
    </row>
    <row r="921" spans="2:2" ht="12.6">
      <c r="B921" s="1"/>
    </row>
    <row r="922" spans="2:2" ht="12.6">
      <c r="B922" s="1"/>
    </row>
    <row r="923" spans="2:2" ht="12.6">
      <c r="B923" s="1"/>
    </row>
    <row r="924" spans="2:2" ht="12.6">
      <c r="B924" s="1"/>
    </row>
    <row r="925" spans="2:2" ht="12.6">
      <c r="B925" s="1"/>
    </row>
    <row r="926" spans="2:2" ht="12.6">
      <c r="B926" s="1"/>
    </row>
    <row r="927" spans="2:2" ht="12.6">
      <c r="B927" s="1"/>
    </row>
    <row r="928" spans="2:2" ht="12.6">
      <c r="B928" s="1"/>
    </row>
    <row r="929" spans="2:2" ht="12.6">
      <c r="B929" s="1"/>
    </row>
    <row r="930" spans="2:2" ht="12.6">
      <c r="B930" s="1"/>
    </row>
    <row r="931" spans="2:2" ht="12.6">
      <c r="B931" s="1"/>
    </row>
    <row r="932" spans="2:2" ht="12.6">
      <c r="B932" s="1"/>
    </row>
    <row r="933" spans="2:2" ht="12.6">
      <c r="B933" s="1"/>
    </row>
    <row r="934" spans="2:2" ht="12.6">
      <c r="B934" s="1"/>
    </row>
    <row r="935" spans="2:2" ht="12.6">
      <c r="B935" s="1"/>
    </row>
    <row r="936" spans="2:2" ht="12.6">
      <c r="B936" s="1"/>
    </row>
    <row r="937" spans="2:2" ht="12.6">
      <c r="B937" s="1"/>
    </row>
    <row r="938" spans="2:2" ht="12.6">
      <c r="B938" s="1"/>
    </row>
    <row r="939" spans="2:2" ht="12.6">
      <c r="B939" s="1"/>
    </row>
    <row r="940" spans="2:2" ht="12.6">
      <c r="B940" s="1"/>
    </row>
    <row r="941" spans="2:2" ht="12.6">
      <c r="B941" s="1"/>
    </row>
    <row r="942" spans="2:2" ht="12.6">
      <c r="B942" s="1"/>
    </row>
    <row r="943" spans="2:2" ht="12.6">
      <c r="B943" s="1"/>
    </row>
    <row r="944" spans="2:2" ht="12.6">
      <c r="B944" s="1"/>
    </row>
    <row r="945" spans="2:2" ht="12.6">
      <c r="B945" s="1"/>
    </row>
    <row r="946" spans="2:2" ht="12.6">
      <c r="B946" s="1"/>
    </row>
    <row r="947" spans="2:2" ht="12.6">
      <c r="B947" s="1"/>
    </row>
    <row r="948" spans="2:2" ht="12.6">
      <c r="B948" s="1"/>
    </row>
    <row r="949" spans="2:2" ht="12.6">
      <c r="B949" s="1"/>
    </row>
    <row r="950" spans="2:2" ht="12.6">
      <c r="B950" s="1"/>
    </row>
    <row r="951" spans="2:2" ht="12.6">
      <c r="B951" s="1"/>
    </row>
    <row r="952" spans="2:2" ht="12.6">
      <c r="B952" s="1"/>
    </row>
    <row r="953" spans="2:2" ht="12.6">
      <c r="B953" s="1"/>
    </row>
    <row r="954" spans="2:2" ht="12.6">
      <c r="B954" s="1"/>
    </row>
    <row r="955" spans="2:2" ht="12.6">
      <c r="B955" s="1"/>
    </row>
    <row r="956" spans="2:2" ht="12.6">
      <c r="B956" s="1"/>
    </row>
    <row r="957" spans="2:2" ht="12.6">
      <c r="B957" s="1"/>
    </row>
    <row r="958" spans="2:2" ht="12.6">
      <c r="B958" s="1"/>
    </row>
    <row r="959" spans="2:2" ht="12.6">
      <c r="B959" s="1"/>
    </row>
    <row r="960" spans="2:2" ht="12.6">
      <c r="B960" s="1"/>
    </row>
    <row r="961" spans="2:2" ht="12.6">
      <c r="B961" s="1"/>
    </row>
    <row r="962" spans="2:2" ht="12.6">
      <c r="B962" s="1"/>
    </row>
    <row r="963" spans="2:2" ht="12.6">
      <c r="B963" s="1"/>
    </row>
    <row r="964" spans="2:2" ht="12.6">
      <c r="B964" s="1"/>
    </row>
    <row r="965" spans="2:2" ht="12.6">
      <c r="B965" s="1"/>
    </row>
    <row r="966" spans="2:2" ht="12.6">
      <c r="B966" s="1"/>
    </row>
    <row r="967" spans="2:2" ht="12.6">
      <c r="B967" s="1"/>
    </row>
    <row r="968" spans="2:2" ht="12.6">
      <c r="B968" s="1"/>
    </row>
    <row r="969" spans="2:2" ht="12.6">
      <c r="B969" s="1"/>
    </row>
    <row r="970" spans="2:2" ht="12.6">
      <c r="B970" s="1"/>
    </row>
    <row r="971" spans="2:2" ht="12.6">
      <c r="B971" s="1"/>
    </row>
    <row r="972" spans="2:2" ht="12.6">
      <c r="B972" s="1"/>
    </row>
    <row r="973" spans="2:2" ht="12.6">
      <c r="B973" s="1"/>
    </row>
    <row r="974" spans="2:2" ht="12.6">
      <c r="B974" s="1"/>
    </row>
    <row r="975" spans="2:2" ht="12.6">
      <c r="B975" s="1"/>
    </row>
    <row r="976" spans="2:2" ht="12.6">
      <c r="B976" s="1"/>
    </row>
    <row r="977" spans="2:2" ht="12.6">
      <c r="B977" s="1"/>
    </row>
    <row r="978" spans="2:2" ht="12.6">
      <c r="B978" s="1"/>
    </row>
    <row r="979" spans="2:2" ht="12.6">
      <c r="B979" s="1"/>
    </row>
    <row r="980" spans="2:2" ht="12.6">
      <c r="B980" s="1"/>
    </row>
    <row r="981" spans="2:2" ht="12.6">
      <c r="B981" s="1"/>
    </row>
    <row r="982" spans="2:2" ht="12.6">
      <c r="B982" s="1"/>
    </row>
    <row r="983" spans="2:2" ht="12.6">
      <c r="B983" s="1"/>
    </row>
    <row r="984" spans="2:2" ht="12.6">
      <c r="B984" s="1"/>
    </row>
    <row r="985" spans="2:2" ht="12.6">
      <c r="B985" s="1"/>
    </row>
    <row r="986" spans="2:2" ht="12.6">
      <c r="B986" s="1"/>
    </row>
    <row r="987" spans="2:2" ht="12.6">
      <c r="B987" s="1"/>
    </row>
    <row r="988" spans="2:2" ht="12.6">
      <c r="B988" s="1"/>
    </row>
    <row r="989" spans="2:2" ht="12.6">
      <c r="B989" s="1"/>
    </row>
    <row r="990" spans="2:2" ht="12.6">
      <c r="B990" s="1"/>
    </row>
    <row r="991" spans="2:2" ht="12.6">
      <c r="B991" s="1"/>
    </row>
    <row r="992" spans="2:2" ht="12.6">
      <c r="B992" s="1"/>
    </row>
    <row r="993" spans="2:2" ht="12.6">
      <c r="B993" s="1"/>
    </row>
    <row r="994" spans="2:2" ht="12.6">
      <c r="B994" s="1"/>
    </row>
    <row r="995" spans="2:2" ht="12.6">
      <c r="B995" s="1"/>
    </row>
    <row r="996" spans="2:2" ht="12.6">
      <c r="B996" s="1"/>
    </row>
    <row r="997" spans="2:2" ht="12.6">
      <c r="B997" s="1"/>
    </row>
    <row r="998" spans="2:2" ht="12.6">
      <c r="B998" s="1"/>
    </row>
    <row r="999" spans="2:2" ht="12.6">
      <c r="B999" s="1"/>
    </row>
    <row r="1000" spans="2:2" ht="12.6">
      <c r="B1000" s="1"/>
    </row>
    <row r="1001" spans="2:2" ht="12.6">
      <c r="B1001" s="1"/>
    </row>
    <row r="1002" spans="2:2" ht="12.6">
      <c r="B1002" s="1"/>
    </row>
    <row r="1003" spans="2:2" ht="12.6">
      <c r="B1003" s="1"/>
    </row>
    <row r="1004" spans="2:2" ht="12.6">
      <c r="B1004" s="1"/>
    </row>
    <row r="1005" spans="2:2" ht="12.6">
      <c r="B1005" s="1"/>
    </row>
    <row r="1006" spans="2:2" ht="12.6">
      <c r="B1006" s="1"/>
    </row>
    <row r="1007" spans="2:2" ht="12.6">
      <c r="B1007" s="1"/>
    </row>
    <row r="1008" spans="2:2" ht="12.6">
      <c r="B1008" s="1"/>
    </row>
  </sheetData>
  <mergeCells count="51">
    <mergeCell ref="M6:M11"/>
    <mergeCell ref="M4:M5"/>
    <mergeCell ref="B5:C5"/>
    <mergeCell ref="D5:G5"/>
    <mergeCell ref="B6:C6"/>
    <mergeCell ref="D6:G6"/>
    <mergeCell ref="B7:C7"/>
    <mergeCell ref="D7:G7"/>
    <mergeCell ref="D8:G8"/>
    <mergeCell ref="B8:C8"/>
    <mergeCell ref="B9:C9"/>
    <mergeCell ref="B10:C10"/>
    <mergeCell ref="B11:C11"/>
    <mergeCell ref="D9:G9"/>
    <mergeCell ref="D10:G10"/>
    <mergeCell ref="D32:G32"/>
    <mergeCell ref="D34:G34"/>
    <mergeCell ref="D46:I46"/>
    <mergeCell ref="B34:C34"/>
    <mergeCell ref="D56:G56"/>
    <mergeCell ref="B32:C32"/>
    <mergeCell ref="B33:C33"/>
    <mergeCell ref="D31:G31"/>
    <mergeCell ref="B30:C30"/>
    <mergeCell ref="B31:C31"/>
    <mergeCell ref="D30:G30"/>
    <mergeCell ref="B12:C12"/>
    <mergeCell ref="D12:G12"/>
    <mergeCell ref="D29:G29"/>
    <mergeCell ref="B27:C27"/>
    <mergeCell ref="B28:C28"/>
    <mergeCell ref="B29:C29"/>
    <mergeCell ref="D24:I24"/>
    <mergeCell ref="D27:G27"/>
    <mergeCell ref="D28:G28"/>
    <mergeCell ref="D69:I69"/>
    <mergeCell ref="D50:G50"/>
    <mergeCell ref="D51:G51"/>
    <mergeCell ref="B53:C53"/>
    <mergeCell ref="B50:C50"/>
    <mergeCell ref="B51:C51"/>
    <mergeCell ref="B52:C52"/>
    <mergeCell ref="D53:G53"/>
    <mergeCell ref="D54:G54"/>
    <mergeCell ref="D55:G55"/>
    <mergeCell ref="D52:G52"/>
    <mergeCell ref="B54:C54"/>
    <mergeCell ref="B55:C55"/>
    <mergeCell ref="B56:C56"/>
    <mergeCell ref="B57:C57"/>
    <mergeCell ref="D57:G57"/>
  </mergeCells>
  <conditionalFormatting sqref="D12:G12">
    <cfRule type="cellIs" dxfId="11" priority="10" operator="lessThan">
      <formula>2</formula>
    </cfRule>
    <cfRule type="cellIs" dxfId="10" priority="11" operator="between">
      <formula>2</formula>
      <formula>4</formula>
    </cfRule>
    <cfRule type="cellIs" dxfId="9" priority="12" operator="greaterThanOrEqual">
      <formula>4</formula>
    </cfRule>
  </conditionalFormatting>
  <conditionalFormatting sqref="D34:G34">
    <cfRule type="cellIs" dxfId="8" priority="7" operator="lessThan">
      <formula>2</formula>
    </cfRule>
    <cfRule type="cellIs" dxfId="7" priority="8" operator="between">
      <formula>2</formula>
      <formula>3.99</formula>
    </cfRule>
    <cfRule type="cellIs" dxfId="6" priority="9" operator="greaterThanOrEqual">
      <formula>4</formula>
    </cfRule>
  </conditionalFormatting>
  <conditionalFormatting sqref="D57:G57">
    <cfRule type="cellIs" dxfId="5" priority="4" operator="lessThanOrEqual">
      <formula>2</formula>
    </cfRule>
    <cfRule type="cellIs" dxfId="4" priority="5" operator="between">
      <formula>2.1</formula>
      <formula>3.99</formula>
    </cfRule>
    <cfRule type="cellIs" dxfId="3" priority="6" operator="greaterThanOrEqual">
      <formula>4</formula>
    </cfRule>
  </conditionalFormatting>
  <conditionalFormatting sqref="M6:M11">
    <cfRule type="cellIs" dxfId="2" priority="3" operator="lessThan">
      <formula>2</formula>
    </cfRule>
  </conditionalFormatting>
  <conditionalFormatting sqref="M6:M11">
    <cfRule type="cellIs" dxfId="1" priority="2" operator="between">
      <formula>2</formula>
      <formula>3</formula>
    </cfRule>
  </conditionalFormatting>
  <conditionalFormatting sqref="M6:M11">
    <cfRule type="cellIs" dxfId="0" priority="1" operator="greaterThan">
      <formula>3</formula>
    </cfRule>
  </conditionalFormatting>
  <pageMargins left="0" right="0" top="0" bottom="0" header="0" footer="0"/>
  <pageSetup orientation="portrait" r:id="rId1"/>
  <headerFooter>
    <oddFooter>&amp;R_x000D_&amp;1#&amp;"Calibri"&amp;8&amp;K000000 Cisco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3E7F-4AE0-47EB-9A8E-31B16051F4EB}">
  <dimension ref="A2:F3"/>
  <sheetViews>
    <sheetView workbookViewId="0">
      <selection activeCell="B10" sqref="B10"/>
    </sheetView>
  </sheetViews>
  <sheetFormatPr defaultRowHeight="12.6"/>
  <sheetData>
    <row r="2" spans="1:6" ht="26.1">
      <c r="B2" s="3" t="s">
        <v>14</v>
      </c>
      <c r="C2" s="3" t="s">
        <v>15</v>
      </c>
      <c r="D2" s="3" t="s">
        <v>16</v>
      </c>
      <c r="E2" s="3" t="s">
        <v>17</v>
      </c>
      <c r="F2" s="3" t="s">
        <v>18</v>
      </c>
    </row>
    <row r="3" spans="1:6">
      <c r="A3" t="s">
        <v>146</v>
      </c>
      <c r="B3">
        <v>5</v>
      </c>
      <c r="C3">
        <v>4</v>
      </c>
      <c r="D3">
        <v>3</v>
      </c>
      <c r="E3">
        <v>2</v>
      </c>
      <c r="F3">
        <v>1</v>
      </c>
    </row>
  </sheetData>
  <pageMargins left="0.7" right="0.7" top="0.75" bottom="0.75" header="0.3" footer="0.3"/>
  <headerFooter>
    <oddFooter>&amp;R_x000D_&amp;1#&amp;"Calibri"&amp;8&amp;K000000 Cisco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35BF-A01F-4804-967D-6615050EFB86}">
  <dimension ref="B3:K9"/>
  <sheetViews>
    <sheetView showGridLines="0" workbookViewId="0">
      <selection activeCell="J11" sqref="J11"/>
    </sheetView>
  </sheetViews>
  <sheetFormatPr defaultRowHeight="12.6"/>
  <sheetData>
    <row r="3" spans="2:11" ht="18">
      <c r="B3" s="98" t="s">
        <v>147</v>
      </c>
      <c r="C3" s="99"/>
      <c r="D3" s="99"/>
      <c r="E3" s="99"/>
      <c r="F3" s="28"/>
      <c r="G3" s="28"/>
      <c r="H3" s="28"/>
      <c r="I3" s="28"/>
      <c r="J3" s="28"/>
      <c r="K3" s="29"/>
    </row>
    <row r="4" spans="2:11">
      <c r="B4" s="30"/>
      <c r="K4" s="31"/>
    </row>
    <row r="5" spans="2:11">
      <c r="B5" s="36" t="s">
        <v>148</v>
      </c>
      <c r="C5" s="37"/>
      <c r="D5" s="37"/>
      <c r="E5" s="37"/>
      <c r="F5" s="37"/>
      <c r="G5" s="37"/>
      <c r="H5" s="37"/>
      <c r="I5" s="37"/>
      <c r="J5" s="37"/>
      <c r="K5" s="38"/>
    </row>
    <row r="6" spans="2:11">
      <c r="B6" s="95" t="s">
        <v>149</v>
      </c>
      <c r="C6" s="96"/>
      <c r="D6" s="96"/>
      <c r="E6" s="96"/>
      <c r="F6" s="96"/>
      <c r="G6" s="96"/>
      <c r="H6" s="96"/>
      <c r="I6" s="96"/>
      <c r="J6" s="96"/>
      <c r="K6" s="38"/>
    </row>
    <row r="7" spans="2:11">
      <c r="B7" s="95" t="s">
        <v>150</v>
      </c>
      <c r="C7" s="96"/>
      <c r="D7" s="96"/>
      <c r="E7" s="96"/>
      <c r="F7" s="96"/>
      <c r="G7" s="96"/>
      <c r="H7" s="96"/>
      <c r="I7" s="96"/>
      <c r="J7" s="96"/>
      <c r="K7" s="97"/>
    </row>
    <row r="8" spans="2:11">
      <c r="B8" s="30"/>
      <c r="K8" s="31"/>
    </row>
    <row r="9" spans="2:11">
      <c r="B9" s="32"/>
      <c r="C9" s="33"/>
      <c r="D9" s="33"/>
      <c r="E9" s="33"/>
      <c r="F9" s="33"/>
      <c r="G9" s="33"/>
      <c r="H9" s="33"/>
      <c r="I9" s="33"/>
      <c r="J9" s="33"/>
      <c r="K9" s="34"/>
    </row>
  </sheetData>
  <mergeCells count="3">
    <mergeCell ref="B7:K7"/>
    <mergeCell ref="B3:E3"/>
    <mergeCell ref="B6:J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17AA5-2A3D-4673-B5F4-B6923C3CB5E4}">
  <dimension ref="B3:G3"/>
  <sheetViews>
    <sheetView workbookViewId="0">
      <selection activeCell="B3" sqref="B3:G3"/>
    </sheetView>
  </sheetViews>
  <sheetFormatPr defaultRowHeight="12.75"/>
  <sheetData>
    <row r="3" spans="2:7">
      <c r="B3" s="79" t="s">
        <v>151</v>
      </c>
      <c r="C3" s="80"/>
      <c r="D3" s="80"/>
      <c r="E3" s="80"/>
      <c r="F3" s="80"/>
      <c r="G3" s="80"/>
    </row>
  </sheetData>
  <mergeCells count="1">
    <mergeCell ref="B3: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xmlns="" id="ms-officescript%3A%2F%2Fonedrive_business_itemlink%2F01SFBVPM7PNZNZOWNHQJGZ6VAVMTHCWRYU:ms-officescript%3A%2F%2Fonedrive_business_sharinglink%2Fu!aHR0cHM6Ly9yZWxldmFudHp0ZWNoLW15LnNoYXJlcG9pbnQuY29tLzp1Oi9nL3BlcnNvbmFsL2dhbmFwYXRoaXJhbWFuX2JhbGFzdWJyYW1hbmlhbl9yZWxldmFudHpfY29tL0VlOXVXNWRacDRKTm4xUVZaTTRyUnhRQlBNSDc5MW5qUDJSRkEyVF9BSmd0eEE"/>
</scriptIds>
</file>

<file path=customXml/itemProps1.xml><?xml version="1.0" encoding="utf-8"?>
<ds:datastoreItem xmlns:ds="http://schemas.openxmlformats.org/officeDocument/2006/customXml" ds:itemID="{C57041FB-D06F-441E-AE42-49D9C3571B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Ganapathi Raman Balasubramanian</cp:lastModifiedBy>
  <cp:revision/>
  <dcterms:created xsi:type="dcterms:W3CDTF">2024-03-01T11:57:38Z</dcterms:created>
  <dcterms:modified xsi:type="dcterms:W3CDTF">2026-05-14T11:42:35Z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2024-08-21T11:49:16Z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7660677a-9211-4bab-a3b0-a5db89566cde</vt:lpwstr>
  </property>
  <property fmtid="{D5CDD505-2E9C-101B-9397-08002B2CF9AE}" pid="8" name="MSIP_Label_c8f49a32-fde3-48a5-9266-b5b0972a22dc_ContentBits">
    <vt:lpwstr>2</vt:lpwstr>
  </property>
  <property fmtid="{D5CDD505-2E9C-101B-9397-08002B2CF9AE}" pid="9" name="MSIP_Label_defa4170-0d19-0005-0004-bc88714345d2_Enabled">
    <vt:lpwstr>true</vt:lpwstr>
  </property>
  <property fmtid="{D5CDD505-2E9C-101B-9397-08002B2CF9AE}" pid="10" name="MSIP_Label_defa4170-0d19-0005-0004-bc88714345d2_SetDate">
    <vt:lpwstr>2025-03-25T16:50:19Z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fe66d7b1-c17e-4ba8-a08d-2e146117dc7e</vt:lpwstr>
  </property>
  <property fmtid="{D5CDD505-2E9C-101B-9397-08002B2CF9AE}" pid="14" name="MSIP_Label_defa4170-0d19-0005-0004-bc88714345d2_ActionId">
    <vt:lpwstr>eb61a24b-1d86-4a6a-815f-78872dcc185f</vt:lpwstr>
  </property>
  <property fmtid="{D5CDD505-2E9C-101B-9397-08002B2CF9AE}" pid="15" name="MSIP_Label_defa4170-0d19-0005-0004-bc88714345d2_ContentBits">
    <vt:lpwstr>0</vt:lpwstr>
  </property>
  <property fmtid="{D5CDD505-2E9C-101B-9397-08002B2CF9AE}" pid="16" name="MSIP_Label_defa4170-0d19-0005-0004-bc88714345d2_Tag">
    <vt:lpwstr>10, 3, 0, 2</vt:lpwstr>
  </property>
</Properties>
</file>