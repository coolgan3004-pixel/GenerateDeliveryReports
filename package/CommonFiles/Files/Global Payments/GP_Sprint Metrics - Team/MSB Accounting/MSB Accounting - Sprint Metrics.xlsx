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42536" documentId="11_4A52C2DBDA9337447D6F39EB9A2FC235E8FF74B0" xr6:coauthVersionLast="47" xr6:coauthVersionMax="47" xr10:uidLastSave="{68184FFA-B053-4D8E-B954-75437C767F91}"/>
  <bookViews>
    <workbookView xWindow="0" yWindow="0" windowWidth="0" windowHeight="0" firstSheet="2" activeTab="2" xr2:uid="{00000000-000D-0000-FFFF-FFFF00000000}"/>
  </bookViews>
  <sheets>
    <sheet name="Dashboard" sheetId="1" r:id="rId1"/>
    <sheet name="Defect-template" sheetId="68" r:id="rId2"/>
    <sheet name="26.06 Sprint 2-Status" sheetId="156" r:id="rId3"/>
    <sheet name="26.06 Sprint 2-Defect" sheetId="157" r:id="rId4"/>
    <sheet name="26.06 Sprint 1-Status" sheetId="154" r:id="rId5"/>
    <sheet name="26.06 Sprint 1-Defect" sheetId="155" r:id="rId6"/>
    <sheet name="26.04 Sprint 3-Status" sheetId="153" r:id="rId7"/>
    <sheet name="26.04 Sprint 3-Defect" sheetId="152" r:id="rId8"/>
    <sheet name="26.04 Sprint 2-Status" sheetId="150" r:id="rId9"/>
    <sheet name="26.04 Sprint 2-Defect" sheetId="151" r:id="rId10"/>
    <sheet name="26.04 Sprint 1-Status" sheetId="148" r:id="rId11"/>
    <sheet name="26.04 Sprint 1-Defect" sheetId="149" r:id="rId12"/>
    <sheet name="26.3 Sprint 2-Status" sheetId="144" r:id="rId13"/>
    <sheet name="26.3 Sprint 3-Status" sheetId="146" r:id="rId14"/>
    <sheet name="26.3 Sprint 3-Defect" sheetId="147" r:id="rId15"/>
    <sheet name="26.3 Sprint 2-Defect" sheetId="145" r:id="rId16"/>
    <sheet name="26.2 Sprint 3-Status" sheetId="139" r:id="rId17"/>
    <sheet name="26.3 Sprint 1-Defect" sheetId="142" r:id="rId18"/>
    <sheet name="14.3 Sprint 2-Status (2)" sheetId="53" state="hidden" r:id="rId19"/>
    <sheet name="26.3 Sprint 1-Status" sheetId="141" r:id="rId20"/>
    <sheet name="26.01 Sprint 2-Defect" sheetId="138" r:id="rId21"/>
    <sheet name="26.2 Sprint 3-Defect" sheetId="140" r:id="rId22"/>
    <sheet name="26.01 Sprint 2-Status" sheetId="137" r:id="rId23"/>
    <sheet name="20.1 Sprint 1-Status" sheetId="135" r:id="rId24"/>
    <sheet name="20.1 Sprint 1-Defect" sheetId="136" r:id="rId25"/>
    <sheet name="15.3 Sprint 3-Status" sheetId="133" r:id="rId26"/>
    <sheet name="15.3 Sprint 3-Defect " sheetId="134" r:id="rId27"/>
    <sheet name="15.3 Sprint 2-Status" sheetId="131" r:id="rId28"/>
    <sheet name="15.3 Sprint 2-Defect " sheetId="132" r:id="rId29"/>
    <sheet name="15.3 Sprint 1-Status" sheetId="128" r:id="rId30"/>
    <sheet name="15.3 Sprint 1-Defect " sheetId="129" r:id="rId31"/>
    <sheet name="15.2 Sprint 3-Status" sheetId="125" r:id="rId32"/>
    <sheet name="15.2 Sprint 2-Status" sheetId="122" r:id="rId33"/>
    <sheet name="15.2 Sprint 3-Defect " sheetId="126" r:id="rId34"/>
    <sheet name="15.2 Sprint 2-Defect " sheetId="123" r:id="rId35"/>
    <sheet name="15.2 Sprint 1-Status" sheetId="119" r:id="rId36"/>
    <sheet name="15.2 Sprint 1-Defect " sheetId="120" r:id="rId37"/>
    <sheet name="15.1 Sprint 3-Status" sheetId="116" r:id="rId38"/>
    <sheet name="15.1 Sprint 3-Defect " sheetId="117" r:id="rId39"/>
    <sheet name="15.1 Sprint 2-Status" sheetId="113" r:id="rId40"/>
    <sheet name="15.1 Sprint 2-Defect" sheetId="114" r:id="rId41"/>
    <sheet name="15.1 Sprint 1-Status" sheetId="110" r:id="rId42"/>
    <sheet name="15.1 Sprint 1-Defect" sheetId="111" r:id="rId43"/>
    <sheet name="15.0 Sprint 3-Status" sheetId="107" r:id="rId44"/>
    <sheet name="15.0 Sprint 3-Defect" sheetId="108" r:id="rId45"/>
    <sheet name="15.0 Sprint 2-Status" sheetId="104" r:id="rId46"/>
    <sheet name="15.0 Sprint 2-Defect" sheetId="105" r:id="rId47"/>
    <sheet name="15.0 Sprint 1-Status" sheetId="101" r:id="rId48"/>
    <sheet name="15.0 Sprint 1-Defect" sheetId="102" r:id="rId49"/>
    <sheet name="14.7 Sprint 3-Status" sheetId="98" r:id="rId50"/>
    <sheet name="14.7 Sprint 3-Defect" sheetId="99" r:id="rId51"/>
    <sheet name="14.7 Sprint 2-Status" sheetId="96" r:id="rId52"/>
    <sheet name="14.7 Sprint 2-Defect" sheetId="95" r:id="rId53"/>
    <sheet name="14.7 Sprint 1-Status" sheetId="92" r:id="rId54"/>
    <sheet name="14.7 Sprint 1-Defect" sheetId="93" r:id="rId55"/>
    <sheet name="14.6 Sprint 3-Status" sheetId="89" r:id="rId56"/>
    <sheet name="14.6 Sprint 3-Defect" sheetId="90" r:id="rId57"/>
    <sheet name="14.6 Sprint 2-Status" sheetId="86" r:id="rId58"/>
    <sheet name="14.6 Sprint 2-Defect" sheetId="87" r:id="rId59"/>
    <sheet name="14.6 Sprint 1-Status" sheetId="83" r:id="rId60"/>
    <sheet name="14.6 Sprint 1 -Defect" sheetId="84" r:id="rId61"/>
    <sheet name="14.5 Sprint 3 -Defect" sheetId="81" r:id="rId62"/>
    <sheet name="14.5 Sprint 3-Status" sheetId="80" r:id="rId63"/>
    <sheet name="14.5 Sprint 2-Status" sheetId="77" r:id="rId64"/>
    <sheet name="14.5 Sprint 2 -Defect" sheetId="78" r:id="rId65"/>
    <sheet name="14.5 Sprint 1-Status" sheetId="74" r:id="rId66"/>
    <sheet name="14.5 Sprint 1 -Defect" sheetId="75" r:id="rId67"/>
    <sheet name="14.4 Sprint 3-Status" sheetId="71" r:id="rId68"/>
    <sheet name="14.4 Sprint 3 -Defect" sheetId="72" r:id="rId69"/>
    <sheet name="14.4 Sprint 2-Status" sheetId="63" r:id="rId70"/>
    <sheet name="14.4 Sprint 2 -Defect" sheetId="64" r:id="rId71"/>
    <sheet name="14.4 Sprint 1-Status" sheetId="60" r:id="rId72"/>
    <sheet name="14.4 Sprint 1 -Defect" sheetId="61" r:id="rId73"/>
    <sheet name="14.3 Sprint 3 -Defect" sheetId="58" r:id="rId74"/>
    <sheet name="14.3 Sprint 3-Status" sheetId="57" r:id="rId75"/>
    <sheet name="14.3 Sprint 2-Status_OLD" sheetId="51" state="hidden" r:id="rId76"/>
    <sheet name="14.3 Sprint 2-Status" sheetId="55" r:id="rId77"/>
    <sheet name="14.3 Sprint 2-Defect" sheetId="52" r:id="rId78"/>
    <sheet name="14.3 S1-Status" sheetId="49" r:id="rId79"/>
    <sheet name="14.3 S1-Defect" sheetId="50" r:id="rId80"/>
    <sheet name="14.2 S3-Status" sheetId="47" r:id="rId81"/>
    <sheet name="14.2 S3-Defect" sheetId="48" r:id="rId82"/>
    <sheet name="14.2 S2-Status" sheetId="45" r:id="rId83"/>
    <sheet name="14.2 S2-Defect" sheetId="46" r:id="rId84"/>
    <sheet name="14.2 S1-Status" sheetId="43" r:id="rId85"/>
    <sheet name="14.2 S1-Defect" sheetId="44" r:id="rId86"/>
    <sheet name="14.1 S3-Status" sheetId="41" r:id="rId87"/>
    <sheet name="14.1 S3-Defect" sheetId="42" r:id="rId88"/>
    <sheet name="14.1 S2-Status" sheetId="39" r:id="rId89"/>
    <sheet name="14.1 S2-Defect" sheetId="40" r:id="rId90"/>
    <sheet name="14.1 S1-Status" sheetId="37" r:id="rId91"/>
    <sheet name="14.1 S1-Defect" sheetId="38" r:id="rId92"/>
    <sheet name="13.8 S8-Status" sheetId="35" r:id="rId93"/>
    <sheet name="13.8 S8-Defect" sheetId="36" r:id="rId94"/>
    <sheet name="13.8 S7-Status" sheetId="33" r:id="rId95"/>
    <sheet name="13.8 S7-Defect" sheetId="34" r:id="rId96"/>
    <sheet name="13.8 S6-Status" sheetId="31" r:id="rId97"/>
    <sheet name="13.8 S6-Defect" sheetId="32" r:id="rId98"/>
    <sheet name="13.8 S5-CRC" sheetId="29" r:id="rId99"/>
    <sheet name="13.8 S4-CRC" sheetId="27" r:id="rId100"/>
    <sheet name="13.8 S4-Defect" sheetId="28" r:id="rId101"/>
    <sheet name="13.8 S5-Defect" sheetId="30" r:id="rId102"/>
    <sheet name="13.8 S3-CRC" sheetId="25" r:id="rId103"/>
    <sheet name="13.8 S3-Defect" sheetId="26" r:id="rId104"/>
    <sheet name="13.8 S2-CRC" sheetId="23" r:id="rId105"/>
    <sheet name="13.8 S2-Defect" sheetId="24" r:id="rId106"/>
    <sheet name="13.8 S1-CRC" sheetId="21" r:id="rId107"/>
    <sheet name="13.8 S1-Defect" sheetId="22" r:id="rId108"/>
    <sheet name="13.7 S3-CRC" sheetId="19" r:id="rId109"/>
    <sheet name="13.7 S3-Defect" sheetId="20" r:id="rId110"/>
    <sheet name="13.7 S2-CRC" sheetId="17" r:id="rId111"/>
    <sheet name="13.7 S2-Defect" sheetId="18" r:id="rId112"/>
    <sheet name="13.7 S1-CRC" sheetId="15" r:id="rId113"/>
    <sheet name="13.6 S3-CRC" sheetId="12" r:id="rId114"/>
    <sheet name="13.7 S1-Defect" sheetId="14" r:id="rId115"/>
    <sheet name="13.6 S3-Defect" sheetId="13" r:id="rId116"/>
    <sheet name="13.6 S2-Defect" sheetId="10" r:id="rId117"/>
    <sheet name="13.6 S1-CRC" sheetId="2" r:id="rId118"/>
    <sheet name="13.6 S2-CRC" sheetId="11" r:id="rId119"/>
    <sheet name="13.6 S1-Defect" sheetId="3" r:id="rId120"/>
    <sheet name="13.5 S3-CRC" sheetId="6" r:id="rId121"/>
    <sheet name="13.5 S3-Defect" sheetId="7" r:id="rId122"/>
    <sheet name="Details" sheetId="8" state="hidden" r:id="rId123"/>
    <sheet name="Checklist" sheetId="9" state="hidden" r:id="rId124"/>
    <sheet name="13.5 S2-CRC" sheetId="4" r:id="rId125"/>
    <sheet name="13.5 S2-Defect" sheetId="5" r:id="rId126"/>
    <sheet name="Settings" sheetId="66" r:id="rId127"/>
    <sheet name="ExportData" sheetId="143" r:id="rId128"/>
  </sheets>
  <definedNames>
    <definedName name="_xlnm._FilterDatabase" localSheetId="99" hidden="1">'13.8 S4-CRC'!$A$1:$X$7</definedName>
    <definedName name="_xlnm._FilterDatabase" localSheetId="45" hidden="1">'15.0 Sprint 2-Status'!$A$1:$AM$13</definedName>
    <definedName name="_xlnm._FilterDatabase" localSheetId="43" hidden="1">'15.0 Sprint 3-Status'!$A$1:$AO$17</definedName>
    <definedName name="_xlnm._FilterDatabase" localSheetId="41" hidden="1">'15.1 Sprint 1-Status'!$A$1:$AO$13</definedName>
    <definedName name="_xlnm._FilterDatabase" localSheetId="39" hidden="1">'15.1 Sprint 2-Status'!$A$1:$AO$12</definedName>
    <definedName name="_xlnm._FilterDatabase" localSheetId="37" hidden="1">'15.1 Sprint 3-Status'!$A$1:$AO$17</definedName>
    <definedName name="_xlnm._FilterDatabase" localSheetId="35" hidden="1">'15.2 Sprint 1-Status'!$A$1:$AO$14</definedName>
    <definedName name="_xlnm._FilterDatabase" localSheetId="31" hidden="1">'15.2 Sprint 3-Status'!$I$1:$I$22</definedName>
    <definedName name="_xlnm._FilterDatabase" localSheetId="29" hidden="1">'15.3 Sprint 1-Status'!$E$1:$E$39</definedName>
    <definedName name="_xlnm._FilterDatabase" localSheetId="27" hidden="1">'15.3 Sprint 2-Status'!$I$1:$I$35</definedName>
    <definedName name="_xlnm._FilterDatabase" localSheetId="25" hidden="1">'15.3 Sprint 3-Status'!$A$1:$AO$1</definedName>
    <definedName name="_xlnm._FilterDatabase" localSheetId="23" hidden="1">'20.1 Sprint 1-Status'!$A$1:$AO$15</definedName>
    <definedName name="_xlnm._FilterDatabase" localSheetId="22" hidden="1">'26.01 Sprint 2-Status'!$A$1:$AX$16</definedName>
    <definedName name="_xlnm._FilterDatabase" localSheetId="16" hidden="1">'26.2 Sprint 3-Status'!$A$1:$AO$22</definedName>
    <definedName name="_xlnm._FilterDatabase" localSheetId="7" hidden="1">'26.04 Sprint 3-Defect'!$A$1:$M$28</definedName>
    <definedName name="_xlnm._FilterDatabase" localSheetId="4" hidden="1">'26.06 Sprint 1-Status'!$A$1:$AO$1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83" l="1"/>
  <c r="B5" i="83"/>
  <c r="B10" i="83"/>
  <c r="B9" i="83"/>
  <c r="B14" i="83"/>
  <c r="B13" i="83"/>
  <c r="B12" i="83"/>
  <c r="B11" i="83"/>
  <c r="B8" i="83"/>
  <c r="B6" i="83"/>
  <c r="B4" i="83"/>
  <c r="B3" i="83"/>
  <c r="B2" i="83"/>
  <c r="B11" i="80"/>
  <c r="B10" i="80"/>
  <c r="B9" i="80"/>
  <c r="B8" i="80"/>
  <c r="B13" i="80"/>
  <c r="B12" i="80"/>
  <c r="B7" i="80"/>
  <c r="B6" i="80"/>
  <c r="B5" i="80"/>
  <c r="B4" i="80"/>
  <c r="B3" i="80"/>
  <c r="B2" i="80"/>
  <c r="B15" i="77"/>
  <c r="B14" i="77"/>
  <c r="B13" i="77"/>
  <c r="B12" i="77"/>
  <c r="B11" i="77"/>
  <c r="B4" i="77"/>
  <c r="B10" i="77"/>
  <c r="B9" i="77"/>
  <c r="B8" i="77"/>
  <c r="B7" i="77"/>
  <c r="B6" i="77"/>
  <c r="B5" i="77"/>
  <c r="B3" i="77"/>
  <c r="B2" i="77"/>
  <c r="X14" i="74"/>
  <c r="B12" i="74"/>
  <c r="B11" i="74"/>
  <c r="B10" i="74"/>
  <c r="B8" i="74"/>
  <c r="B9" i="74"/>
  <c r="B7" i="74"/>
  <c r="B6" i="74"/>
  <c r="B5" i="74"/>
  <c r="B4" i="74"/>
  <c r="B3" i="74"/>
  <c r="B2" i="74"/>
  <c r="B13" i="71"/>
  <c r="B12" i="71"/>
  <c r="B11" i="71"/>
  <c r="B10" i="71"/>
  <c r="B9" i="71"/>
  <c r="B8" i="71"/>
  <c r="B7" i="71"/>
  <c r="B6" i="71"/>
  <c r="B5" i="71"/>
  <c r="B4" i="71"/>
  <c r="B3" i="71"/>
  <c r="B2" i="71"/>
  <c r="X13" i="71"/>
  <c r="X12" i="71"/>
  <c r="X11" i="71"/>
  <c r="X9" i="63"/>
  <c r="X8" i="63"/>
  <c r="B8" i="63"/>
  <c r="X2" i="63"/>
  <c r="X3" i="63"/>
  <c r="X5" i="63"/>
  <c r="X6" i="63"/>
  <c r="X10" i="63"/>
  <c r="X11" i="63"/>
  <c r="X12" i="63"/>
  <c r="B7" i="63"/>
  <c r="B6" i="63"/>
  <c r="B5" i="63"/>
  <c r="B4" i="63"/>
  <c r="B3" i="63"/>
  <c r="B2" i="63"/>
  <c r="B8" i="60"/>
  <c r="B2" i="60"/>
  <c r="B3" i="60"/>
  <c r="B4" i="60"/>
  <c r="B5" i="60"/>
  <c r="B6" i="60"/>
  <c r="B7" i="60"/>
  <c r="A4" i="57"/>
  <c r="A5" i="57"/>
  <c r="A6" i="57"/>
  <c r="A7" i="57"/>
  <c r="A8" i="57"/>
  <c r="A9" i="57"/>
  <c r="A10" i="57"/>
  <c r="A3" i="57"/>
  <c r="B1" i="1" a="1"/>
  <c r="B1" i="1" s="1"/>
  <c r="F1" i="1" l="1"/>
  <c r="H1" i="1"/>
  <c r="D1" i="1"/>
  <c r="A62" i="1" s="1"/>
  <c r="A27" i="1"/>
  <c r="A26" i="1"/>
  <c r="A25" i="1"/>
  <c r="A24" i="1"/>
  <c r="A23" i="1"/>
  <c r="A22" i="1"/>
  <c r="A21" i="1"/>
  <c r="A20" i="1"/>
  <c r="A19" i="1"/>
  <c r="A18" i="1"/>
  <c r="A17" i="1"/>
  <c r="A16" i="1"/>
  <c r="A15" i="1"/>
  <c r="A14" i="1"/>
  <c r="A13" i="1"/>
  <c r="A12" i="1"/>
  <c r="A11" i="1"/>
  <c r="A10" i="1"/>
  <c r="A9" i="1"/>
  <c r="A8" i="1"/>
  <c r="A7" i="1"/>
  <c r="A6" i="1"/>
  <c r="A5" i="1"/>
  <c r="A4" i="1"/>
  <c r="A59" i="1" l="1"/>
  <c r="A61" i="1"/>
  <c r="A60" i="1"/>
  <c r="A57" i="1"/>
  <c r="A58" i="1"/>
  <c r="A56" i="1"/>
  <c r="A54" i="1"/>
  <c r="A55" i="1"/>
  <c r="A52" i="1"/>
  <c r="A53" i="1"/>
  <c r="A50" i="1"/>
  <c r="A51" i="1"/>
  <c r="A48" i="1"/>
  <c r="A49" i="1"/>
  <c r="A46" i="1"/>
  <c r="A47" i="1"/>
  <c r="A44" i="1"/>
  <c r="A45" i="1"/>
  <c r="A43" i="1"/>
  <c r="A41" i="1"/>
  <c r="A42" i="1"/>
  <c r="A40" i="1"/>
  <c r="A38" i="1"/>
  <c r="A39" i="1"/>
  <c r="A36" i="1"/>
  <c r="A37" i="1"/>
  <c r="A34" i="1"/>
  <c r="A35" i="1"/>
  <c r="A33" i="1"/>
  <c r="A32" i="1"/>
  <c r="A31" i="1"/>
  <c r="A29" i="1"/>
  <c r="A30" i="1"/>
  <c r="C8" i="63"/>
  <c r="D8" i="63"/>
  <c r="D2" i="60"/>
  <c r="A28" i="1"/>
  <c r="C8" i="60"/>
  <c r="D8" i="60"/>
  <c r="D3" i="60"/>
  <c r="D4" i="60"/>
  <c r="D5" i="60"/>
  <c r="D6" i="60"/>
  <c r="D7" i="60"/>
  <c r="C2" i="60"/>
  <c r="C3" i="60"/>
  <c r="C4" i="60"/>
  <c r="C5" i="60"/>
  <c r="C6" i="60"/>
  <c r="C7" i="60"/>
  <c r="A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tc={AE6C5C68-6713-46C9-A225-D751069DB659}</author>
    <author>tc={1C91ECAA-7CCD-4FC7-A7D7-10434B888AFE}</author>
    <author>tc={7189701D-DEFC-4FA3-9D27-43CDA7A8513B}</author>
  </authors>
  <commentList>
    <comment ref="E2" authorId="0" shapeId="0" xr:uid="{AE6C5C68-6713-46C9-A225-D751069DB659}">
      <text>
        <t>[Threaded comment]
Your version of Excel allows you to read this threaded comment; however, any edits to it will get removed if the file is opened in a newer version of Excel. Learn more: https://go.microsoft.com/fwlink/?linkid=870924
Comment:
    Total story point assigned for Relevantz team</t>
      </text>
    </comment>
    <comment ref="F2" authorId="1" shapeId="0" xr:uid="{1C91ECAA-7CCD-4FC7-A7D7-10434B888AFE}">
      <text>
        <t>[Threaded comment]
Your version of Excel allows you to read this threaded comment; however, any edits to it will get removed if the file is opened in a newer version of Excel. Learn more: https://go.microsoft.com/fwlink/?linkid=870924
Comment:
    Total story point completed by Relevantz team</t>
      </text>
    </comment>
    <comment ref="G2" authorId="2" shapeId="0" xr:uid="{7189701D-DEFC-4FA3-9D27-43CDA7A8513B}">
      <text>
        <t>[Threaded comment]
Your version of Excel allows you to read this threaded comment; however, any edits to it will get removed if the file is opened in a newer version of Excel. Learn more: https://go.microsoft.com/fwlink/?linkid=870924
Comment:
    Total story points introduced / removed in middle of the sprint.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tc={BDE023FB-3C0E-433E-976C-9C8E498651D5}</author>
  </authors>
  <commentList>
    <comment ref="L1" authorId="0" shapeId="0" xr:uid="{BDE023FB-3C0E-433E-976C-9C8E498651D5}">
      <text>
        <t>[Threaded comment]
Your version of Excel allows you to read this threaded comment; however, any edits to it will get removed if the file is opened in a newer version of Excel. Learn more: https://go.microsoft.com/fwlink/?linkid=870924
Comment:
    1. Relevantz or Client Developed
2. Reason for the Defect
3. Current Status of the Defect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<sst xmlns="http://schemas.openxmlformats.org/spreadsheetml/2006/main" count="29257" uniqueCount="4419">
  <si>
    <t>Current Sprint</t>
  </si>
  <si>
    <t>Current Sprint Sheet</t>
  </si>
  <si>
    <t>Sprint Start Date</t>
  </si>
  <si>
    <t>Sprint End Date</t>
  </si>
  <si>
    <t>Application Name</t>
  </si>
  <si>
    <t>MSB Accounting</t>
  </si>
  <si>
    <t>Users</t>
  </si>
  <si>
    <t>karthikeyan.ganesan@relevantz.com;abdulqadir.varawala@relevantz.com;pramod.korikkar@relevantz.com;rijo.ponthekkan@relevantz.com;sowjanya.krishnamoorthy@relevantz.com</t>
  </si>
  <si>
    <t>Teams Name(GP-MSB.Accounting)</t>
  </si>
  <si>
    <t>19:8a9b6ea893c94a118cce0008488fa0fd@thread.v2</t>
  </si>
  <si>
    <t>Sprint #</t>
  </si>
  <si>
    <t>Assigned</t>
  </si>
  <si>
    <t>Completed</t>
  </si>
  <si>
    <t>Story points introduced/removed</t>
  </si>
  <si>
    <t>Sprint Summary</t>
  </si>
  <si>
    <t>Accomplishments</t>
  </si>
  <si>
    <t>Remarks</t>
  </si>
  <si>
    <t>Retro Points
(Internal &amp; External)</t>
  </si>
  <si>
    <t>Planned Leaves</t>
  </si>
  <si>
    <t>Total Leaves</t>
  </si>
  <si>
    <t>Data sanity
Audit Status</t>
  </si>
  <si>
    <t>AuditDate</t>
  </si>
  <si>
    <t>Backlog Health</t>
  </si>
  <si>
    <t>13.5 Sprint 2</t>
  </si>
  <si>
    <t xml:space="preserve">Risks  /  Challenges 
3 Escalations introduced.
</t>
  </si>
  <si>
    <t>Internal:
External:</t>
  </si>
  <si>
    <t>13.5 Sprint 3</t>
  </si>
  <si>
    <t>3 - OnHold</t>
  </si>
  <si>
    <t xml:space="preserve">Escalations - 5 (29.75hrs)
Defect 22651 (Misc Bank Charge Debit…) - Needed further PO research 
Regression Sprint.  </t>
  </si>
  <si>
    <t xml:space="preserve">13.6 Sprint 1
</t>
  </si>
  <si>
    <t xml:space="preserve">34016 - Bounceback reported , Last day of sprint was when BB identified. QA identified, this was not introduced new , but an existing prod defect still a blocker for the story completion.Retro Comments : </t>
  </si>
  <si>
    <t>13.6 Sprint 2</t>
  </si>
  <si>
    <t xml:space="preserve">8 - On hold
6 - Testing 
2- Introduced and completed.
</t>
  </si>
  <si>
    <t xml:space="preserve">5 Stories assigned during Start of the sprint. Risks  /  Challenges - 2 Escalations introduced and closed. Found additional issues with the Year End Process affecting 2 defects. Defects put on hold until analysis is completed. </t>
  </si>
  <si>
    <t>13.6. Sprint 3</t>
  </si>
  <si>
    <t>Risks and Challenges: 4 escalations, 2 Defects found during regression. Completed all items assigned including the defects found from regression.</t>
  </si>
  <si>
    <t>13.7. Sprint 1</t>
  </si>
  <si>
    <t>Risks and Challenges: 4 Escalations - 3 Bluebear, 1 Accounting. Lost DB access for 2 days - Affected closing stories earlier. Dev Testing Setup - Linking new schools with MSB.</t>
  </si>
  <si>
    <t>13.7. Sprint 2</t>
  </si>
  <si>
    <t xml:space="preserve">3 Stories got carried. (1 - Deployment delay from Client side, 2 - Development Inprogress)
Client side Developer left in the beginning of the sprint. 
</t>
  </si>
  <si>
    <t>13.7 Sprint 3</t>
  </si>
  <si>
    <t xml:space="preserve">Carried Stories completed. 
4 sp were being worked by Michael, blocked because of need to coordinate more with platOps.
Capturing only Relevantz SP's from this sprint onwards. </t>
  </si>
  <si>
    <t>13.8. Sprint 1</t>
  </si>
  <si>
    <t>5sp-Testing ,
5sp- In Development
3- Escalations Closed. 
2 - Escalations in Progress
1- Defect Fixed.
1- Defect Identified for backlog.</t>
  </si>
  <si>
    <t xml:space="preserve">Found Defects during Smoke Testing 
5 Escalations related to Accounting. 
Deployed Application to Production with ABP Upgrades (3.0 to 9.0) </t>
  </si>
  <si>
    <t>13.8. Sprint 2</t>
  </si>
  <si>
    <t>3 new stories introduced and completed.</t>
  </si>
  <si>
    <t>3 Sp in dev.</t>
  </si>
  <si>
    <t>13.8. Sprint 3</t>
  </si>
  <si>
    <t xml:space="preserve">4 sp missed because of a story in testing was dependant on stretch item to be completed. </t>
  </si>
  <si>
    <t>13.8. Sprint 4</t>
  </si>
  <si>
    <t>5sp was in progress.  3 sp dependant on the 5 sp story.
Reforecast was sent out mid sprint changing priorities from a Regression to a development sprint.</t>
  </si>
  <si>
    <t>13.8. Sprint 5</t>
  </si>
  <si>
    <t>13 sp Story got carried - Identified more difference in source data during Data fix.</t>
  </si>
  <si>
    <t>13.8. Sprint 6</t>
  </si>
  <si>
    <t xml:space="preserve">Major focus on the update Scripts for the Beginning Balance.
5 sp wasnt worked on at all as we had depdendencies on other stories 
2 sp is a defect which is also a dependency. 
10 sp was marked completed and pivoted into a new story. </t>
  </si>
  <si>
    <t>13.8 Sprint 7</t>
  </si>
  <si>
    <t xml:space="preserve">13.8 Sprint 8 </t>
  </si>
  <si>
    <t>14.1 Sprint 1</t>
  </si>
  <si>
    <t xml:space="preserve">Started Working on Stretch items as part of the sprint.
Pulled in a epic.  </t>
  </si>
  <si>
    <t>14.1 Sprint 2</t>
  </si>
  <si>
    <t>Missed 13 sp because we couldnt completed regression in time because we had blocking items to complete</t>
  </si>
  <si>
    <t>14.1 Sprint 3</t>
  </si>
  <si>
    <r>
      <rPr>
        <sz val="10"/>
        <color rgb="FF000000"/>
        <rFont val="Arial"/>
        <scheme val="minor"/>
      </rPr>
      <t xml:space="preserve">3 SP was in POV, dev completed but can't test now since we have a dependancy on other item.
</t>
    </r>
    <r>
      <rPr>
        <b/>
        <sz val="10"/>
        <color rgb="FF000000"/>
        <rFont val="Arial"/>
        <scheme val="minor"/>
      </rPr>
      <t xml:space="preserve">26-Sep-24:
</t>
    </r>
    <r>
      <rPr>
        <sz val="10"/>
        <color rgb="FF000000"/>
        <rFont val="Arial"/>
        <scheme val="minor"/>
      </rPr>
      <t>CRC Peer - 0, Onsite - 0, Client - 0.
Internal Defect - 3, External Defect - 0.</t>
    </r>
  </si>
  <si>
    <t>14.2 Sprint 1</t>
  </si>
  <si>
    <t>Introduced - 8 sp</t>
  </si>
  <si>
    <t>14.2 Sprint 2</t>
  </si>
  <si>
    <t>8 sp - Detailed Accounting Analysis required</t>
  </si>
  <si>
    <t>14.2 Sprint 3</t>
  </si>
  <si>
    <t>5sp - Accounting Data investigation. 
8sp - Changes to the story late in the sprint.</t>
  </si>
  <si>
    <t>14.3 Sprint 1</t>
  </si>
  <si>
    <t>Completed new implementation approach for MSB batch import changes, added UI for associating schools to MSB Gateways, added automation tests</t>
  </si>
  <si>
    <t xml:space="preserve">8 sp worked on by OnSite Dev (which is in Testing)
CRC Peer - 0, 
Onsite - 0, 
Client - 0.
Internal Defect - 1, 
External Defect - 4.
</t>
  </si>
  <si>
    <t>Internal:
Great job done by Rijo and Karthik in getting the MSB batch Import new design changes
External: Appreciation recieved from Michael Rose for Sushmitha on her automation activities, from Sarah to Qadir for closing escalation with fix, from Michael Rose to Rijo and Karthik for MSB Batch Import new changes</t>
  </si>
  <si>
    <t>14.3 Sprint 2</t>
  </si>
  <si>
    <t xml:space="preserve">Import from MSB defects fixes​
Macroscope remediation​
Import from MSB redesign data scripts and UI story​
Identified the Root cause of missing installment payments In import From MSB
</t>
  </si>
  <si>
    <t xml:space="preserve">5 sp missed because the fix for the escalation defect is dependant on changes made in 46200 whcih is a stretch item still in progress.
CRC Peer -  , 
Onsite - , 
Client - .
Internal Defect - , 
External Defect - .
</t>
  </si>
  <si>
    <t>14.3 Sprint 3</t>
  </si>
  <si>
    <t>9
(Completed -17.7)</t>
  </si>
  <si>
    <t>Introduced Stretch - 8.7 (Completed)</t>
  </si>
  <si>
    <t xml:space="preserve">Macroscope remediation​
Import from MSB redesign completed, 
BrowserStack Integration for automated Tests
Issues with Installment Payments / Refunds fixed. </t>
  </si>
  <si>
    <t xml:space="preserve">Commit Story - 8 is in progress
8 sp in Client POV before we create the PR, and Test. We found some additional work to be done for this story to manage existing data, so when we deploy , this scenario works seamlessly.
CRC Peer - 0 , 
Onsite - 0, 
Client - 0 .
Internal Defect - 1, 
External Defect - 1.
</t>
  </si>
  <si>
    <r>
      <rPr>
        <b/>
        <sz val="10"/>
        <color rgb="FF000000"/>
        <rFont val="Arial"/>
        <scheme val="minor"/>
      </rPr>
      <t>Internal</t>
    </r>
    <r>
      <rPr>
        <sz val="10"/>
        <color rgb="FF000000"/>
        <rFont val="Arial"/>
        <scheme val="minor"/>
      </rPr>
      <t xml:space="preserve">:Sushmita - Testing and Working On Automation Test Cases - </t>
    </r>
    <r>
      <rPr>
        <b/>
        <sz val="10"/>
        <color rgb="FF000000"/>
        <rFont val="Arial"/>
        <scheme val="minor"/>
      </rPr>
      <t>Qadir
External</t>
    </r>
    <r>
      <rPr>
        <sz val="10"/>
        <color rgb="FF000000"/>
        <rFont val="Arial"/>
        <scheme val="minor"/>
      </rPr>
      <t xml:space="preserve">:
1) Sushmitha doing so well with both manual &amp; Automation testing efforts -  </t>
    </r>
    <r>
      <rPr>
        <b/>
        <sz val="10"/>
        <color rgb="FF000000"/>
        <rFont val="Arial"/>
        <scheme val="minor"/>
      </rPr>
      <t xml:space="preserve">Michael Rose
</t>
    </r>
    <r>
      <rPr>
        <sz val="10"/>
        <color rgb="FF000000"/>
        <rFont val="Arial"/>
        <scheme val="minor"/>
      </rPr>
      <t xml:space="preserve">2) Pramod - thanks for always being willing to roll with new processes and for all the great discussions on our upcoming work!  - </t>
    </r>
    <r>
      <rPr>
        <b/>
        <sz val="10"/>
        <color rgb="FF000000"/>
        <rFont val="Arial"/>
        <scheme val="minor"/>
      </rPr>
      <t xml:space="preserve">Sarah </t>
    </r>
  </si>
  <si>
    <t>14.4 Sprint 1</t>
  </si>
  <si>
    <t xml:space="preserve">Shared gateway functional changes on Import from MSB. -  This brings the end to the changes to ImportFromMSB.
Import MSB batches - Background query changes to create batches from existing data
14.3 Regression Completed
</t>
  </si>
  <si>
    <r>
      <rPr>
        <sz val="10"/>
        <color rgb="FF000000"/>
        <rFont val="Arial"/>
        <scheme val="minor"/>
      </rPr>
      <t xml:space="preserve">2 sp story has been rolled over to the new sprint as a 8 sp story. We're still unsure of the reason the send email job isnt running. We've allocated more time to investigate the issue. Along the way we've found more issues on Production, which were Important to investigate to determine whether we need immediate fixes or not. 
CRC Peer - 0 , 
Onsite - 1, 
Client - 0.
Internal Defect - 2, 
External Defect - 1  .
</t>
    </r>
    <r>
      <rPr>
        <b/>
        <sz val="10"/>
        <color rgb="FF000000"/>
        <rFont val="Arial"/>
        <scheme val="minor"/>
      </rPr>
      <t xml:space="preserve">What Went Well
</t>
    </r>
    <r>
      <rPr>
        <sz val="10"/>
        <color rgb="FF000000"/>
        <rFont val="Arial"/>
        <scheme val="minor"/>
      </rPr>
      <t xml:space="preserve">1) Regression went relatively smoothly, with only 1 main issue.
2) We've got Import Batches now !  No more ImportFromMSB
</t>
    </r>
    <r>
      <rPr>
        <b/>
        <sz val="10"/>
        <color rgb="FF000000"/>
        <rFont val="Arial"/>
        <scheme val="minor"/>
      </rPr>
      <t xml:space="preserve">What didnt Go Well
</t>
    </r>
    <r>
      <rPr>
        <sz val="10"/>
        <color rgb="FF000000"/>
        <rFont val="Arial"/>
        <scheme val="minor"/>
      </rPr>
      <t xml:space="preserve">1) Found issues in prod while researching Email Error Logs
2) Test MSB was down during holidays.
3) Possible configuration issue with gateway / not getting batch IDs.
</t>
    </r>
  </si>
  <si>
    <r>
      <rPr>
        <b/>
        <sz val="10"/>
        <color rgb="FF000000"/>
        <rFont val="Arial"/>
        <scheme val="minor"/>
      </rPr>
      <t xml:space="preserve">Internal : 
</t>
    </r>
    <r>
      <rPr>
        <u/>
        <sz val="10"/>
        <color rgb="FF000000"/>
        <rFont val="Arial"/>
        <scheme val="minor"/>
      </rPr>
      <t>Rijo / Karthik</t>
    </r>
    <r>
      <rPr>
        <sz val="10"/>
        <color rgb="FF000000"/>
        <rFont val="Arial"/>
        <scheme val="minor"/>
      </rPr>
      <t xml:space="preserve"> -  Great Coordination in handling the Import MSB batches. 
</t>
    </r>
    <r>
      <rPr>
        <u/>
        <sz val="10"/>
        <color rgb="FF000000"/>
        <rFont val="Arial"/>
        <scheme val="minor"/>
      </rPr>
      <t>Pramod</t>
    </r>
    <r>
      <rPr>
        <sz val="10"/>
        <color rgb="FF000000"/>
        <rFont val="Arial"/>
        <scheme val="minor"/>
      </rPr>
      <t xml:space="preserve"> -  Reminding team of using new MIDs during Regression. 
</t>
    </r>
    <r>
      <rPr>
        <u/>
        <sz val="10"/>
        <color rgb="FF000000"/>
        <rFont val="Arial"/>
        <scheme val="minor"/>
      </rPr>
      <t>Sushmitha</t>
    </r>
    <r>
      <rPr>
        <sz val="10"/>
        <color rgb="FF000000"/>
        <rFont val="Arial"/>
        <scheme val="minor"/>
      </rPr>
      <t xml:space="preserve"> - identifying the edge cases 
</t>
    </r>
    <r>
      <rPr>
        <b/>
        <sz val="10"/>
        <color rgb="FF000000"/>
        <rFont val="Arial"/>
        <scheme val="minor"/>
      </rPr>
      <t xml:space="preserve">External : 
</t>
    </r>
    <r>
      <rPr>
        <u/>
        <sz val="10"/>
        <color rgb="FF000000"/>
        <rFont val="Arial"/>
        <scheme val="minor"/>
      </rPr>
      <t xml:space="preserve">Team </t>
    </r>
    <r>
      <rPr>
        <sz val="10"/>
        <color rgb="FF000000"/>
        <rFont val="Arial"/>
        <scheme val="minor"/>
      </rPr>
      <t xml:space="preserve">-  keeping focused on sprint goals -  </t>
    </r>
    <r>
      <rPr>
        <b/>
        <sz val="10"/>
        <color rgb="FF000000"/>
        <rFont val="Arial"/>
        <scheme val="minor"/>
      </rPr>
      <t xml:space="preserve">Michael 
</t>
    </r>
    <r>
      <rPr>
        <sz val="10"/>
        <color rgb="FF000000"/>
        <rFont val="Arial"/>
        <scheme val="minor"/>
      </rPr>
      <t xml:space="preserve">Qadir - for taking a majority of the escalation work -  </t>
    </r>
    <r>
      <rPr>
        <b/>
        <sz val="10"/>
        <color rgb="FF000000"/>
        <rFont val="Arial"/>
        <scheme val="minor"/>
      </rPr>
      <t xml:space="preserve">Michael 
</t>
    </r>
    <r>
      <rPr>
        <sz val="10"/>
        <color rgb="FF000000"/>
        <rFont val="Arial"/>
        <scheme val="minor"/>
      </rPr>
      <t xml:space="preserve">Qadir -Good job incorporating the new review points in the demo - </t>
    </r>
    <r>
      <rPr>
        <b/>
        <sz val="10"/>
        <color rgb="FF000000"/>
        <rFont val="Arial"/>
        <scheme val="minor"/>
      </rPr>
      <t xml:space="preserve">Sarah 
</t>
    </r>
  </si>
  <si>
    <t>14.4 Sprint 2</t>
  </si>
  <si>
    <t xml:space="preserve">3 sp introduced. </t>
  </si>
  <si>
    <t xml:space="preserve">PROD deployment Completed. 
Team was quick to pivot to work on the story to hide batches as it could affect users in PROD. </t>
  </si>
  <si>
    <r>
      <rPr>
        <sz val="10"/>
        <color rgb="FF000000"/>
        <rFont val="Arial"/>
        <scheme val="minor"/>
      </rPr>
      <t xml:space="preserve">3 sp from the Alpine DatePicker has been rolled over to the new sprint.  We started it late in the sprint, and it was more complicated than we anticipated.
We had to bring in a new story about hiding the batches once Journalled, because as part of the data fix, we had hidden them. Newly journalled batches were still being displayed. We needed to fix the inconsistency. 
CRC Peer - 0 , 
Onsite - 1, 
Client - 0.
Internal Defect - 2, 
External Defect - 0
</t>
    </r>
    <r>
      <rPr>
        <b/>
        <sz val="10"/>
        <color rgb="FF000000"/>
        <rFont val="Arial"/>
        <scheme val="minor"/>
      </rPr>
      <t xml:space="preserve">What Went Well
</t>
    </r>
    <r>
      <rPr>
        <sz val="10"/>
        <color rgb="FF000000"/>
        <rFont val="Arial"/>
        <scheme val="minor"/>
      </rPr>
      <t xml:space="preserve">1) PROD deployment went well. 
2)  UI for the Job Queue - Will be helpful for the future. 
3) Closed all items except Alpine component, completed 19 out of 19 SP including the 3 SP added later to sprint
4)Got client appreciation for Sushmitha for making progress with Automation test suite
</t>
    </r>
    <r>
      <rPr>
        <b/>
        <sz val="10"/>
        <color rgb="FF000000"/>
        <rFont val="Arial"/>
        <scheme val="minor"/>
      </rPr>
      <t xml:space="preserve">What didnt Go Well
</t>
    </r>
    <r>
      <rPr>
        <sz val="10"/>
        <color rgb="FF000000"/>
        <rFont val="Arial"/>
        <scheme val="minor"/>
      </rPr>
      <t xml:space="preserve">1) Alpine Js datepicker story couldnt be completed as it was more complex than we anticipated.-3sp 
2) Escalation fix got sidetracked. Defect create on it now. 
</t>
    </r>
  </si>
  <si>
    <r>
      <rPr>
        <b/>
        <sz val="10"/>
        <color rgb="FF000000"/>
        <rFont val="Arial"/>
        <scheme val="minor"/>
      </rPr>
      <t xml:space="preserve">Internal :
</t>
    </r>
    <r>
      <rPr>
        <sz val="10"/>
        <color rgb="FF000000"/>
        <rFont val="Arial"/>
        <scheme val="minor"/>
      </rPr>
      <t xml:space="preserve">Sushmitha continuing the progress on the Automation </t>
    </r>
  </si>
  <si>
    <t>14.4 Sprint 3</t>
  </si>
  <si>
    <t xml:space="preserve">Regression was completed. 
Completed 1 story from the stretch and another from the stretch ready for POV. </t>
  </si>
  <si>
    <r>
      <rPr>
        <sz val="10"/>
        <color rgb="FF000000"/>
        <rFont val="Arial"/>
        <scheme val="minor"/>
      </rPr>
      <t xml:space="preserve">Missed 3 sp for the Alpine TextBoxes, Links because we had to focus on the edge case regression defects that were found with Importing batches. 
We completed 3 sp from the stretch as well, bringing in a new feature for Bank Deposit Summary Type setting in the School Settings . This was a story requested by Accounting Customers. 
CRC Peer - 0 , 
Onsite - 0, 
Client - 0.
Internal Defect - 2, 
External Defect - 0
</t>
    </r>
    <r>
      <rPr>
        <b/>
        <sz val="10"/>
        <color rgb="FF000000"/>
        <rFont val="Arial"/>
        <scheme val="minor"/>
      </rPr>
      <t xml:space="preserve">What Went Well
</t>
    </r>
    <r>
      <rPr>
        <sz val="10"/>
        <color rgb="FF000000"/>
        <rFont val="Arial"/>
        <scheme val="minor"/>
      </rPr>
      <t xml:space="preserve">1)  Regression was completed.  
2)  We added an additional story to the release  - 23903, which was not planned. 
3)  Figured out the cause of the Jobs not running as per schedule in Cert and prod. 
4) Karthik and Pramod got client appreciation for completing some stretch items and taking care of standups in the absense of scrum master and PO respectively.
</t>
    </r>
    <r>
      <rPr>
        <b/>
        <sz val="10"/>
        <color rgb="FF000000"/>
        <rFont val="Arial"/>
        <scheme val="minor"/>
      </rPr>
      <t xml:space="preserve">
What didnt Go Well
</t>
    </r>
    <r>
      <rPr>
        <sz val="10"/>
        <color rgb="FF000000"/>
        <rFont val="Arial"/>
        <scheme val="minor"/>
      </rPr>
      <t xml:space="preserve">1) Couldnt Close out Alpine Story. We were very close. 
2) CERT deployment was delayed, and we missed completing one regression defect. </t>
    </r>
  </si>
  <si>
    <r>
      <rPr>
        <b/>
        <sz val="10"/>
        <color rgb="FF000000"/>
        <rFont val="Arial"/>
        <scheme val="minor"/>
      </rPr>
      <t xml:space="preserve">Internal : </t>
    </r>
    <r>
      <rPr>
        <sz val="10"/>
        <color rgb="FF000000"/>
        <rFont val="Arial"/>
        <scheme val="minor"/>
      </rPr>
      <t xml:space="preserve">Same as External
</t>
    </r>
    <r>
      <rPr>
        <b/>
        <sz val="10"/>
        <color rgb="FF000000"/>
        <rFont val="Arial"/>
        <scheme val="minor"/>
      </rPr>
      <t xml:space="preserve">
External  : 
</t>
    </r>
    <r>
      <rPr>
        <sz val="10"/>
        <color rgb="FF000000"/>
        <rFont val="Arial"/>
        <scheme val="minor"/>
      </rPr>
      <t>Pramod for standing in For Sarah and RJ - RJ
Karthik for closing out an item from stretch - James
Qadir - For figuring out the issue with the job Queue.</t>
    </r>
  </si>
  <si>
    <t>14.5 Sprint 1</t>
  </si>
  <si>
    <t>Deployment Completed to PROD. 
We pulled in 2 stories as escalations to be released as it was urgent</t>
  </si>
  <si>
    <t>CRC Peer - 0 , 
Onsite - 0, 
Client - 2.
Bounceback -1
Internal Defect - 1, 
External Defect - 2
What Went Well
Overall, a very good sprint. 
What didnt Go Well
Highlighted an observeation with the client that server patch upgrade was also done during deployment causing server downtime while post deployment verification</t>
  </si>
  <si>
    <r>
      <rPr>
        <b/>
        <sz val="10"/>
        <color rgb="FF000000"/>
        <rFont val="Arial"/>
        <scheme val="minor"/>
      </rPr>
      <t xml:space="preserve">Internal : 
</t>
    </r>
    <r>
      <rPr>
        <sz val="10"/>
        <color rgb="FF000000"/>
        <rFont val="Arial"/>
        <scheme val="minor"/>
      </rPr>
      <t xml:space="preserve">Same as External
</t>
    </r>
    <r>
      <rPr>
        <b/>
        <sz val="10"/>
        <color rgb="FF000000"/>
        <rFont val="Arial"/>
        <scheme val="minor"/>
      </rPr>
      <t xml:space="preserve">External  : 
</t>
    </r>
    <r>
      <rPr>
        <sz val="10"/>
        <color rgb="FF000000"/>
        <rFont val="Arial"/>
        <scheme val="minor"/>
      </rPr>
      <t>Team was hihgly appreciated for achieving more than the sprint commit</t>
    </r>
  </si>
  <si>
    <t>14.5 Sprint 2</t>
  </si>
  <si>
    <r>
      <rPr>
        <b/>
        <sz val="10"/>
        <color rgb="FF000000"/>
        <rFont val="Arial"/>
        <scheme val="minor"/>
      </rPr>
      <t xml:space="preserve">Sprint Reforecast  done </t>
    </r>
    <r>
      <rPr>
        <sz val="10"/>
        <color rgb="FF000000"/>
        <rFont val="Arial"/>
        <scheme val="minor"/>
      </rPr>
      <t xml:space="preserve">- Pulled in additional 5 sp for relevantz. Pulled out 3 sp because it was blocked. 
Completed additional 3 Stories - 10 sp from stretch </t>
    </r>
  </si>
  <si>
    <t>CRC Peer - 0 , 
Onsite - 0, 
Client - 1.
Bounceback -0
Internal Defect - 0, 
External Defect - 4
What Went Well
1. Completed almost the committed SP by picking up items from stretch
2. Rijo and Karthik got client (Sarah and Qadir) appreciation for great demo and completing lots of work even with time off respectively.
What didnt Go Well
2 Stories were blocked due to scrubbed prod db restoration issue on Dev server. Missed 8 SP there.</t>
  </si>
  <si>
    <r>
      <rPr>
        <sz val="10"/>
        <color rgb="FF000000"/>
        <rFont val="Arial"/>
        <scheme val="minor"/>
      </rPr>
      <t xml:space="preserve">Internal : 
Same as External
External  : 
</t>
    </r>
    <r>
      <rPr>
        <b/>
        <sz val="10"/>
        <color rgb="FF000000"/>
        <rFont val="Arial"/>
        <scheme val="minor"/>
      </rPr>
      <t xml:space="preserve">Rijo - </t>
    </r>
    <r>
      <rPr>
        <sz val="10"/>
        <color rgb="FF000000"/>
        <rFont val="Arial"/>
        <scheme val="minor"/>
      </rPr>
      <t xml:space="preserve"> For explaining the context of the 3rd party fees mapping epic - great demo!</t>
    </r>
  </si>
  <si>
    <t>14.5 Sprint 3</t>
  </si>
  <si>
    <t xml:space="preserve">We pulled in 5sp as defects we found during the sprint which should be a part of the release. 
</t>
  </si>
  <si>
    <t>Per Item Fees are now captured by MSB and now Accounting and we can see the proper total fo Tickets Products in MSB Accounting. 
Completed verifications for 2 districts for year end changes .</t>
  </si>
  <si>
    <t xml:space="preserve">
CRC Peer - 1, 
Onsite - 0, 
Client - 0.
Bounceback -0
Internal Defect - 1, 
External Defect - 3
What Went Well
1. Per item fees changes look good. 
2. Nice Error Page 
What didnt Go Well
1 We need to break regression into smaller chunks 
2 Jobs were not running on last day of sprint
</t>
  </si>
  <si>
    <r>
      <rPr>
        <sz val="10"/>
        <color rgb="FF000000"/>
        <rFont val="Arial"/>
        <scheme val="minor"/>
      </rPr>
      <t xml:space="preserve">Internal : 
Same as External
External  : 
</t>
    </r>
    <r>
      <rPr>
        <b/>
        <sz val="10"/>
        <color rgb="FF000000"/>
        <rFont val="Arial"/>
        <scheme val="minor"/>
      </rPr>
      <t xml:space="preserve">Appreciation to 
Sushmitha - </t>
    </r>
    <r>
      <rPr>
        <sz val="10"/>
        <color rgb="FF000000"/>
        <rFont val="Arial"/>
        <scheme val="minor"/>
      </rPr>
      <t xml:space="preserve">  from Wes Perkins (Client QA) for covering the QA activities while he was unable to help on testing due to issues with his laptop
</t>
    </r>
    <r>
      <rPr>
        <b/>
        <sz val="10"/>
        <color rgb="FF000000"/>
        <rFont val="Arial"/>
        <scheme val="minor"/>
      </rPr>
      <t xml:space="preserve">to the entire team  - from accounting customers  </t>
    </r>
    <r>
      <rPr>
        <sz val="10"/>
        <color rgb="FF000000"/>
        <rFont val="Arial"/>
        <scheme val="minor"/>
      </rPr>
      <t xml:space="preserve">for good feature updates - from the MSB Accounting customer feedbacks as captured by Sarah and RJ from their "Connect Conference" with the customers 
</t>
    </r>
    <r>
      <rPr>
        <b/>
        <sz val="10"/>
        <color rgb="FF000000"/>
        <rFont val="Arial"/>
        <scheme val="minor"/>
      </rPr>
      <t xml:space="preserve">to Pramod - from Michael Rose, Sarah and RJ   </t>
    </r>
    <r>
      <rPr>
        <sz val="10"/>
        <color rgb="FF000000"/>
        <rFont val="Arial"/>
        <scheme val="minor"/>
      </rPr>
      <t>for covering the activities for Sarah and RJ while they were absent for the team</t>
    </r>
  </si>
  <si>
    <t>14.6 Sprint 1</t>
  </si>
  <si>
    <t>2.25 (Defect 24968 )</t>
  </si>
  <si>
    <t>Deployment Completed to PROD. 14.5 Release</t>
  </si>
  <si>
    <t>CRC Peer - 0, 
Onsite - 0, 
Client - 0.
Bounceback -0
Internal Defect - 2, 
External Defect - 2
What Went Well
1) Deployment went Well
2) Identifying the underlying cases for the bank rec notification message.
What didnt Go Well
1 We should have reforecast the story Rijo Was working after finding issues that we had not considered. (47244,47262,47263)</t>
  </si>
  <si>
    <r>
      <rPr>
        <sz val="10"/>
        <color rgb="FF000000"/>
        <rFont val="Arial"/>
        <scheme val="minor"/>
      </rPr>
      <t xml:space="preserve">Internal : 
Same as External
External  : 
</t>
    </r>
    <r>
      <rPr>
        <b/>
        <sz val="10"/>
        <color rgb="FF000000"/>
        <rFont val="Arial"/>
        <scheme val="minor"/>
      </rPr>
      <t xml:space="preserve">Appreciation to 
Rijo - </t>
    </r>
    <r>
      <rPr>
        <sz val="10"/>
        <color rgb="FF000000"/>
        <rFont val="Arial"/>
        <scheme val="minor"/>
      </rPr>
      <t xml:space="preserve">  from James Varney (Client Dev) and Michael Rose for successfully leading the deployment in Qadir's absence
</t>
    </r>
    <r>
      <rPr>
        <b/>
        <sz val="10"/>
        <color rgb="FF000000"/>
        <rFont val="Arial"/>
        <scheme val="minor"/>
      </rPr>
      <t xml:space="preserve">Sushmitha and Karthik - </t>
    </r>
    <r>
      <rPr>
        <sz val="10"/>
        <color rgb="FF000000"/>
        <rFont val="Arial"/>
        <scheme val="minor"/>
      </rPr>
      <t xml:space="preserve">from James Varney and Sarah for good Demo during Sprint review 
</t>
    </r>
    <r>
      <rPr>
        <b/>
        <sz val="10"/>
        <color rgb="FF000000"/>
        <rFont val="Arial"/>
        <scheme val="minor"/>
      </rPr>
      <t xml:space="preserve">Karthik - </t>
    </r>
    <r>
      <rPr>
        <sz val="10"/>
        <color rgb="FF000000"/>
        <rFont val="Arial"/>
        <scheme val="minor"/>
      </rPr>
      <t xml:space="preserve"> from Sarah for identifying all underlying cases of bank rec completion notifications and not ending up just with a fix for the surface level defect that was reported</t>
    </r>
  </si>
  <si>
    <t>14.6 Sprint 2</t>
  </si>
  <si>
    <t>None</t>
  </si>
  <si>
    <t>Completed the epic related to third party GL s from Msb and its mapping to Accounting, which is the major item for this release cycle.
Getting started on the entire page migrations to Alpine js by the relevantz team.</t>
  </si>
  <si>
    <t>CRC Peer - 0, 
Onsite - 1, 
Client - 0.
Bounceback -3 (2 from Client Dev)
Internal Defect - 1, 
External Defect - 0
What Went Well
1. Completed the Epic story - 3rd party fee integration support
2. Completed all commited items.
What didnt Go Well: 
Nil</t>
  </si>
  <si>
    <r>
      <rPr>
        <sz val="10"/>
        <color rgb="FF000000"/>
        <rFont val="Arial"/>
        <scheme val="minor"/>
      </rPr>
      <t xml:space="preserve">Internal : 
</t>
    </r>
    <r>
      <rPr>
        <b/>
        <sz val="10"/>
        <color rgb="FF000000"/>
        <rFont val="Arial"/>
        <scheme val="minor"/>
      </rPr>
      <t xml:space="preserve">Appreciation to 
Sushmitha - </t>
    </r>
    <r>
      <rPr>
        <sz val="10"/>
        <color rgb="FF000000"/>
        <rFont val="Arial"/>
        <scheme val="minor"/>
      </rPr>
      <t xml:space="preserve">For catching few edge cases in her QA activities
</t>
    </r>
    <r>
      <rPr>
        <b/>
        <sz val="10"/>
        <color rgb="FF000000"/>
        <rFont val="Arial"/>
        <scheme val="minor"/>
      </rPr>
      <t xml:space="preserve">Karthik </t>
    </r>
    <r>
      <rPr>
        <sz val="10"/>
        <color rgb="FF000000"/>
        <rFont val="Arial"/>
        <scheme val="minor"/>
      </rPr>
      <t xml:space="preserve">- For quickly understanding the additional observation around AC points with me while my POVs and working on it
</t>
    </r>
    <r>
      <rPr>
        <b/>
        <sz val="10"/>
        <color rgb="FF000000"/>
        <rFont val="Arial"/>
        <scheme val="minor"/>
      </rPr>
      <t xml:space="preserve">Rijo </t>
    </r>
    <r>
      <rPr>
        <sz val="10"/>
        <color rgb="FF000000"/>
        <rFont val="Arial"/>
        <scheme val="minor"/>
      </rPr>
      <t xml:space="preserve">-  For his continuous focus and getting the first set of mapping stories done in this sprint
</t>
    </r>
    <r>
      <rPr>
        <b/>
        <sz val="10"/>
        <color rgb="FF000000"/>
        <rFont val="Arial"/>
        <scheme val="minor"/>
      </rPr>
      <t xml:space="preserve">Qadir </t>
    </r>
    <r>
      <rPr>
        <sz val="10"/>
        <color rgb="FF000000"/>
        <rFont val="Arial"/>
        <scheme val="minor"/>
      </rPr>
      <t xml:space="preserve">- For syncing up with Sarah and closing the discussions for Dev team
(All by Pramod)
External  : 
</t>
    </r>
    <r>
      <rPr>
        <b/>
        <sz val="10"/>
        <color rgb="FF000000"/>
        <rFont val="Arial"/>
        <scheme val="minor"/>
      </rPr>
      <t xml:space="preserve">Sushmitha </t>
    </r>
    <r>
      <rPr>
        <sz val="10"/>
        <color rgb="FF000000"/>
        <rFont val="Arial"/>
        <scheme val="minor"/>
      </rPr>
      <t xml:space="preserve">for covering all items in the absence of client QA by - Wes(Client QA) and the entire team
</t>
    </r>
    <r>
      <rPr>
        <b/>
        <sz val="10"/>
        <color rgb="FF000000"/>
        <rFont val="Arial"/>
        <scheme val="minor"/>
      </rPr>
      <t xml:space="preserve">Rijo </t>
    </r>
    <r>
      <rPr>
        <sz val="10"/>
        <color rgb="FF000000"/>
        <rFont val="Arial"/>
        <scheme val="minor"/>
      </rPr>
      <t>for great demo with explanations for the Epic story - By entire team</t>
    </r>
  </si>
  <si>
    <t>14.6 Sprint 3</t>
  </si>
  <si>
    <t>2(Story 47936 re-estimated from 3 to 5 SP)</t>
  </si>
  <si>
    <t xml:space="preserve">Completed the fix for the GUIDs for the 3rd party fees. 
Regression Completed successfully. </t>
  </si>
  <si>
    <t>CRC Peer - 0, 
Onsite - 0, 
Client - 0.
Bounceback -2 
Internal Defect - 0, 
External Defect - 0
What Went Well
1. Completed Regression on time.
2. Completed all commited items.
3.  Reforecasting our stories. 
What didnt Go Well: 
Nil</t>
  </si>
  <si>
    <r>
      <rPr>
        <b/>
        <sz val="10"/>
        <color rgb="FF000000"/>
        <rFont val="Arial"/>
        <scheme val="minor"/>
      </rPr>
      <t xml:space="preserve">Internal : 
</t>
    </r>
    <r>
      <rPr>
        <sz val="10"/>
        <color rgb="FF000000"/>
        <rFont val="Arial"/>
        <scheme val="minor"/>
      </rPr>
      <t xml:space="preserve">Sushmitha - For her work on testing and automated Tests - Qadir/ Pramod 
</t>
    </r>
    <r>
      <rPr>
        <b/>
        <sz val="10"/>
        <color rgb="FF000000"/>
        <rFont val="Arial"/>
        <scheme val="minor"/>
      </rPr>
      <t xml:space="preserve">External  : 
</t>
    </r>
    <r>
      <rPr>
        <sz val="10"/>
        <color rgb="FF000000"/>
        <rFont val="Arial"/>
        <scheme val="minor"/>
      </rPr>
      <t>Qadir - Good Review Demo - Wes / James
Sushmitha - For her work on Automation - Owen Sieber
Sushmitha - For testing scenarios where we found a big issue with the payment confirmation logic.  -  Michael Rose/ Sarah
Rijo - Good Work on the GUID to String Changes and 3rd party Fees - James</t>
    </r>
  </si>
  <si>
    <t>14.7 Sprint 1</t>
  </si>
  <si>
    <t>Successful Production Deployment.
Hitting our sprint targets despite some disruption with the new Synergy integration conflict and escalations</t>
  </si>
  <si>
    <t>CRC Peer - 0, 
Onsite - 0, 
Client - 0.
Bounceback -1 
Internal Defect - 2, 
External Defect - 1</t>
  </si>
  <si>
    <r>
      <rPr>
        <b/>
        <sz val="10"/>
        <color rgb="FF000000"/>
        <rFont val="Arial"/>
        <scheme val="minor"/>
      </rPr>
      <t xml:space="preserve">Internal : 
</t>
    </r>
    <r>
      <rPr>
        <sz val="10"/>
        <color rgb="FF000000"/>
        <rFont val="Arial"/>
        <scheme val="minor"/>
      </rPr>
      <t xml:space="preserve">
</t>
    </r>
    <r>
      <rPr>
        <b/>
        <sz val="10"/>
        <color rgb="FF000000"/>
        <rFont val="Arial"/>
        <scheme val="minor"/>
      </rPr>
      <t xml:space="preserve">External  : 
Sushmitha </t>
    </r>
    <r>
      <rPr>
        <sz val="10"/>
        <color rgb="FF000000"/>
        <rFont val="Arial"/>
        <scheme val="minor"/>
      </rPr>
      <t xml:space="preserve">-  for catching sneaky issues in the overdraw warning - James/ Sarah / Qadir
</t>
    </r>
    <r>
      <rPr>
        <b/>
        <sz val="10"/>
        <color rgb="FF000000"/>
        <rFont val="Arial"/>
        <scheme val="minor"/>
      </rPr>
      <t xml:space="preserve">Rijo </t>
    </r>
    <r>
      <rPr>
        <sz val="10"/>
        <color rgb="FF000000"/>
        <rFont val="Arial"/>
        <scheme val="minor"/>
      </rPr>
      <t xml:space="preserve">and </t>
    </r>
    <r>
      <rPr>
        <b/>
        <sz val="10"/>
        <color rgb="FF000000"/>
        <rFont val="Arial"/>
        <scheme val="minor"/>
      </rPr>
      <t xml:space="preserve">Sushmitha </t>
    </r>
    <r>
      <rPr>
        <sz val="10"/>
        <color rgb="FF000000"/>
        <rFont val="Arial"/>
        <scheme val="minor"/>
      </rPr>
      <t>-coordinating the issues on the Shared batches on Import Batches Feature - Wes /Qadir (Client QA)</t>
    </r>
  </si>
  <si>
    <t>14.7 Sprint 2</t>
  </si>
  <si>
    <t>2 (In stretch)</t>
  </si>
  <si>
    <t>Resolved all 3 escalations. 
Completed the automation test story.
Completed 18 of 24 SP  in spite of the issue with Dev database slowness which affected testing from this sprint.</t>
  </si>
  <si>
    <t xml:space="preserve">CRC Peer - 0, 
Onsite - 2, 
Client - 0.
Bounceback -1 
Internal Defect - 2, 
External Defect - 3
What went well: 
Completed 18 of 24 SP  in spite of the issue with Dev database slowness which affected testing from this sprint.
What didnt Go Well: 
1) 3 Escalations 
2) DEV Database slowness affected testing.on our stories. </t>
  </si>
  <si>
    <r>
      <rPr>
        <sz val="10"/>
        <color rgb="FF000000"/>
        <rFont val="Arial"/>
        <scheme val="minor"/>
      </rPr>
      <t xml:space="preserve">Internal :  Qadir, Rijo and Karthik were focussed on getting the items completed, good progress by Sushmitha on automation - Pramod
External  : 
</t>
    </r>
    <r>
      <rPr>
        <b/>
        <sz val="10"/>
        <color rgb="FF000000"/>
        <rFont val="Arial"/>
        <scheme val="minor"/>
      </rPr>
      <t>Sushmitha &amp; Rijo</t>
    </r>
    <r>
      <rPr>
        <sz val="10"/>
        <color rgb="FF000000"/>
        <rFont val="Arial"/>
        <scheme val="minor"/>
      </rPr>
      <t xml:space="preserve"> - Good demos - James
</t>
    </r>
    <r>
      <rPr>
        <b/>
        <sz val="10"/>
        <color rgb="FF000000"/>
        <rFont val="Arial"/>
        <scheme val="minor"/>
      </rPr>
      <t>Entire team</t>
    </r>
    <r>
      <rPr>
        <sz val="10"/>
        <color rgb="FF000000"/>
        <rFont val="Arial"/>
        <scheme val="minor"/>
      </rPr>
      <t xml:space="preserve"> - Escalation was resolved when I got back from PTO - Sarah
</t>
    </r>
    <r>
      <rPr>
        <b/>
        <sz val="10"/>
        <color rgb="FF000000"/>
        <rFont val="Arial"/>
        <scheme val="minor"/>
      </rPr>
      <t xml:space="preserve">Pramod </t>
    </r>
    <r>
      <rPr>
        <sz val="10"/>
        <color rgb="FF000000"/>
        <rFont val="Arial"/>
        <scheme val="minor"/>
      </rPr>
      <t>- covered POVs to keep things moving - Sarah</t>
    </r>
  </si>
  <si>
    <t>14.7 Sprint 3</t>
  </si>
  <si>
    <t>10 (In stretch)</t>
  </si>
  <si>
    <t>Got Regression Completed. 
HotFix Deployment went well.
Get to start sprint completely fresh.</t>
  </si>
  <si>
    <t xml:space="preserve">CRC Peer - 0, 
Onsite - 0, 
Client - 0.
Bounceback -2 
Internal Defect - 3, 
External Defect - 2
What went well: 
Successful hotfix deployment and completed regression with minimal findings.
What didnt Go Well: 
Scrubbed PROD DB Backup took some time to setup locally due to space.
</t>
  </si>
  <si>
    <r>
      <rPr>
        <sz val="10"/>
        <color rgb="FF000000"/>
        <rFont val="Arial"/>
        <scheme val="minor"/>
      </rPr>
      <t xml:space="preserve">Internal :  
External  : 
</t>
    </r>
    <r>
      <rPr>
        <b/>
        <sz val="10"/>
        <color rgb="FF000000"/>
        <rFont val="Arial"/>
        <scheme val="minor"/>
      </rPr>
      <t>Michael Rose</t>
    </r>
    <r>
      <rPr>
        <sz val="10"/>
        <color rgb="FF000000"/>
        <rFont val="Arial"/>
        <scheme val="minor"/>
      </rPr>
      <t xml:space="preserve"> - Well executed sprint. I love the flexible sprint commit.</t>
    </r>
  </si>
  <si>
    <t>15.0 Sprint 1</t>
  </si>
  <si>
    <t>3 SP missed because Owen was on vacation and couldnt review. 
5 SP missed because we planned 2 stories with 5 sp each which eventually needed to be completed together to release. We could have planned this better. 
2 SP from stretch was blocked because we need customer confirmation</t>
  </si>
  <si>
    <t xml:space="preserve">Completed Production Deployment. 
Good Progress on Alpine Reports using Co Pilot.
</t>
  </si>
  <si>
    <t xml:space="preserve">CRC Peer - 0, 
Onsite - 0, 
Client - 1.
Bounceback -0 
Internal Defect - 0
External Defect - 0
What went well: 
Successful Production deployment 
Co-Pilot Work on Alpine Reports. 
Continuous Progress on Automation Test Cases. 
What didnt Go Well: 
DEV and QA Sites were down for half the sprint.  
Work on the batches -  As always we keep finding these edge case scenarios. </t>
  </si>
  <si>
    <r>
      <rPr>
        <sz val="10"/>
        <color rgb="FF000000"/>
        <rFont val="Arial"/>
        <scheme val="minor"/>
      </rPr>
      <t xml:space="preserve">Internal :  
</t>
    </r>
    <r>
      <rPr>
        <b/>
        <sz val="10"/>
        <color rgb="FF000000"/>
        <rFont val="Arial"/>
        <scheme val="minor"/>
      </rPr>
      <t>Qadir</t>
    </r>
    <r>
      <rPr>
        <sz val="10"/>
        <color rgb="FF000000"/>
        <rFont val="Arial"/>
        <scheme val="minor"/>
      </rPr>
      <t xml:space="preserve"> - Sushmitha's Continous work on Automation.
</t>
    </r>
    <r>
      <rPr>
        <b/>
        <sz val="10"/>
        <color rgb="FF000000"/>
        <rFont val="Arial"/>
        <scheme val="minor"/>
      </rPr>
      <t xml:space="preserve">Pramod </t>
    </r>
    <r>
      <rPr>
        <sz val="10"/>
        <color rgb="FF000000"/>
        <rFont val="Arial"/>
        <scheme val="minor"/>
      </rPr>
      <t xml:space="preserve">-  Thinking ‘outside the box’ on our work &amp; discussing scenarios / AC 
</t>
    </r>
    <r>
      <rPr>
        <b/>
        <sz val="10"/>
        <color rgb="FF000000"/>
        <rFont val="Arial"/>
        <scheme val="minor"/>
      </rPr>
      <t xml:space="preserve">Pramod -  </t>
    </r>
    <r>
      <rPr>
        <sz val="10"/>
        <color rgb="FF000000"/>
        <rFont val="Arial"/>
        <scheme val="minor"/>
      </rPr>
      <t xml:space="preserve">Communication in the team. 
External  : 
</t>
    </r>
    <r>
      <rPr>
        <b/>
        <sz val="10"/>
        <color rgb="FF000000"/>
        <rFont val="Arial"/>
        <scheme val="minor"/>
      </rPr>
      <t>Michael Rose</t>
    </r>
    <r>
      <rPr>
        <sz val="10"/>
        <color rgb="FF000000"/>
        <rFont val="Arial"/>
        <scheme val="minor"/>
      </rPr>
      <t xml:space="preserve"> - Team resilience, even with PO transition.
</t>
    </r>
    <r>
      <rPr>
        <b/>
        <sz val="10"/>
        <color rgb="FF000000"/>
        <rFont val="Arial"/>
        <scheme val="minor"/>
      </rPr>
      <t xml:space="preserve">Michael Rose -  </t>
    </r>
    <r>
      <rPr>
        <sz val="10"/>
        <color rgb="FF000000"/>
        <rFont val="Arial"/>
        <scheme val="minor"/>
      </rPr>
      <t xml:space="preserve">Good demo on the use of Copilot by Qadir for Alpine Reports. 
</t>
    </r>
    <r>
      <rPr>
        <b/>
        <sz val="10"/>
        <color rgb="FF000000"/>
        <rFont val="Arial"/>
        <scheme val="minor"/>
      </rPr>
      <t>Wes Perkins</t>
    </r>
    <r>
      <rPr>
        <sz val="10"/>
        <color rgb="FF000000"/>
        <rFont val="Arial"/>
        <scheme val="minor"/>
      </rPr>
      <t xml:space="preserve"> - Qadir on defect I had to test, Sushmitha for picking up while I was on vacation
</t>
    </r>
  </si>
  <si>
    <t>15.0 Sprint 2</t>
  </si>
  <si>
    <r>
      <rPr>
        <sz val="10"/>
        <color rgb="FF000000"/>
        <rFont val="Arial"/>
        <scheme val="minor"/>
      </rPr>
      <t xml:space="preserve">6 sp blocked because of issues on MSB Side with Portico.  We couldnt test.  
6 sp missed with the work on Alpinejs.
</t>
    </r>
    <r>
      <rPr>
        <b/>
        <sz val="10"/>
        <color rgb="FF000000"/>
        <rFont val="Arial"/>
        <scheme val="minor"/>
      </rPr>
      <t xml:space="preserve">Stretch completed
</t>
    </r>
    <r>
      <rPr>
        <sz val="10"/>
        <color rgb="FF000000"/>
        <rFont val="Arial"/>
        <scheme val="minor"/>
      </rPr>
      <t xml:space="preserve">4 sp completed from stretch </t>
    </r>
  </si>
  <si>
    <t xml:space="preserve">Beginning Balance changes -  Completed 5 Districts this sprint ()
Automation Progress.  </t>
  </si>
  <si>
    <r>
      <rPr>
        <b/>
        <sz val="10"/>
        <color rgb="FF000000"/>
        <rFont val="Arial"/>
        <scheme val="minor"/>
      </rPr>
      <t xml:space="preserve">Comments : 
</t>
    </r>
    <r>
      <rPr>
        <sz val="10"/>
        <color rgb="FF000000"/>
        <rFont val="Arial"/>
        <scheme val="minor"/>
      </rPr>
      <t xml:space="preserve">CRC Peer - 2, 
Onsite - 0, 
Client - 1.
</t>
    </r>
    <r>
      <rPr>
        <b/>
        <sz val="10"/>
        <color rgb="FF000000"/>
        <rFont val="Arial"/>
        <scheme val="minor"/>
      </rPr>
      <t xml:space="preserve">Defects: 
</t>
    </r>
    <r>
      <rPr>
        <sz val="10"/>
        <color rgb="FF000000"/>
        <rFont val="Arial"/>
        <scheme val="minor"/>
      </rPr>
      <t xml:space="preserve">Bounceback -0 
Internal Defect - 1
External Defect - 0
</t>
    </r>
    <r>
      <rPr>
        <b/>
        <sz val="10"/>
        <color rgb="FF000000"/>
        <rFont val="Arial"/>
        <scheme val="minor"/>
      </rPr>
      <t>What went well</t>
    </r>
    <r>
      <rPr>
        <sz val="10"/>
        <color rgb="FF000000"/>
        <rFont val="Arial"/>
        <scheme val="minor"/>
      </rPr>
      <t xml:space="preserve">: 
 MSB team responded quickly to the issue on the batchid’s
 Pramod PO stepping in
 Beginning balance story progress -  Completed 5 stories.
 Automation progress
</t>
    </r>
    <r>
      <rPr>
        <b/>
        <sz val="10"/>
        <color rgb="FF000000"/>
        <rFont val="Arial"/>
        <scheme val="minor"/>
      </rPr>
      <t>What didnt Go Well</t>
    </r>
    <r>
      <rPr>
        <sz val="10"/>
        <color rgb="FF000000"/>
        <rFont val="Arial"/>
        <scheme val="minor"/>
      </rPr>
      <t>: 
 Overcommitted - Alpine Reports 
 Blocker with batchids 
 timeout issues on Portico side (issue on Portico side)</t>
    </r>
  </si>
  <si>
    <r>
      <rPr>
        <sz val="10"/>
        <color rgb="FF000000"/>
        <rFont val="Arial"/>
        <scheme val="minor"/>
      </rPr>
      <t xml:space="preserve">Internal :  
</t>
    </r>
    <r>
      <rPr>
        <b/>
        <sz val="10"/>
        <color rgb="FF000000"/>
        <rFont val="Arial"/>
        <scheme val="minor"/>
      </rPr>
      <t>Qadir/ Pramod</t>
    </r>
    <r>
      <rPr>
        <sz val="10"/>
        <color rgb="FF000000"/>
        <rFont val="Arial"/>
        <scheme val="minor"/>
      </rPr>
      <t xml:space="preserve"> : Karthik plowing through the Beginning Balance changes / data analysis and narrowing down potential trouble areas as pattern
</t>
    </r>
    <r>
      <rPr>
        <b/>
        <sz val="10"/>
        <color rgb="FF000000"/>
        <rFont val="Arial"/>
        <scheme val="minor"/>
      </rPr>
      <t xml:space="preserve">Qadir/ Pramod  </t>
    </r>
    <r>
      <rPr>
        <sz val="10"/>
        <color rgb="FF000000"/>
        <rFont val="Arial"/>
        <scheme val="minor"/>
      </rPr>
      <t xml:space="preserve">: Sushmitha towards her automation work
</t>
    </r>
    <r>
      <rPr>
        <b/>
        <sz val="10"/>
        <color rgb="FF000000"/>
        <rFont val="Arial"/>
        <scheme val="minor"/>
      </rPr>
      <t>Pramod :</t>
    </r>
    <r>
      <rPr>
        <sz val="10"/>
        <color rgb="FF000000"/>
        <rFont val="Arial"/>
        <scheme val="minor"/>
      </rPr>
      <t xml:space="preserve"> Rijo assist with Sushmitha on batches / troubleshooting
</t>
    </r>
    <r>
      <rPr>
        <b/>
        <sz val="10"/>
        <color rgb="FF000000"/>
        <rFont val="Arial"/>
        <scheme val="minor"/>
      </rPr>
      <t xml:space="preserve">Karthik : </t>
    </r>
    <r>
      <rPr>
        <sz val="10"/>
        <color rgb="FF000000"/>
        <rFont val="Arial"/>
        <scheme val="minor"/>
      </rPr>
      <t xml:space="preserve">Pramod &amp; Qadir on BatchID issue resolution / collaboration
</t>
    </r>
    <r>
      <rPr>
        <b/>
        <sz val="10"/>
        <color rgb="FF000000"/>
        <rFont val="Arial"/>
        <scheme val="minor"/>
      </rPr>
      <t xml:space="preserve">Karthik : </t>
    </r>
    <r>
      <rPr>
        <sz val="10"/>
        <color rgb="FF000000"/>
        <rFont val="Arial"/>
        <scheme val="minor"/>
      </rPr>
      <t xml:space="preserve">Pramod beginning balance collab
</t>
    </r>
    <r>
      <rPr>
        <b/>
        <sz val="10"/>
        <color rgb="FF000000"/>
        <rFont val="Arial"/>
        <scheme val="minor"/>
      </rPr>
      <t xml:space="preserve">
</t>
    </r>
    <r>
      <rPr>
        <sz val="10"/>
        <color rgb="FF000000"/>
        <rFont val="Arial"/>
        <scheme val="minor"/>
      </rPr>
      <t xml:space="preserve">
External  : 
</t>
    </r>
    <r>
      <rPr>
        <b/>
        <sz val="10"/>
        <color rgb="FF000000"/>
        <rFont val="Arial"/>
        <scheme val="minor"/>
      </rPr>
      <t>Wes (Client QA) :</t>
    </r>
    <r>
      <rPr>
        <sz val="10"/>
        <color rgb="FF000000"/>
        <rFont val="Arial"/>
        <scheme val="minor"/>
      </rPr>
      <t xml:space="preserve"> Karthikeyan - the POV video on story 47285 was a great help when it came to testing.
</t>
    </r>
    <r>
      <rPr>
        <b/>
        <sz val="10"/>
        <color rgb="FF000000"/>
        <rFont val="Arial"/>
        <scheme val="minor"/>
      </rPr>
      <t xml:space="preserve">James  : </t>
    </r>
    <r>
      <rPr>
        <sz val="10"/>
        <color rgb="FF000000"/>
        <rFont val="Arial"/>
        <scheme val="minor"/>
      </rPr>
      <t xml:space="preserve">Demos as usual went really well.
</t>
    </r>
  </si>
  <si>
    <t>15.0 Sprint 3</t>
  </si>
  <si>
    <t>2 SPs from regression couldn't be completed because of delayed deployment to CERT.
Completed 4 SPs from stretch.</t>
  </si>
  <si>
    <t xml:space="preserve">Completed 90% regression in a short duration
Added functionality for the support team to lock beginning balances and Fix batches imported from MSB.  
</t>
  </si>
  <si>
    <r>
      <rPr>
        <b/>
        <sz val="10"/>
        <color rgb="FF000000"/>
        <rFont val="Arial"/>
        <scheme val="minor"/>
      </rPr>
      <t xml:space="preserve">Comments : 
</t>
    </r>
    <r>
      <rPr>
        <sz val="10"/>
        <color rgb="FF000000"/>
        <rFont val="Arial"/>
        <scheme val="minor"/>
      </rPr>
      <t xml:space="preserve">CRC Peer - 1, 
Onsite - 0, 
Client - 1.
</t>
    </r>
    <r>
      <rPr>
        <b/>
        <sz val="10"/>
        <color rgb="FF000000"/>
        <rFont val="Arial"/>
        <scheme val="minor"/>
      </rPr>
      <t xml:space="preserve">Defects: 
</t>
    </r>
    <r>
      <rPr>
        <sz val="10"/>
        <color rgb="FF000000"/>
        <rFont val="Arial"/>
        <scheme val="minor"/>
      </rPr>
      <t xml:space="preserve">Bounceback -3 
Internal Defect - 2
External Defect - 0
</t>
    </r>
    <r>
      <rPr>
        <b/>
        <sz val="10"/>
        <color rgb="FF000000"/>
        <rFont val="Arial"/>
        <scheme val="minor"/>
      </rPr>
      <t xml:space="preserve">What went well: 
</t>
    </r>
    <r>
      <rPr>
        <sz val="10"/>
        <color rgb="FF000000"/>
        <rFont val="Arial"/>
        <scheme val="minor"/>
      </rPr>
      <t xml:space="preserve">Completed Regression in a short period of time.  
Closed 2 escalations. 
</t>
    </r>
    <r>
      <rPr>
        <b/>
        <sz val="10"/>
        <color rgb="FF000000"/>
        <rFont val="Arial"/>
        <scheme val="minor"/>
      </rPr>
      <t xml:space="preserve">What didnt Go Well: 
</t>
    </r>
    <r>
      <rPr>
        <sz val="10"/>
        <color rgb="FF000000"/>
        <rFont val="Arial"/>
        <scheme val="minor"/>
      </rPr>
      <t>CERT Deployment took a day longer than we were ready.  Missed a day to test.</t>
    </r>
  </si>
  <si>
    <r>
      <rPr>
        <sz val="10"/>
        <color rgb="FF000000"/>
        <rFont val="Arial"/>
        <scheme val="minor"/>
      </rPr>
      <t xml:space="preserve">Internal :  
</t>
    </r>
    <r>
      <rPr>
        <b/>
        <sz val="10"/>
        <color rgb="FF000000"/>
        <rFont val="Arial"/>
        <scheme val="minor"/>
      </rPr>
      <t>Qadir</t>
    </r>
    <r>
      <rPr>
        <sz val="10"/>
        <color rgb="FF000000"/>
        <rFont val="Arial"/>
        <scheme val="minor"/>
      </rPr>
      <t xml:space="preserve"> - Entire Team -  Great coordination on getting this far into the regression
</t>
    </r>
    <r>
      <rPr>
        <b/>
        <sz val="10"/>
        <color rgb="FF000000"/>
        <rFont val="Arial"/>
        <scheme val="minor"/>
      </rPr>
      <t>Qadir</t>
    </r>
    <r>
      <rPr>
        <sz val="10"/>
        <color rgb="FF000000"/>
        <rFont val="Arial"/>
        <scheme val="minor"/>
      </rPr>
      <t xml:space="preserve"> -  Pramod - Taking on a lot more! 
</t>
    </r>
    <r>
      <rPr>
        <b/>
        <sz val="10"/>
        <color rgb="FF000000"/>
        <rFont val="Arial"/>
        <scheme val="minor"/>
      </rPr>
      <t>Pramod</t>
    </r>
    <r>
      <rPr>
        <sz val="10"/>
        <color rgb="FF000000"/>
        <rFont val="Arial"/>
        <scheme val="minor"/>
      </rPr>
      <t xml:space="preserve"> - Rijo for the work on Lock/Unlock beg balance and Fix MSB Batches page
</t>
    </r>
    <r>
      <rPr>
        <b/>
        <sz val="10"/>
        <color rgb="FF000000"/>
        <rFont val="Arial"/>
        <scheme val="minor"/>
      </rPr>
      <t xml:space="preserve">Sushmitha  - </t>
    </r>
    <r>
      <rPr>
        <sz val="10"/>
        <color rgb="FF000000"/>
        <rFont val="Arial"/>
        <scheme val="minor"/>
      </rPr>
      <t xml:space="preserve">Kudos to Pramod for managing all the PO activities in Sarah's absence. Great job stepping
</t>
    </r>
    <r>
      <rPr>
        <b/>
        <sz val="10"/>
        <color rgb="FF000000"/>
        <rFont val="Arial"/>
        <scheme val="minor"/>
      </rPr>
      <t xml:space="preserve">Sushmitha -  </t>
    </r>
    <r>
      <rPr>
        <sz val="10"/>
        <color rgb="FF000000"/>
        <rFont val="Arial"/>
        <scheme val="minor"/>
      </rPr>
      <t xml:space="preserve">Appreciate Qadir's coordination with the Platform Ops teams to modify the database queries for testing the GETMSBBatches functionality.
</t>
    </r>
    <r>
      <rPr>
        <b/>
        <sz val="10"/>
        <color rgb="FF000000"/>
        <rFont val="Arial"/>
        <scheme val="minor"/>
      </rPr>
      <t xml:space="preserve">Karthik </t>
    </r>
    <r>
      <rPr>
        <sz val="10"/>
        <color rgb="FF000000"/>
        <rFont val="Arial"/>
        <scheme val="minor"/>
      </rPr>
      <t xml:space="preserve">-  Rijo gave a great demo .
</t>
    </r>
    <r>
      <rPr>
        <b/>
        <sz val="10"/>
        <color rgb="FF000000"/>
        <rFont val="Arial"/>
        <scheme val="minor"/>
      </rPr>
      <t>Karthik</t>
    </r>
    <r>
      <rPr>
        <sz val="10"/>
        <color rgb="FF000000"/>
        <rFont val="Arial"/>
        <scheme val="minor"/>
      </rPr>
      <t xml:space="preserve">-  Sushmitha - for her continuous high-quality testing effort. 
External : 
</t>
    </r>
    <r>
      <rPr>
        <b/>
        <sz val="10"/>
        <color rgb="FF000000"/>
        <rFont val="Arial"/>
        <scheme val="minor"/>
      </rPr>
      <t xml:space="preserve">James Varney  / RJ </t>
    </r>
    <r>
      <rPr>
        <sz val="10"/>
        <color rgb="FF000000"/>
        <rFont val="Arial"/>
        <scheme val="minor"/>
      </rPr>
      <t xml:space="preserve">-  Super Demo by Rijo 
</t>
    </r>
    <r>
      <rPr>
        <b/>
        <sz val="10"/>
        <color rgb="FF000000"/>
        <rFont val="Arial"/>
        <scheme val="minor"/>
      </rPr>
      <t xml:space="preserve">James Varney - </t>
    </r>
    <r>
      <rPr>
        <sz val="10"/>
        <color rgb="FF000000"/>
        <rFont val="Arial"/>
        <scheme val="minor"/>
      </rPr>
      <t xml:space="preserve">The team - The regression went really well with the short time period.
</t>
    </r>
  </si>
  <si>
    <t>15.1 Sprint 1</t>
  </si>
  <si>
    <t>(16 sp commit, 10 stretch) 
8 SPs missed with the stories worked by client dev.
3 SPs missed because we got few escalations in the middle of sprint. So couldn't make progress on this.
Completed 10 SPs from stretch.</t>
  </si>
  <si>
    <t>15.0 Deployment went well.
Completed new requirement that came as an escalation from customer. (Thatcher)</t>
  </si>
  <si>
    <r>
      <rPr>
        <b/>
        <sz val="10"/>
        <color rgb="FF000000"/>
        <rFont val="Arial"/>
        <scheme val="minor"/>
      </rPr>
      <t xml:space="preserve">Comments : 
</t>
    </r>
    <r>
      <rPr>
        <sz val="10"/>
        <color rgb="FF000000"/>
        <rFont val="Arial"/>
        <scheme val="minor"/>
      </rPr>
      <t xml:space="preserve">CRC Peer - 0, 
Onsite - 0, 
Client - 0.
</t>
    </r>
    <r>
      <rPr>
        <b/>
        <sz val="10"/>
        <color rgb="FF000000"/>
        <rFont val="Arial"/>
        <scheme val="minor"/>
      </rPr>
      <t xml:space="preserve">Defects: 
</t>
    </r>
    <r>
      <rPr>
        <sz val="10"/>
        <color rgb="FF000000"/>
        <rFont val="Arial"/>
        <scheme val="minor"/>
      </rPr>
      <t xml:space="preserve">Bounceback -1 
Internal Defect - 0
External Defect - 3
</t>
    </r>
    <r>
      <rPr>
        <b/>
        <sz val="10"/>
        <color rgb="FF000000"/>
        <rFont val="Arial"/>
        <scheme val="minor"/>
      </rPr>
      <t xml:space="preserve">What went well: 
</t>
    </r>
    <r>
      <rPr>
        <sz val="10"/>
        <color rgb="FF000000"/>
        <rFont val="Arial"/>
        <scheme val="minor"/>
      </rPr>
      <t xml:space="preserve">Completed 15.0 deployment successfully.  
Closed 1 escalations. 
Completed new requirement that came as an escalation from customer.
</t>
    </r>
    <r>
      <rPr>
        <b/>
        <sz val="10"/>
        <color rgb="FF000000"/>
        <rFont val="Arial"/>
        <scheme val="minor"/>
      </rPr>
      <t xml:space="preserve">What didnt Go Well: 
</t>
    </r>
    <r>
      <rPr>
        <sz val="10"/>
        <color rgb="FF000000"/>
        <rFont val="Arial"/>
        <scheme val="minor"/>
      </rPr>
      <t xml:space="preserve">Dev DB restore took extra time.
Clarifications needed from customers on work.
4 Escalations.
Issues with WAF. </t>
    </r>
  </si>
  <si>
    <r>
      <rPr>
        <sz val="10"/>
        <color rgb="FF000000"/>
        <rFont val="Arial"/>
        <scheme val="minor"/>
      </rPr>
      <t xml:space="preserve">Internal :  
</t>
    </r>
    <r>
      <rPr>
        <b/>
        <sz val="10"/>
        <color rgb="FF000000"/>
        <rFont val="Arial"/>
        <scheme val="minor"/>
      </rPr>
      <t xml:space="preserve">Sushmitha  - </t>
    </r>
    <r>
      <rPr>
        <sz val="10"/>
        <color rgb="FF000000"/>
        <rFont val="Arial"/>
        <scheme val="minor"/>
      </rPr>
      <t xml:space="preserve">Rijo on stepping in for Thatcher escalation understanding their needs
</t>
    </r>
    <r>
      <rPr>
        <b/>
        <sz val="10"/>
        <color rgb="FF000000"/>
        <rFont val="Arial"/>
        <scheme val="minor"/>
      </rPr>
      <t xml:space="preserve">Karthik </t>
    </r>
    <r>
      <rPr>
        <sz val="10"/>
        <color rgb="FF000000"/>
        <rFont val="Arial"/>
        <scheme val="minor"/>
      </rPr>
      <t xml:space="preserve">-  Rijo’s great work on Thatcher’s requirement from escalation.
</t>
    </r>
    <r>
      <rPr>
        <b/>
        <sz val="10"/>
        <color rgb="FF000000"/>
        <rFont val="Arial"/>
        <scheme val="minor"/>
      </rPr>
      <t xml:space="preserve">Qadir -  </t>
    </r>
    <r>
      <rPr>
        <sz val="10"/>
        <color rgb="FF000000"/>
        <rFont val="Arial"/>
        <scheme val="minor"/>
      </rPr>
      <t xml:space="preserve">Karthik quietly working on the beginning balance changes.
</t>
    </r>
    <r>
      <rPr>
        <b/>
        <sz val="10"/>
        <color rgb="FF000000"/>
        <rFont val="Arial"/>
        <scheme val="minor"/>
      </rPr>
      <t xml:space="preserve">Qadir -  </t>
    </r>
    <r>
      <rPr>
        <sz val="10"/>
        <color rgb="FF000000"/>
        <rFont val="Arial"/>
        <scheme val="minor"/>
      </rPr>
      <t xml:space="preserve">Pramod taking on the additional work after Sarah's departure.
External : 
</t>
    </r>
    <r>
      <rPr>
        <b/>
        <sz val="10"/>
        <color rgb="FF000000"/>
        <rFont val="Arial"/>
        <scheme val="minor"/>
      </rPr>
      <t xml:space="preserve">James Varney  </t>
    </r>
    <r>
      <rPr>
        <sz val="10"/>
        <color rgb="FF000000"/>
        <rFont val="Arial"/>
        <scheme val="minor"/>
      </rPr>
      <t xml:space="preserve">-  Qadir demo’s 
</t>
    </r>
  </si>
  <si>
    <t>15.1 Sprint 2</t>
  </si>
  <si>
    <t xml:space="preserve">Missed 11 sp due to time spent on escalations that came in during the sprint. </t>
  </si>
  <si>
    <t xml:space="preserve">We had a good sprint where we completed a Hotfix and resolved 1 escalation and found an additianal defect on another escalations.  
We had quite a few roadblocks this sprint, due to time spent in resolving escalations and going back forth with customers who dont respond timely.  
We also had infrastructure related issue where our DEV/QA Servers were down on both mondays after auto park didnt work.  
Apart from the auto park, the infrastructre team implemented a WAF on DEV/QA which blocked our reports, and hence our testing on a few stories. 
The WAF implementation is also an escalation since we saw a lot of Bad URL requests coming in through the logs.  
</t>
  </si>
  <si>
    <t xml:space="preserve">15.0 Hotfix completed 
Made progress on most of the escalations.  </t>
  </si>
  <si>
    <r>
      <rPr>
        <b/>
        <sz val="10"/>
        <color rgb="FF000000"/>
        <rFont val="Arial"/>
        <scheme val="minor"/>
      </rPr>
      <t xml:space="preserve">Comments </t>
    </r>
    <r>
      <rPr>
        <sz val="10"/>
        <color rgb="FF000000"/>
        <rFont val="Arial"/>
        <scheme val="minor"/>
      </rPr>
      <t xml:space="preserve">: 
CRC Peer - 0, 
Onsite - 0, 
Client - 0.
Defects: 
Bounceback -2
Internal Defect - 2
External Defect - 5 (including escalations)
</t>
    </r>
    <r>
      <rPr>
        <b/>
        <sz val="10"/>
        <color rgb="FF000000"/>
        <rFont val="Arial"/>
        <scheme val="minor"/>
      </rPr>
      <t xml:space="preserve">What went well: 
</t>
    </r>
    <r>
      <rPr>
        <sz val="10"/>
        <color rgb="FF000000"/>
        <rFont val="Arial"/>
        <scheme val="minor"/>
      </rPr>
      <t xml:space="preserve">Very good progress on Escalations, and we are ready for hot fix deployment.
Some good progress on Alpine
Parmod 5 Stars for Planning and Review..
</t>
    </r>
    <r>
      <rPr>
        <b/>
        <sz val="10"/>
        <color rgb="FF000000"/>
        <rFont val="Arial"/>
        <scheme val="minor"/>
      </rPr>
      <t xml:space="preserve">What didnt Go Well: 
</t>
    </r>
    <r>
      <rPr>
        <sz val="10"/>
        <color rgb="FF000000"/>
        <rFont val="Arial"/>
        <scheme val="minor"/>
      </rPr>
      <t>WAF on DEV/QA blocked testing for a while
We had DEV/QA servers unavailable on monday.
6 Escalations.</t>
    </r>
  </si>
  <si>
    <r>
      <rPr>
        <b/>
        <sz val="10"/>
        <color rgb="FF000000"/>
        <rFont val="Arial"/>
        <scheme val="minor"/>
      </rPr>
      <t xml:space="preserve"> Sushmitha Thirumurugan [C] - </t>
    </r>
    <r>
      <rPr>
        <sz val="10"/>
        <color rgb="FF000000"/>
        <rFont val="Arial"/>
        <scheme val="minor"/>
      </rPr>
      <t xml:space="preserve"> for coordinating with MSB Web team and using her own implementation to create over 200 transactions on test MSB. 
</t>
    </r>
    <r>
      <rPr>
        <b/>
        <sz val="10"/>
        <color rgb="FF000000"/>
        <rFont val="Arial"/>
        <scheme val="minor"/>
      </rPr>
      <t xml:space="preserve">Pramod -  </t>
    </r>
    <r>
      <rPr>
        <sz val="10"/>
        <color rgb="FF000000"/>
        <rFont val="Arial"/>
        <scheme val="minor"/>
      </rPr>
      <t xml:space="preserve">for handling review and planning in the absence of RJ and Tino.
</t>
    </r>
    <r>
      <rPr>
        <b/>
        <sz val="10"/>
        <color rgb="FF000000"/>
        <rFont val="Arial"/>
        <scheme val="minor"/>
      </rPr>
      <t xml:space="preserve">Rijo  - </t>
    </r>
    <r>
      <rPr>
        <sz val="10"/>
        <color rgb="FF000000"/>
        <rFont val="Arial"/>
        <scheme val="minor"/>
      </rPr>
      <t xml:space="preserve"> - Kudos to Rijo for identifying the root cause of the import issue and fixing it
</t>
    </r>
  </si>
  <si>
    <t>15.1 Sprint 3</t>
  </si>
  <si>
    <t>Completed 26 from main commit and 5 from stretch. Missed 2 SP from main commit since we were waiting for confirmation from the customer for a week.</t>
  </si>
  <si>
    <t>We had a good sprint. Completed a hotfix deployment and the escalation got resolved, both customer and support team was happy about it. 
Completed regression and haven't found much issues.
Closed all 5 escalations that were open in the sprint.</t>
  </si>
  <si>
    <t>Successfull hotfix deployment. 
Completed target SPs amid 5 escalations that we worked in this sprint.
Closed all 5 escalations from this sprint.</t>
  </si>
  <si>
    <r>
      <rPr>
        <b/>
        <sz val="10"/>
        <color rgb="FF000000"/>
        <rFont val="Arial"/>
        <scheme val="minor"/>
      </rPr>
      <t xml:space="preserve">Comments : 
</t>
    </r>
    <r>
      <rPr>
        <sz val="10"/>
        <color rgb="FF000000"/>
        <rFont val="Arial"/>
        <scheme val="minor"/>
      </rPr>
      <t xml:space="preserve">CRC Peer - 0, 
Onsite - 0, 
Client - 0.
Defects: 
Bounceback -0
Internal Defect - 2
External Defect - 4 (including escalations)
</t>
    </r>
    <r>
      <rPr>
        <b/>
        <sz val="10"/>
        <color rgb="FF000000"/>
        <rFont val="Arial"/>
        <scheme val="minor"/>
      </rPr>
      <t xml:space="preserve">What went well: 
</t>
    </r>
    <r>
      <rPr>
        <sz val="10"/>
        <color rgb="FF000000"/>
        <rFont val="Arial"/>
        <scheme val="minor"/>
      </rPr>
      <t xml:space="preserve">Closed all 5 escalations.
Successfull hotfix deployment, escalation got resolved and the prod district started getting transactions from MSB.
Completed regression and haven't found much issues.
</t>
    </r>
    <r>
      <rPr>
        <b/>
        <sz val="10"/>
        <color rgb="FF000000"/>
        <rFont val="Arial"/>
        <scheme val="minor"/>
      </rPr>
      <t xml:space="preserve">What didnt Go Well: 
</t>
    </r>
    <r>
      <rPr>
        <sz val="10"/>
        <color rgb="FF000000"/>
        <rFont val="Arial"/>
        <scheme val="minor"/>
      </rPr>
      <t>5 Escalations(3 carried from last sprint)</t>
    </r>
  </si>
  <si>
    <r>
      <rPr>
        <b/>
        <sz val="10"/>
        <color rgb="FF000000"/>
        <rFont val="Arial"/>
        <scheme val="minor"/>
      </rPr>
      <t xml:space="preserve">Internal:
Qadir </t>
    </r>
    <r>
      <rPr>
        <sz val="10"/>
        <color rgb="FF000000"/>
        <rFont val="Arial"/>
        <scheme val="minor"/>
      </rPr>
      <t xml:space="preserve">- To Rijo for Handling the Deployment after I had to drop off. 
</t>
    </r>
    <r>
      <rPr>
        <b/>
        <sz val="10"/>
        <color rgb="FF000000"/>
        <rFont val="Arial"/>
        <scheme val="minor"/>
      </rPr>
      <t xml:space="preserve">Pramod </t>
    </r>
    <r>
      <rPr>
        <sz val="10"/>
        <color rgb="FF000000"/>
        <rFont val="Arial"/>
        <scheme val="minor"/>
      </rPr>
      <t xml:space="preserve">- To Rijo for RCA and fix for getting the Thacher MSB Batches fetch working and handling the hotfix deployment
</t>
    </r>
    <r>
      <rPr>
        <b/>
        <sz val="10"/>
        <color rgb="FF000000"/>
        <rFont val="Arial"/>
        <scheme val="minor"/>
      </rPr>
      <t xml:space="preserve">Sushmitha </t>
    </r>
    <r>
      <rPr>
        <sz val="10"/>
        <color rgb="FF000000"/>
        <rFont val="Arial"/>
        <scheme val="minor"/>
      </rPr>
      <t xml:space="preserve">- Kudos to Rijo and Pramod for handling the hotfix deployment!
</t>
    </r>
    <r>
      <rPr>
        <b/>
        <sz val="10"/>
        <color rgb="FF000000"/>
        <rFont val="Arial"/>
        <scheme val="minor"/>
      </rPr>
      <t xml:space="preserve">Sushmitha </t>
    </r>
    <r>
      <rPr>
        <sz val="10"/>
        <color rgb="FF000000"/>
        <rFont val="Arial"/>
        <scheme val="minor"/>
      </rPr>
      <t xml:space="preserve">- Kudos to Pramod and Qadir for consistently following up on escalations and keeping the status updated in the comments
</t>
    </r>
    <r>
      <rPr>
        <b/>
        <sz val="10"/>
        <color rgb="FF000000"/>
        <rFont val="Arial"/>
        <scheme val="minor"/>
      </rPr>
      <t xml:space="preserve">Pramod </t>
    </r>
    <r>
      <rPr>
        <sz val="10"/>
        <color rgb="FF000000"/>
        <rFont val="Arial"/>
        <scheme val="minor"/>
      </rPr>
      <t xml:space="preserve">- To Sushmitha for handling QA activities
</t>
    </r>
    <r>
      <rPr>
        <b/>
        <sz val="10"/>
        <color rgb="FF000000"/>
        <rFont val="Arial"/>
        <scheme val="minor"/>
      </rPr>
      <t xml:space="preserve">Pramod </t>
    </r>
    <r>
      <rPr>
        <sz val="10"/>
        <color rgb="FF000000"/>
        <rFont val="Arial"/>
        <scheme val="minor"/>
      </rPr>
      <t xml:space="preserve">- To Karthik for getting the beginning balance fixies going
</t>
    </r>
    <r>
      <rPr>
        <b/>
        <sz val="10"/>
        <color rgb="FF000000"/>
        <rFont val="Arial"/>
        <scheme val="minor"/>
      </rPr>
      <t xml:space="preserve">
External: 
James: </t>
    </r>
    <r>
      <rPr>
        <sz val="10"/>
        <color rgb="FF000000"/>
        <rFont val="Arial"/>
        <scheme val="minor"/>
      </rPr>
      <t xml:space="preserve">Rijo\Pramod fielded questions like a boss from Nadia during sprint demo.
</t>
    </r>
  </si>
  <si>
    <t>15.2 Sprint 1</t>
  </si>
  <si>
    <t>Completed 11 SP from main commit and 3 from stretch.</t>
  </si>
  <si>
    <t>It was an average sprint, we couldn't meet the SP commited. 
The alpine stories took more time than expected, and also few AC points were added later to the story. We had some escalations and spent time looking for the rooot cause. 
On the positive note, we have closed all the escalations, had a successfull production deployment
and made good progress with automation test suite.</t>
  </si>
  <si>
    <t>Closed all 4 escalations.
Successfull 15.1 deployment.
Made good progress with automation test suite.</t>
  </si>
  <si>
    <r>
      <rPr>
        <b/>
        <sz val="10"/>
        <color rgb="FF000000"/>
        <rFont val="Arial"/>
        <scheme val="minor"/>
      </rPr>
      <t xml:space="preserve">Comments : 
</t>
    </r>
    <r>
      <rPr>
        <sz val="10"/>
        <color rgb="FF000000"/>
        <rFont val="Arial"/>
        <scheme val="minor"/>
      </rPr>
      <t xml:space="preserve">CRC Peer - 0, 
Onsite - 0, 
Client - 0.
Defects: 
Bounceback -0
Internal Defect - 3
External Defect - 4 (including escalations)
</t>
    </r>
    <r>
      <rPr>
        <b/>
        <sz val="10"/>
        <color rgb="FF000000"/>
        <rFont val="Arial"/>
        <scheme val="minor"/>
      </rPr>
      <t xml:space="preserve">What went well: 
</t>
    </r>
    <r>
      <rPr>
        <sz val="10"/>
        <color rgb="FF000000"/>
        <rFont val="Arial"/>
        <scheme val="minor"/>
      </rPr>
      <t xml:space="preserve">Closed all 4 escalations.
Successfull 15.1 production deployment
</t>
    </r>
    <r>
      <rPr>
        <b/>
        <sz val="10"/>
        <color rgb="FF000000"/>
        <rFont val="Arial"/>
        <scheme val="minor"/>
      </rPr>
      <t xml:space="preserve">What didnt Go Well: 
</t>
    </r>
    <r>
      <rPr>
        <sz val="10"/>
        <color rgb="FF000000"/>
        <rFont val="Arial"/>
        <scheme val="minor"/>
      </rPr>
      <t>Couldn't complete the commited SP s.</t>
    </r>
  </si>
  <si>
    <t xml:space="preserve">Rijo - Taking over the close of deployment. 
Sushmitha - Making progress on the Automation Test Cases.  
Karthik - Good progress with the school Groups UI.  
Rijo - To Sushmitha for making good progress with automation stories.
Pramod - To Qadir and Rijo for helping on the deployment, To Sushmitha for keeping the QA activities while focussing alongside with the automation test creation tasks
Pramod - To Tino for being around and helping me around on the product discussions areas
Rijo - Handling the demo and ensuring a smooth walkthrough
Pramod - Juggling a lot of things right now.  Kudos ! 
</t>
  </si>
  <si>
    <t>15.2 Sprint 2</t>
  </si>
  <si>
    <t>Completed 10 from main commit and 5 from stretch. 
Missed 2 due to escalations and couldn't work on the item and 3 - waiting for confirmation from customer to proceed.</t>
  </si>
  <si>
    <t>It was a good sprint overall. We completed 15 SP s out of 15, but including 5 from stretch. Couldn't complete 2 items from commit.
1- Need confirmation from customer to execute, analysis and fix completed from our end.
2- Couldn't work much on this item since we were concentrating on escalations.
On the positive note, we have completed the epic of school groups, made good progress with escalations and automation test suite.</t>
  </si>
  <si>
    <t>Met the SPs commited.
Made good progress with escalations.
Completed the epic story of school groups.</t>
  </si>
  <si>
    <r>
      <rPr>
        <b/>
        <sz val="10"/>
        <color rgb="FF000000"/>
        <rFont val="Arial"/>
        <scheme val="minor"/>
      </rPr>
      <t xml:space="preserve">Comments : 
</t>
    </r>
    <r>
      <rPr>
        <sz val="10"/>
        <color rgb="FF000000"/>
        <rFont val="Arial"/>
        <scheme val="minor"/>
      </rPr>
      <t xml:space="preserve">CRC Peer - 0, 
Onsite - 0, 
Client - 0.
Defects: 
Bounceback -0
Internal Defect - 2
External Defect - 4 (including escalations)
</t>
    </r>
    <r>
      <rPr>
        <b/>
        <sz val="10"/>
        <color rgb="FF000000"/>
        <rFont val="Arial"/>
        <scheme val="minor"/>
      </rPr>
      <t xml:space="preserve">What went well: 
</t>
    </r>
    <r>
      <rPr>
        <sz val="10"/>
        <color rgb="FF000000"/>
        <rFont val="Arial"/>
        <scheme val="minor"/>
      </rPr>
      <t xml:space="preserve">Met the SPs commited.
Made good progress with escalations.
</t>
    </r>
    <r>
      <rPr>
        <b/>
        <sz val="10"/>
        <color rgb="FF000000"/>
        <rFont val="Arial"/>
        <scheme val="minor"/>
      </rPr>
      <t xml:space="preserve">What didnt Go Well: 
</t>
    </r>
    <r>
      <rPr>
        <sz val="10"/>
        <color rgb="FF000000"/>
        <rFont val="Arial"/>
        <scheme val="minor"/>
      </rPr>
      <t>Couldn't complete 2 stories from the main commit and could not close out any escalations.</t>
    </r>
  </si>
  <si>
    <t xml:space="preserve">KUDOS…
Karthik - Fantastic work/ progress on School groups. 
Pramod - to Karthik for getting the School Groups done, to Sushmitha for progress on automation, to James for taking care of Check Form changes
Sushmitha - Kudos to Karthik for Completing the School Groups epic and to Rijo for quickly fixing the reported bouncebacks and ensuring they were immediately available for testing.
Sushmitha - Kudos to Qadir for his consistent follow-ups on escalations
Karthik - Kudos to Sushmitha for great progress on automation and good job in testing as well.
</t>
  </si>
  <si>
    <t>15.2 Sprint 3</t>
  </si>
  <si>
    <t>This was initially forecast as a Regression sprint, however, due to escalations from the customer on a number of stories from the backlog, we had to work on those instead. 
The team completed all the work on escalaltion that caused a deviation in our planning, and also released a hotfix to an issue which arised from duplicate FeeIds for different products on the batches, as well as the ability to update the dates on reversal entries.</t>
  </si>
  <si>
    <t xml:space="preserve">Hotfix completed. 
3 / 7 escalations closed in the sprint. 
</t>
  </si>
  <si>
    <r>
      <rPr>
        <b/>
        <sz val="10"/>
        <color rgb="FF000000"/>
        <rFont val="Arial"/>
        <scheme val="minor"/>
      </rPr>
      <t xml:space="preserve">Comments : 
</t>
    </r>
    <r>
      <rPr>
        <sz val="10"/>
        <color rgb="FF000000"/>
        <rFont val="Arial"/>
        <scheme val="minor"/>
      </rPr>
      <t xml:space="preserve">CRC Peer - 0, 
Onsite - 0, 
Client - 0.
Defects: 9
Bounceback -0
Internal Defect - 2
External Defect - 7
</t>
    </r>
    <r>
      <rPr>
        <b/>
        <sz val="10"/>
        <color rgb="FF000000"/>
        <rFont val="Arial"/>
        <scheme val="minor"/>
      </rPr>
      <t xml:space="preserve">What went well: 
</t>
    </r>
    <r>
      <rPr>
        <sz val="10"/>
        <color rgb="FF000000"/>
        <rFont val="Arial"/>
        <scheme val="minor"/>
      </rPr>
      <t xml:space="preserve">
</t>
    </r>
    <r>
      <rPr>
        <b/>
        <sz val="10"/>
        <color rgb="FF000000"/>
        <rFont val="Arial"/>
        <scheme val="minor"/>
      </rPr>
      <t xml:space="preserve">What didnt Go Well: 
</t>
    </r>
  </si>
  <si>
    <t xml:space="preserve">Pramod - to Abdulqadir Varawala [C] for continuos followup and fix help on the escalations
Pramod - to Karthikeyan Ganesan [C] for getting the Elk Grove 6 schools beg bal fixes done
Pramod - to Rijo P R [C] for the analysis and fix on the GL Account mapping escalation
Pramod - to Sushmitha Thirumurugan [C] for faster QA closures on beg balance fixes and other items
Pramod - to Nadia Boudeffa for followups with customer getting us the customer feedback
Pramod - to Jeanette Elliot for helping around while Nadia was busy
Rijo - To Karthik for closing out beg bal stories quickly.
Sushmitha - Abdulqadir Varawala [C] and Pramod Rai on continuous follow up and getting clarification from customer on escalations
Sushmitha - Kudos to Karthikeyan Ganesan [C] for prioritizing and successfully completing the Elk Grove stories
Sushmitha - Kudos to Wes Perkins for testing and completing the elk grove stories while i was in PTO
Jeanette - to Qadir, Karthik, Rijo, Sushmitha, James, Wes, Pramod, RJ, Nadia for all the great rallying and pushing through with all the escalations that came our way
</t>
  </si>
  <si>
    <t>15.3 Sprint 1</t>
  </si>
  <si>
    <t xml:space="preserve">Completed 22 SP from main commit and 2 SP from the stretch.
2 items of 1SP each missed from main commit.(Alpine SSO due to focus on other high priority issues at hand and Beginning bal defect verification due to prod db backup delay.)
</t>
  </si>
  <si>
    <t>This was a Regression sprint. We got few other escalations as well during the sprint.
We have completed the regression and closed 6 escalations. 
Made good progress on the stretch items as well. 2 items from stretch related to PY report feature flag is dev completed and ready for testing.</t>
  </si>
  <si>
    <t>Completed regression items.
Closed 6/8 escalations in the sprint.
Made good progress with stretch items.</t>
  </si>
  <si>
    <r>
      <rPr>
        <b/>
        <sz val="10"/>
        <color rgb="FF000000"/>
        <rFont val="Arial"/>
        <scheme val="minor"/>
      </rPr>
      <t xml:space="preserve">Comments : 
</t>
    </r>
    <r>
      <rPr>
        <sz val="10"/>
        <color rgb="FF000000"/>
        <rFont val="Arial"/>
        <scheme val="minor"/>
      </rPr>
      <t xml:space="preserve">CRC Peer - 0, 
Onsite - 0, 
Client - 0.
Defects: 10
Bounceback -0
Internal Defect - 2
External Defect - 8(including escalations)
</t>
    </r>
    <r>
      <rPr>
        <b/>
        <sz val="10"/>
        <color rgb="FF000000"/>
        <rFont val="Arial"/>
        <scheme val="minor"/>
      </rPr>
      <t xml:space="preserve">What went well: 
</t>
    </r>
    <r>
      <rPr>
        <sz val="10"/>
        <color rgb="FF000000"/>
        <rFont val="Arial"/>
        <scheme val="minor"/>
      </rPr>
      <t xml:space="preserve">Completed regression items.
Closed 6/8 escalations in the sprint.
Made good progress with stretch items.
Met the SPs commited.
</t>
    </r>
    <r>
      <rPr>
        <b/>
        <sz val="10"/>
        <color rgb="FF000000"/>
        <rFont val="Arial"/>
        <scheme val="minor"/>
      </rPr>
      <t xml:space="preserve">What didnt Go Well: 
</t>
    </r>
    <r>
      <rPr>
        <sz val="10"/>
        <color rgb="FF000000"/>
        <rFont val="Arial"/>
        <scheme val="minor"/>
      </rPr>
      <t>Getting new escalations during sprint.
WAF issues blocking testing. 
Performance issues found with large MSB batch imports.</t>
    </r>
  </si>
  <si>
    <t xml:space="preserve">Rijo - To Karthik for making good progress on stretch items.
          To Pramod for making good progress with Negative Invoice,Checks Thatcher escalation.
Qadir  To Owen - Removing MSB recaptcha blocker to run Automation scripts on CERT for testing. 
Karthik - To Pramod and Qadir for their excellent coordination on the escalation fixes and clarifications.
Sushmitha - To Owen Sieber for clearing out MSB recaptcha blocks
Jeanette - Team, great job on completing regression and closing out most of our escalations.
Pramod - to RJ for the new planning,review, retro call timings
Pramod - to Nadia and Jeanette for shielding (me) from Thatcher to help me focus on my analysis for negative credit invoices
Pramod - to Rijo and Karthik for greatly focussing on escalations and Sushmitha on QA items
Pramod - to Qadir for clearing the WAF blockers
Qadir -  Team doing a great job ! 
</t>
  </si>
  <si>
    <t>15.3 Sprint 2</t>
  </si>
  <si>
    <t>Completed 22 SP from main commit and 5 SP from stretch. Couldn't complete 1 story with 1 SP because SSO login blocked due to WAF issue on MSB.</t>
  </si>
  <si>
    <t xml:space="preserve">The main goal in the sprint was to improve the performance on import process with large batches, completed both stories related to it.
Other major item was clearing PY transactions on entry screens with feature flag - completed all 3 stories related to that. And as usual closing the escalations was the first priority, closed most of it except the one that came on 2nd last day of sprint and 1 which is still waiting for the data from customer.
Overall it was a very productive and successfull sprint.
</t>
  </si>
  <si>
    <t>Completed more SP than committed in total.
Made good progress on stretch items.
Made code fix and the item is ready for testing for the major performance issue story, even though the scope was to identify a fix to make it faster.</t>
  </si>
  <si>
    <r>
      <rPr>
        <b/>
        <sz val="10"/>
        <color rgb="FF000000"/>
        <rFont val="Arial"/>
        <scheme val="minor"/>
      </rPr>
      <t xml:space="preserve">Comments : 
</t>
    </r>
    <r>
      <rPr>
        <sz val="10"/>
        <color rgb="FF000000"/>
        <rFont val="Arial"/>
        <scheme val="minor"/>
      </rPr>
      <t xml:space="preserve">CRC Peer - 0, 
Onsite - 0, 
Client - 0.
Defects: 10
Bounceback -0
Internal Defect - 4
External Defect - 6(including escalations)
</t>
    </r>
    <r>
      <rPr>
        <b/>
        <sz val="10"/>
        <color rgb="FF000000"/>
        <rFont val="Arial"/>
        <scheme val="minor"/>
      </rPr>
      <t xml:space="preserve">What went well: 
</t>
    </r>
    <r>
      <rPr>
        <sz val="10"/>
        <color rgb="FF000000"/>
        <rFont val="Arial"/>
        <scheme val="minor"/>
      </rPr>
      <t xml:space="preserve">Completed more SP than committed in total.
Closedmost of the escalations in the sprint.
Made good progress with stretch items.
Made good progress with performance issue story for large batch import.
</t>
    </r>
    <r>
      <rPr>
        <b/>
        <sz val="10"/>
        <color rgb="FF000000"/>
        <rFont val="Arial"/>
        <scheme val="minor"/>
      </rPr>
      <t xml:space="preserve">What didnt Go Well: 
</t>
    </r>
    <r>
      <rPr>
        <sz val="10"/>
        <color rgb="FF000000"/>
        <rFont val="Arial"/>
        <scheme val="minor"/>
      </rPr>
      <t xml:space="preserve">Getting new escalations during sprint.
WAF issues blocking SSO login in alpine.
</t>
    </r>
  </si>
  <si>
    <t xml:space="preserve">Qadir :  Rijo and karthik steadily taking the team forward, since I was in and out this sprint. 
Qadir -  Karthik for taking up some of the new escalations that came in. 
Sushmitha - Kudos to Rijo for his excellent work in fixing the performance issue with a huge set of batches
Jeanette - Huge kudos to the team for figuring out a path forward to improve performance issues!  
</t>
  </si>
  <si>
    <t>15.3 Sprint 3</t>
  </si>
  <si>
    <t>10 SP missed from the Main commit.
2 regression stories were blocked due to migration issue on Cert.
1 defect is waiting for customer feed back.
1 story is in testing, bounce back fixed, testing in progress.</t>
  </si>
  <si>
    <t>It was a regression sprint. 
We had few items to complete as pre requiste for starting regression.
Started regression very late, but completed everything from regression except 2 items which got blocked due to a migration issue while deploying.
This was an average sprint in terms of completion, but we have dev completed 1 item from stretch, will be moving to testing in the next sprint.</t>
  </si>
  <si>
    <t>Successful Production Deployment.
Completed most of regression stories except 2 despite starting very late.
Closed all escalations. Currently we got 0 active escalations.</t>
  </si>
  <si>
    <t>Comments : 
CRC Peer - 0, 
Onsite - 0, 
Client - 0.
Defects: 5
Bounceback -0
Internal Defect - 1
External Defect - 4(including escalations)
What went well: 
Successful Production Deployment.
Completed most of regression stories except 2 despite starting very late.
Closed all escalations. 
What didnt Go Well: 
Couldn't meet SP committed.
WAF issues blocking SSO login in alpine.</t>
  </si>
  <si>
    <r>
      <rPr>
        <b/>
        <sz val="10"/>
        <color rgb="FF000000"/>
        <rFont val="Arial"/>
        <scheme val="minor"/>
      </rPr>
      <t xml:space="preserve">Internal:
</t>
    </r>
    <r>
      <rPr>
        <sz val="10"/>
        <color rgb="FF000000"/>
        <rFont val="Arial"/>
        <scheme val="minor"/>
      </rPr>
      <t xml:space="preserve">Rijo - To Sowjanya for handling the handoff from Sushmitha and getting through the first Regression. 
Qadir - to Rijo for continuing to focus on import &amp; resolve issues
Qadir - to Karthik on the progress on the smaller stories &amp; getting those done
Qadir - to Pramod for helping with our regression
Qadir - to Sowjanya / welcome to team
</t>
    </r>
    <r>
      <rPr>
        <b/>
        <sz val="10"/>
        <color rgb="FF000000"/>
        <rFont val="Arial"/>
        <scheme val="minor"/>
      </rPr>
      <t xml:space="preserve">External:
</t>
    </r>
    <r>
      <rPr>
        <sz val="10"/>
        <color rgb="FF000000"/>
        <rFont val="Arial"/>
        <scheme val="minor"/>
      </rPr>
      <t>Jeanette (Client PM):
Great job done by the team in closing all the escalations and getting most of the regression completed</t>
    </r>
  </si>
  <si>
    <t>20.1 Sprint 1</t>
  </si>
  <si>
    <t>10 SP missed from the Main commit.
4 SP completed from stretch.
Missed 2 items of 5 SPs each. Both were in testing and testing was also close to completion. But unfortunately it took a while longer and couldn't close it in time.</t>
  </si>
  <si>
    <t>It was a good sprint overall, but SP completed don't show that unfortunately. Disappointed as we were on the last step of testing 2 items but couldn’t really cross the line. Everyone made all the effort but it was unfortunate.
Otherwise we made good progress with all items, it was a very productive sprint.
We have completed the beginning balance update for all district - has been going on for more than a year now.</t>
  </si>
  <si>
    <t xml:space="preserve">
We made movement on Thatcher and hopefully will be able to close out during the next sprint.
Good progress with performance issues and beg bal verification stories.
Finally we have completed the beginning balance update for all district - has been going on for more than a year now.
Wrapped up the Alpine SSO story. 
</t>
  </si>
  <si>
    <t>Comments : 
CRC Peer - 0, 
Onsite - 1, 
Client - 0.
Defects: 6
Bounceback -0
Internal Defect - 3
External Defect - 3(including escalations)
What went well: 
Made good progress with performance issues.
Finally we have completed the beginning balance update for all district - has been going on for more than a year now.
What didnt Go Well: 
Couldn't meet SP committed.
Postponed production release</t>
  </si>
  <si>
    <r>
      <rPr>
        <b/>
        <sz val="10"/>
        <color rgb="FF000000"/>
        <rFont val="Arial"/>
        <scheme val="minor"/>
      </rPr>
      <t xml:space="preserve">Internal: 
</t>
    </r>
    <r>
      <rPr>
        <sz val="10"/>
        <color rgb="FF000000"/>
        <rFont val="Arial"/>
        <scheme val="minor"/>
      </rPr>
      <t xml:space="preserve">Sowjanya-Karthik, Rijo, Qadir Thank you all  for supporting me by clarifying my doubts at work.
Qadir, Rijo, Pramod - Sowjanya ramped up well on the testing.  
</t>
    </r>
    <r>
      <rPr>
        <b/>
        <sz val="10"/>
        <color rgb="FF000000"/>
        <rFont val="Arial"/>
        <scheme val="minor"/>
      </rPr>
      <t xml:space="preserve">External:
</t>
    </r>
    <r>
      <rPr>
        <sz val="10"/>
        <color rgb="FF000000"/>
        <rFont val="Arial"/>
        <scheme val="minor"/>
      </rPr>
      <t xml:space="preserve">Jeanette  - Pramod, thank you for all your guidance and direction on the best ways we can design our updated version of Onboarding that will allow us to easily grow and evolve the process as our company and product evolves.
Jeanette  - Karthik and Rijo, I appreciate you being more vocal the past 2 weeks, your knowledge and understanding is valuable and I am thankful for your insights as well. Thank you so much for that both during refinement and planning. 
Jeanette  - Qadir, thank you so much for jumping on last night and trying to help figure out a way to solve Thatcher asap even when it was so late.
Jeanette  - Sowjanya, catching issues in cert before release.
Jeanette  - Team thank you for rallying together today with RJ out. 
Wes - Ditto! Sowjanya ramped up well. 
Wes - Rijo for thorough POV videos which helped me in testing.
Wes - Qadir for connecting with me on a zoom call and helping me with testing.
</t>
    </r>
  </si>
  <si>
    <t>26.01 Sprint 2</t>
  </si>
  <si>
    <t>10 SP missed from the main commit. 
1 story to deploy the alpine nine branch to QA took more time than we planned earlier.
2 alpine stories was delayed since Rijo was completely blocked from work for 3 days due to e-hps login blocker because of authenticator issue.</t>
  </si>
  <si>
    <t>It was a 4 weeks sprint. 
We could not complete the story points committed due to some blockers.
And there were few escalations towards the end of the sprint, which took some considerable amount of time as well.
But still we managed to complete the dev work for 2 out of 3 open items as well.
Considering everything, it was a productive sprint.</t>
  </si>
  <si>
    <t>Successful Production Deployment.
Good progress with escalations reported, closed 2 and 1 is in blocked state.</t>
  </si>
  <si>
    <t>Comments : 
CRC Peer - 0, 
Onsite - 0, 
Client - 0.
Defects: 6
Bounceback -0
Internal Defect - 2
External Defect - 4(including escalations)
What went well: 
Successful Production Deployment.
Good progress with escalations reported, closed 2 and 1 is in blocked state.
What didnt Go Well: 
Couldn't meet SP committed.
Faced few blockers due to e-hps login issue and WAF issues which halted the progress.</t>
  </si>
  <si>
    <t xml:space="preserve">Qadir, Rijo -  Big kudos to Karthik.  He completed a big portion of the sprint. 
Sowjanya-Sincere Kudos to Qadir and Pramod for their assistance in resolving the MSB integration Issue.
Any doubts or clarifications regarding the story were clarified by Karthik and Rijo,Sincere thanks to them for their support . 
Karthik - Had good coordination with Qadir and Pramod during the escalations handling.
</t>
  </si>
  <si>
    <t>26.2 Sprint 3</t>
  </si>
  <si>
    <t>Completed all commited items from main sprint except 1 defect which was pulled into the sprint on the last day with 0 SP.</t>
  </si>
  <si>
    <t>It was a good sprint. We have completed all the items committed. 
It was mainly a regression sprint, we completed regression and fixed all regression defect as well.</t>
  </si>
  <si>
    <t>Completed committed SP.
Cpmpleted regression successfully along with regression defects.
Made good progress with escalations - closed 4 out of 5.</t>
  </si>
  <si>
    <t>Comments : 
CRC Peer - 0, 
Onsite - 0, 
Client - 0.
Defects: 10
Bounceback -0
Internal Defect - 5
External Defect - 5(including escalations)
What went well: 
Completed committed SP.
Completed regression successfully along with regression defects.
Made good progress with escalations - closed 4 out of 5.
What didnt Go Well: 
Getting new escalations during sprint.</t>
  </si>
  <si>
    <t xml:space="preserve">Qadir - Completed all regression items in the main commit. (Import MSB Batches was in the stretch) 
Jeanette - Were able to close out most of our escalations within the sprint 
Sowjanya – Regression went well. Trying to speed up with the team. 
Pramod – Good Sprint - Completed regression, committed items, good discussions on escalations and closure, good team coordination, product discussions with Jeanette, Sowjanya catching-up with the speed, great UI upgrade design ideas from James V 
Pramod – to Qadir, Rijo, Karthik for overall support 
</t>
  </si>
  <si>
    <t>26.3 Sprint 1</t>
  </si>
  <si>
    <t>Completed 18 from main commit and 8 from stretch. Missed a 5SP story from the main commit. 
But completed 8 SP from stretch</t>
  </si>
  <si>
    <t>It was a good sprint overall. We have completed all committed items from main sprint except 1 - which is ready for POV at the end of sprint. And we have completed 2 stories from stretch and made good progress with other items from stretch as well. And we did a successfull and smooth production deployment.</t>
  </si>
  <si>
    <t>Completed 3 extra SP compared to the commited including 2 items from stretch.
Successfull and smooth production deployment.
Made good progress with escalations - closed 2 out of 3.</t>
  </si>
  <si>
    <t>Comments : 
CRC Peer - 0, 
Onsite - 0, 
Client - 0.
Defects: 10
Bounceback -0
Internal Defect - 5
External Defect - 5(including escalations)
What went well: 
Completed committed SP.
Successfull production deployment.
Made good progress with escalations - closed 2 out of 3.
What didnt Go Well: 
Could not close 1 item, which was dev completed and waiting for POV.</t>
  </si>
  <si>
    <r>
      <rPr>
        <b/>
        <sz val="10"/>
        <color rgb="FF000000"/>
        <rFont val="Arial"/>
        <scheme val="minor"/>
      </rPr>
      <t xml:space="preserve">Jeanette </t>
    </r>
    <r>
      <rPr>
        <sz val="10"/>
        <color rgb="FF000000"/>
        <rFont val="Arial"/>
        <scheme val="minor"/>
      </rPr>
      <t xml:space="preserve">- Rijo, Qadir, Thanks so much for each pushing to get another defect resolved and pushed out to our Feb release! 
</t>
    </r>
    <r>
      <rPr>
        <b/>
        <sz val="10"/>
        <color rgb="FF000000"/>
        <rFont val="Arial"/>
        <scheme val="minor"/>
      </rPr>
      <t xml:space="preserve">Jeanette </t>
    </r>
    <r>
      <rPr>
        <sz val="10"/>
        <color rgb="FF000000"/>
        <rFont val="Arial"/>
        <scheme val="minor"/>
      </rPr>
      <t xml:space="preserve">- Rijo, wonderful job for putting together a thorough document on our MSB Batches that is going to pay dividends for our team and product in the future! 
</t>
    </r>
    <r>
      <rPr>
        <b/>
        <sz val="10"/>
        <color rgb="FF000000"/>
        <rFont val="Arial"/>
        <scheme val="minor"/>
      </rPr>
      <t xml:space="preserve">Rijo </t>
    </r>
    <r>
      <rPr>
        <sz val="10"/>
        <color rgb="FF000000"/>
        <rFont val="Arial"/>
        <scheme val="minor"/>
      </rPr>
      <t xml:space="preserve">– To Karthik for fixing and closing a lot of defects. 
</t>
    </r>
    <r>
      <rPr>
        <b/>
        <sz val="10"/>
        <color rgb="FF000000"/>
        <rFont val="Arial"/>
        <scheme val="minor"/>
      </rPr>
      <t xml:space="preserve">Sowjanya </t>
    </r>
    <r>
      <rPr>
        <sz val="10"/>
        <color rgb="FF000000"/>
        <rFont val="Arial"/>
        <scheme val="minor"/>
      </rPr>
      <t xml:space="preserve">– Thanks to Rijo and Qadir for the last-minute fix on the import MSB batch and for helping me throughout the work. And Rijo on import MSB document will help us create automation easily and get more clear on each scenarios. 
</t>
    </r>
    <r>
      <rPr>
        <b/>
        <sz val="10"/>
        <color rgb="FF000000"/>
        <rFont val="Arial"/>
        <scheme val="minor"/>
      </rPr>
      <t xml:space="preserve">Karthik </t>
    </r>
    <r>
      <rPr>
        <sz val="10"/>
        <color rgb="FF000000"/>
        <rFont val="Arial"/>
        <scheme val="minor"/>
      </rPr>
      <t xml:space="preserve">– Rijo for his import MSB batches documentation, it will be very helpful in the future. 
</t>
    </r>
    <r>
      <rPr>
        <b/>
        <sz val="10"/>
        <color rgb="FF000000"/>
        <rFont val="Arial"/>
        <scheme val="minor"/>
      </rPr>
      <t xml:space="preserve">Jeanette </t>
    </r>
    <r>
      <rPr>
        <sz val="10"/>
        <color rgb="FF000000"/>
        <rFont val="Arial"/>
        <scheme val="minor"/>
      </rPr>
      <t xml:space="preserve">- Team - All the great work last sprint that set us up for the solid 26.2 release! 
</t>
    </r>
    <r>
      <rPr>
        <b/>
        <sz val="10"/>
        <color rgb="FF000000"/>
        <rFont val="Arial"/>
        <scheme val="minor"/>
      </rPr>
      <t xml:space="preserve">Pramod </t>
    </r>
    <r>
      <rPr>
        <sz val="10"/>
        <color rgb="FF000000"/>
        <rFont val="Arial"/>
        <scheme val="minor"/>
      </rPr>
      <t xml:space="preserve">– to James UI upgrade changes while my continuous feedback, to Karthik for multiple defect fixes, to Sowjanya for getting more confident with QA activities and staging data for deployment, to Rijo for MSB Batch Import documentation, to Jeanette for good product discussions, to Wes for covering us while post deployment verifications, Qadir for holding up on everything to keep pushing forward! 
</t>
    </r>
    <r>
      <rPr>
        <b/>
        <sz val="10"/>
        <color rgb="FF000000"/>
        <rFont val="Arial"/>
        <scheme val="minor"/>
      </rPr>
      <t xml:space="preserve">Qadir </t>
    </r>
    <r>
      <rPr>
        <sz val="10"/>
        <color rgb="FF000000"/>
        <rFont val="Arial"/>
        <scheme val="minor"/>
      </rPr>
      <t xml:space="preserve">– James for working on the UI for MSB Accounting – Refreshing to see a new look.  </t>
    </r>
  </si>
  <si>
    <t>26.3 Sprint 2</t>
  </si>
  <si>
    <t>Completed 13 SPs from main commit and 6 from stretch. Missed a 2SP story from the main commit. The missed item was wating for PR approval for the last 2 days.</t>
  </si>
  <si>
    <t xml:space="preserve">It was a good sprint overall. We have completed all committed items from main sprint except 1 - which was waiting for PR approval for the last 2 days. And we have completed 2 stories from stretch and made good progress with other items from stretch as well. And completed all escalations reported during the sprint. </t>
  </si>
  <si>
    <t>Completed 4 extra SPs compared to the commited including 2 items from stretch.
Closed all escalations
Started on On-boarding items.</t>
  </si>
  <si>
    <t>Comments : 
CRC Peer - 0, 
Onsite - 0, 
Client - 0
Defects: 8
Bounceback -0
Internal Defect - 6
External Defect - 2(including escalations)
What went well: 
Completed committed SP.
Closed all escalations reported.
What didnt Go Well: 
Could not close 1 item, which was dev completed and waiting for POV.</t>
  </si>
  <si>
    <r>
      <rPr>
        <b/>
        <sz val="10"/>
        <color rgb="FF000000"/>
        <rFont val="Arial"/>
        <scheme val="minor"/>
      </rPr>
      <t>Jeanette , Qadir, Rijo</t>
    </r>
    <r>
      <rPr>
        <sz val="10"/>
        <color rgb="FF000000"/>
        <rFont val="Arial"/>
        <scheme val="minor"/>
      </rPr>
      <t xml:space="preserve"> : Accounting defects that was knock out 
</t>
    </r>
    <r>
      <rPr>
        <b/>
        <sz val="10"/>
        <color rgb="FF000000"/>
        <rFont val="Arial"/>
        <scheme val="minor"/>
      </rPr>
      <t xml:space="preserve">Jeanette </t>
    </r>
    <r>
      <rPr>
        <sz val="10"/>
        <color rgb="FF000000"/>
        <rFont val="Arial"/>
        <scheme val="minor"/>
      </rPr>
      <t xml:space="preserve">: Onboarding items are going well. 
</t>
    </r>
    <r>
      <rPr>
        <b/>
        <sz val="10"/>
        <color rgb="FF000000"/>
        <rFont val="Arial"/>
        <scheme val="minor"/>
      </rPr>
      <t>Jeanette , Qadir, Rijo</t>
    </r>
    <r>
      <rPr>
        <sz val="10"/>
        <color rgb="FF000000"/>
        <rFont val="Arial"/>
        <scheme val="minor"/>
      </rPr>
      <t xml:space="preserve">: Less Accounting escalations in this sprint. Closed them all.  
</t>
    </r>
    <r>
      <rPr>
        <b/>
        <sz val="10"/>
        <color rgb="FF000000"/>
        <rFont val="Arial"/>
        <scheme val="minor"/>
      </rPr>
      <t>Pramod</t>
    </r>
    <r>
      <rPr>
        <sz val="10"/>
        <color rgb="FF000000"/>
        <rFont val="Arial"/>
        <scheme val="minor"/>
      </rPr>
      <t xml:space="preserve">: Good Sprint, good discussions within the team on the fix approaches, good product
</t>
    </r>
    <r>
      <rPr>
        <b/>
        <sz val="10"/>
        <color rgb="FF000000"/>
        <rFont val="Arial"/>
        <scheme val="minor"/>
      </rPr>
      <t>Qadir, Rijo</t>
    </r>
    <r>
      <rPr>
        <sz val="10"/>
        <color rgb="FF000000"/>
        <rFont val="Arial"/>
        <scheme val="minor"/>
      </rPr>
      <t xml:space="preserve"> :  Dynamic IP issue took some time to sort out. Delay with starting with the onboarding work 
</t>
    </r>
    <r>
      <rPr>
        <b/>
        <sz val="10"/>
        <color rgb="FF000000"/>
        <rFont val="Arial"/>
        <scheme val="minor"/>
      </rPr>
      <t xml:space="preserve">Qadir </t>
    </r>
    <r>
      <rPr>
        <sz val="10"/>
        <color rgb="FF000000"/>
        <rFont val="Arial"/>
        <scheme val="minor"/>
      </rPr>
      <t xml:space="preserve">:  Could not get a copy of the DB restored locally.  Still using the DEV DB for dev for Onboarding.  
</t>
    </r>
    <r>
      <rPr>
        <b/>
        <sz val="10"/>
        <color rgb="FF000000"/>
        <rFont val="Arial"/>
        <scheme val="minor"/>
      </rPr>
      <t xml:space="preserve">Qadir </t>
    </r>
    <r>
      <rPr>
        <sz val="10"/>
        <color rgb="FF000000"/>
        <rFont val="Arial"/>
        <scheme val="minor"/>
      </rPr>
      <t xml:space="preserve">: James for working on the accounting UI.  
</t>
    </r>
    <r>
      <rPr>
        <b/>
        <sz val="10"/>
        <color rgb="FF000000"/>
        <rFont val="Arial"/>
        <scheme val="minor"/>
      </rPr>
      <t xml:space="preserve">Qadir </t>
    </r>
    <r>
      <rPr>
        <sz val="10"/>
        <color rgb="FF000000"/>
        <rFont val="Arial"/>
        <scheme val="minor"/>
      </rPr>
      <t xml:space="preserve">:  Jeanette making good progress on fixing thatcher’s bad entries.  </t>
    </r>
  </si>
  <si>
    <t>26.3 Sprint 3</t>
  </si>
  <si>
    <t>Completed 13 SPs from main commit and 1 from stretch. Missed two 3SP items from the main commit. 1 item was in testing by client QA and close to completion, other was waiting for POV approval from client PO for over a week.</t>
  </si>
  <si>
    <t xml:space="preserve">
We have missed two 3SP items from the main commit due to dependencies on the client end. 1 item was in testing by client QA and close to completion, other was waiting for POV approval from client PO for over a week.
Even though the team made good progress on the stretch items as well, could not close those out since those were low priority.</t>
  </si>
  <si>
    <t xml:space="preserve">The escalations reported reduced drastically (Only 1 from accounting), closed 2 escalations which was reported as well. 
Great continued work on defects and stories that will prevent future escalations (year end/date locking) </t>
  </si>
  <si>
    <t xml:space="preserve">Comments : 
CRC Peer - 1 (suggestion), 
Onsite - 0, 
Client - 0
Defects: 5
Bounceback -4
Internal Defect - 4
External Defect - 1(escalation)
What went well: 
Closed all escalations reported.
Escalation count reduced to 1.
What didnt Go Well: 
 We could not meet the SP commited. </t>
  </si>
  <si>
    <r>
      <rPr>
        <b/>
        <sz val="10"/>
        <color rgb="FF000000"/>
        <rFont val="Arial"/>
        <scheme val="minor"/>
      </rPr>
      <t xml:space="preserve">James </t>
    </r>
    <r>
      <rPr>
        <sz val="10"/>
        <color rgb="FF000000"/>
        <rFont val="Arial"/>
        <scheme val="minor"/>
      </rPr>
      <t xml:space="preserve">– Jeanette / Qadir on the Thatcher issue 
</t>
    </r>
    <r>
      <rPr>
        <b/>
        <sz val="10"/>
        <color rgb="FF000000"/>
        <rFont val="Arial"/>
        <scheme val="minor"/>
      </rPr>
      <t xml:space="preserve">James </t>
    </r>
    <r>
      <rPr>
        <sz val="10"/>
        <color rgb="FF000000"/>
        <rFont val="Arial"/>
        <scheme val="minor"/>
      </rPr>
      <t xml:space="preserve">– Figma training this week 
</t>
    </r>
    <r>
      <rPr>
        <b/>
        <sz val="10"/>
        <color rgb="FF000000"/>
        <rFont val="Arial"/>
        <scheme val="minor"/>
      </rPr>
      <t xml:space="preserve">James </t>
    </r>
    <r>
      <rPr>
        <sz val="10"/>
        <color rgb="FF000000"/>
        <rFont val="Arial"/>
        <scheme val="minor"/>
      </rPr>
      <t xml:space="preserve">– Onboarding stories for the team being knocked out!!!! 
</t>
    </r>
    <r>
      <rPr>
        <b/>
        <sz val="10"/>
        <color rgb="FF000000"/>
        <rFont val="Arial"/>
        <scheme val="minor"/>
      </rPr>
      <t xml:space="preserve">Qadir </t>
    </r>
    <r>
      <rPr>
        <sz val="10"/>
        <color rgb="FF000000"/>
        <rFont val="Arial"/>
        <scheme val="minor"/>
      </rPr>
      <t xml:space="preserve">– Jeanette for the work on figuring out Thatcher 
</t>
    </r>
    <r>
      <rPr>
        <b/>
        <sz val="10"/>
        <color rgb="FF000000"/>
        <rFont val="Arial"/>
        <scheme val="minor"/>
      </rPr>
      <t xml:space="preserve">Qadir </t>
    </r>
    <r>
      <rPr>
        <sz val="10"/>
        <color rgb="FF000000"/>
        <rFont val="Arial"/>
        <scheme val="minor"/>
      </rPr>
      <t xml:space="preserve">– Sowjanya's discussions/questions brought up in discussions with dev 
</t>
    </r>
    <r>
      <rPr>
        <b/>
        <sz val="10"/>
        <color rgb="FF000000"/>
        <rFont val="Arial"/>
        <scheme val="minor"/>
      </rPr>
      <t xml:space="preserve">Jeanette </t>
    </r>
    <r>
      <rPr>
        <sz val="10"/>
        <color rgb="FF000000"/>
        <rFont val="Arial"/>
        <scheme val="minor"/>
      </rPr>
      <t xml:space="preserve">– Sowjanya’s strong support on testing and Figma design review 
</t>
    </r>
    <r>
      <rPr>
        <b/>
        <sz val="10"/>
        <color rgb="FF000000"/>
        <rFont val="Arial"/>
        <scheme val="minor"/>
      </rPr>
      <t xml:space="preserve">Qadir </t>
    </r>
    <r>
      <rPr>
        <sz val="10"/>
        <color rgb="FF000000"/>
        <rFont val="Arial"/>
        <scheme val="minor"/>
      </rPr>
      <t xml:space="preserve">– Sowjanya for thorough testing. 
</t>
    </r>
    <r>
      <rPr>
        <b/>
        <sz val="10"/>
        <color rgb="FF000000"/>
        <rFont val="Arial"/>
        <scheme val="minor"/>
      </rPr>
      <t xml:space="preserve">Sowjanya </t>
    </r>
    <r>
      <rPr>
        <sz val="10"/>
        <color rgb="FF000000"/>
        <rFont val="Arial"/>
        <scheme val="minor"/>
      </rPr>
      <t xml:space="preserve">– Jeanette, James, Qadir, Rijo on help this sprint  
</t>
    </r>
    <r>
      <rPr>
        <b/>
        <sz val="10"/>
        <color rgb="FF000000"/>
        <rFont val="Arial"/>
        <scheme val="minor"/>
      </rPr>
      <t xml:space="preserve">James </t>
    </r>
    <r>
      <rPr>
        <sz val="10"/>
        <color rgb="FF000000"/>
        <rFont val="Arial"/>
        <scheme val="minor"/>
      </rPr>
      <t xml:space="preserve">- Chris and Qdir both helping on the 403 issue with QA/DEV (Past dinner time lol) 
</t>
    </r>
    <r>
      <rPr>
        <b/>
        <sz val="10"/>
        <color rgb="FF000000"/>
        <rFont val="Arial"/>
        <scheme val="minor"/>
      </rPr>
      <t xml:space="preserve">Jeanette </t>
    </r>
    <r>
      <rPr>
        <sz val="10"/>
        <color rgb="FF000000"/>
        <rFont val="Arial"/>
        <scheme val="minor"/>
      </rPr>
      <t xml:space="preserve">– Great continued work on defects and stories that will prevent future escalations (year end/date locking) </t>
    </r>
  </si>
  <si>
    <t>26.04 Sprint 1</t>
  </si>
  <si>
    <t>Completed 14 from main commit and 5 from stretch. Missed a 2 SP story from the main commit. 
But completed 5 SP from stretch</t>
  </si>
  <si>
    <t>Overall, it was a good sprint. We completed all committed items from the main sprint except one, which is pending PR creation due to an unexpected team member’s sick leave.
Additionally, we completed two stretch items and made good progress on the remaining stretch goals.
A total of five escalations were reported during the sprint. Fixes have been completed for four, while the remaining one is awaiting client approval</t>
  </si>
  <si>
    <t>Completed 4 additional story points beyond the committed scope, including 2 items from the stretch goals.
Addressed 4 out of 5 escalations; one additional escalation has been fixed in production and is awaiting customer confirmation, while the remaining one is pending client confirmation.
Made good progress on the remaining stretch items.</t>
  </si>
  <si>
    <t xml:space="preserve">Comments : 
CRC Peer - 0 (suggestion), 
Onsite - 0, 
Client - 0
Defects: 0
Bounceback -2
Internal Defect - 1
External Defect - 6 (5 escalation)
What went well: 
Effectively handled escalation fixes, with most of the issues related to data corrections. 
Completed several stretch items successfully.
What didnt Go Well: 
We could not meet the SP commited. </t>
  </si>
  <si>
    <r>
      <rPr>
        <b/>
        <sz val="10"/>
        <color rgb="FF000000"/>
        <rFont val="Arial"/>
        <scheme val="minor"/>
      </rPr>
      <t xml:space="preserve">External:
Allan Browder: </t>
    </r>
    <r>
      <rPr>
        <sz val="10"/>
        <color rgb="FF000000"/>
        <rFont val="Arial"/>
        <scheme val="minor"/>
      </rPr>
      <t xml:space="preserve">Great effort by the team in getting all 5 escalations completed along with other items
</t>
    </r>
    <r>
      <rPr>
        <b/>
        <sz val="10"/>
        <color rgb="FF000000"/>
        <rFont val="Arial"/>
        <scheme val="minor"/>
      </rPr>
      <t xml:space="preserve">James: </t>
    </r>
    <r>
      <rPr>
        <sz val="10"/>
        <color rgb="FF000000"/>
        <rFont val="Arial"/>
        <scheme val="minor"/>
      </rPr>
      <t xml:space="preserve">Karthik for completing the escalation work
</t>
    </r>
    <r>
      <rPr>
        <b/>
        <sz val="10"/>
        <color rgb="FF000000"/>
        <rFont val="Arial"/>
        <scheme val="minor"/>
      </rPr>
      <t xml:space="preserve">Chris: </t>
    </r>
    <r>
      <rPr>
        <sz val="10"/>
        <color rgb="FF000000"/>
        <rFont val="Arial"/>
        <scheme val="minor"/>
      </rPr>
      <t xml:space="preserve">QA team for catching bouncebacks &amp; thorough testing + all the feedback and documentation helping with where things are now 
</t>
    </r>
    <r>
      <rPr>
        <b/>
        <sz val="10"/>
        <color rgb="FF000000"/>
        <rFont val="Arial"/>
        <scheme val="minor"/>
      </rPr>
      <t xml:space="preserve">
Internal:
Pramod</t>
    </r>
    <r>
      <rPr>
        <sz val="10"/>
        <color rgb="FF000000"/>
        <rFont val="Arial"/>
        <scheme val="minor"/>
      </rPr>
      <t xml:space="preserve">: Rijo, Karthik balancing and completing the workloads this sprint while Qadir's week-long absence
</t>
    </r>
    <r>
      <rPr>
        <b/>
        <sz val="10"/>
        <color rgb="FF000000"/>
        <rFont val="Arial"/>
        <scheme val="minor"/>
      </rPr>
      <t>Qadir</t>
    </r>
    <r>
      <rPr>
        <sz val="10"/>
        <color rgb="FF000000"/>
        <rFont val="Arial"/>
        <scheme val="minor"/>
      </rPr>
      <t xml:space="preserve">: Team for Escalation work while out 
</t>
    </r>
    <r>
      <rPr>
        <b/>
        <sz val="10"/>
        <color rgb="FF000000"/>
        <rFont val="Arial"/>
        <scheme val="minor"/>
      </rPr>
      <t>Qadir</t>
    </r>
    <r>
      <rPr>
        <sz val="10"/>
        <color rgb="FF000000"/>
        <rFont val="Arial"/>
        <scheme val="minor"/>
      </rPr>
      <t>: Karthik for work the Accounting work and escalations</t>
    </r>
  </si>
  <si>
    <t>26.04 Sprint 2</t>
  </si>
  <si>
    <t>Completed 11 SPs assigned from main commit and 13 SPs from the stretch.</t>
  </si>
  <si>
    <t>Overall, it was a very good sprint. We completed all committed items from the main sprint.
Additionally, we completed four stretch items and made good progress on the remaining stretch goals.
A total of five escalations were reported during the sprint for accounting. All 5 were completed and closed around the mid sprint.</t>
  </si>
  <si>
    <t xml:space="preserve">Completed all committed items from the main sprint and we completed four stretch items and made good progress on the remaining stretch items, 2 other items was in product owner verify state.
We have completed and closed all 5 escalations reported in this sprint.
</t>
  </si>
  <si>
    <t xml:space="preserve">Comments : 
CRC Peer - 0 (suggestion), 
Onsite - 0, 
Client - 0
Defects: 6
Bounceback -0
Internal Defect - 3
External Defect - 3 (2 escalations)
</t>
  </si>
  <si>
    <r>
      <rPr>
        <b/>
        <sz val="10"/>
        <color rgb="FF000000"/>
        <rFont val="Arial"/>
        <scheme val="minor"/>
      </rPr>
      <t xml:space="preserve">External:
James: </t>
    </r>
    <r>
      <rPr>
        <sz val="10"/>
        <color rgb="FF000000"/>
        <rFont val="Arial"/>
        <scheme val="minor"/>
      </rPr>
      <t xml:space="preserve">Really good feedback from Pramod and Sowjanya 
</t>
    </r>
    <r>
      <rPr>
        <b/>
        <sz val="10"/>
        <color rgb="FF000000"/>
        <rFont val="Arial"/>
        <scheme val="minor"/>
      </rPr>
      <t xml:space="preserve">Wes – </t>
    </r>
    <r>
      <rPr>
        <sz val="10"/>
        <color rgb="FF000000"/>
        <rFont val="Arial"/>
        <scheme val="minor"/>
      </rPr>
      <t>We completed a number of onboarding tasks and I Improved my knowledge.</t>
    </r>
    <r>
      <rPr>
        <b/>
        <sz val="10"/>
        <color rgb="FF000000"/>
        <rFont val="Arial"/>
        <scheme val="minor"/>
      </rPr>
      <t xml:space="preserve"> 
James: </t>
    </r>
    <r>
      <rPr>
        <sz val="10"/>
        <color rgb="FF000000"/>
        <rFont val="Arial"/>
        <scheme val="minor"/>
      </rPr>
      <t xml:space="preserve">Really good demos from everyone. (Rijo always so calm) 
</t>
    </r>
    <r>
      <rPr>
        <b/>
        <sz val="10"/>
        <color rgb="FF000000"/>
        <rFont val="Arial"/>
        <scheme val="minor"/>
      </rPr>
      <t xml:space="preserve">James: </t>
    </r>
    <r>
      <rPr>
        <sz val="10"/>
        <color rgb="FF000000"/>
        <rFont val="Arial"/>
        <scheme val="minor"/>
      </rPr>
      <t>Qadir is always there when you need him</t>
    </r>
    <r>
      <rPr>
        <b/>
        <sz val="10"/>
        <color rgb="FF000000"/>
        <rFont val="Arial"/>
        <scheme val="minor"/>
      </rPr>
      <t xml:space="preserve"> 
Internal:
Qadir , Rijo</t>
    </r>
    <r>
      <rPr>
        <sz val="10"/>
        <color rgb="FF000000"/>
        <rFont val="Arial"/>
        <scheme val="minor"/>
      </rPr>
      <t xml:space="preserve"> :  Really good sprint. Covered a lot of ground , even if SP doesn’t show it.  
</t>
    </r>
    <r>
      <rPr>
        <b/>
        <sz val="10"/>
        <color rgb="FF000000"/>
        <rFont val="Arial"/>
        <scheme val="minor"/>
      </rPr>
      <t xml:space="preserve">Qadir </t>
    </r>
    <r>
      <rPr>
        <sz val="10"/>
        <color rgb="FF000000"/>
        <rFont val="Arial"/>
        <scheme val="minor"/>
      </rPr>
      <t xml:space="preserve">: @Rijo P R [C] and @Karthikeyan Ganesan [C]  -  Great job closing out a lot of defects in stretch   
</t>
    </r>
    <r>
      <rPr>
        <b/>
        <sz val="10"/>
        <color rgb="FF000000"/>
        <rFont val="Arial"/>
        <scheme val="minor"/>
      </rPr>
      <t>Pramod</t>
    </r>
    <r>
      <rPr>
        <sz val="10"/>
        <color rgb="FF000000"/>
        <rFont val="Arial"/>
        <scheme val="minor"/>
      </rPr>
      <t xml:space="preserve">– Good sprint, good team discussions to maintain focus on the dev works 
</t>
    </r>
    <r>
      <rPr>
        <b/>
        <sz val="10"/>
        <color rgb="FF000000"/>
        <rFont val="Arial"/>
        <scheme val="minor"/>
      </rPr>
      <t xml:space="preserve">Karthik </t>
    </r>
    <r>
      <rPr>
        <sz val="10"/>
        <color rgb="FF000000"/>
        <rFont val="Arial"/>
        <scheme val="minor"/>
      </rPr>
      <t xml:space="preserve">– Completed almost all the planned items, we also finished some additional stretch items. 
</t>
    </r>
    <r>
      <rPr>
        <b/>
        <sz val="10"/>
        <color rgb="FF000000"/>
        <rFont val="Arial"/>
        <scheme val="minor"/>
      </rPr>
      <t xml:space="preserve">Qadir </t>
    </r>
    <r>
      <rPr>
        <sz val="10"/>
        <color rgb="FF000000"/>
        <rFont val="Arial"/>
        <scheme val="minor"/>
      </rPr>
      <t xml:space="preserve">: Client POV approvals were slightly delayed, affecting testing.  
</t>
    </r>
    <r>
      <rPr>
        <b/>
        <sz val="10"/>
        <color rgb="FF000000"/>
        <rFont val="Arial"/>
        <scheme val="minor"/>
      </rPr>
      <t>Pramod</t>
    </r>
    <r>
      <rPr>
        <sz val="10"/>
        <color rgb="FF000000"/>
        <rFont val="Arial"/>
        <scheme val="minor"/>
      </rPr>
      <t xml:space="preserve">: Jeanette could handoff or inform me to be a proxy for POV approvals while she is away to keep things moving and she can review later 
</t>
    </r>
    <r>
      <rPr>
        <b/>
        <sz val="10"/>
        <color rgb="FF000000"/>
        <rFont val="Arial"/>
        <scheme val="minor"/>
      </rPr>
      <t>Sowjanya</t>
    </r>
    <r>
      <rPr>
        <sz val="10"/>
        <color rgb="FF000000"/>
        <rFont val="Arial"/>
        <scheme val="minor"/>
      </rPr>
      <t xml:space="preserve">- Thanks to Pramod and Rijo on clarification while testing  
</t>
    </r>
    <r>
      <rPr>
        <b/>
        <sz val="10"/>
        <color rgb="FF000000"/>
        <rFont val="Arial"/>
        <scheme val="minor"/>
      </rPr>
      <t>Sowjanya</t>
    </r>
    <r>
      <rPr>
        <sz val="10"/>
        <color rgb="FF000000"/>
        <rFont val="Arial"/>
        <scheme val="minor"/>
      </rPr>
      <t xml:space="preserve">- Thanks to James for the very Quick fix  
</t>
    </r>
    <r>
      <rPr>
        <b/>
        <sz val="10"/>
        <color rgb="FF000000"/>
        <rFont val="Arial"/>
        <scheme val="minor"/>
      </rPr>
      <t xml:space="preserve">Rijo </t>
    </r>
    <r>
      <rPr>
        <sz val="10"/>
        <color rgb="FF000000"/>
        <rFont val="Arial"/>
        <scheme val="minor"/>
      </rPr>
      <t xml:space="preserve">– Sowjanya and Wes for covering good ground with testing on both Accounting and onboarding items 
</t>
    </r>
    <r>
      <rPr>
        <b/>
        <sz val="10"/>
        <color rgb="FF000000"/>
        <rFont val="Arial"/>
        <scheme val="minor"/>
      </rPr>
      <t xml:space="preserve">Rijo </t>
    </r>
    <r>
      <rPr>
        <sz val="10"/>
        <color rgb="FF000000"/>
        <rFont val="Arial"/>
        <scheme val="minor"/>
      </rPr>
      <t xml:space="preserve">– Karthik and Qadir for fixing all the accounting escalations quickly 
</t>
    </r>
    <r>
      <rPr>
        <b/>
        <sz val="10"/>
        <color rgb="FF000000"/>
        <rFont val="Arial"/>
        <scheme val="minor"/>
      </rPr>
      <t>Pramod</t>
    </r>
    <r>
      <rPr>
        <sz val="10"/>
        <color rgb="FF000000"/>
        <rFont val="Arial"/>
        <scheme val="minor"/>
      </rPr>
      <t xml:space="preserve">: to JV for all the great changes he made on my additional requests after my POV 
</t>
    </r>
    <r>
      <rPr>
        <b/>
        <sz val="10"/>
        <color rgb="FF000000"/>
        <rFont val="Arial"/>
        <scheme val="minor"/>
      </rPr>
      <t>Pramod</t>
    </r>
    <r>
      <rPr>
        <sz val="10"/>
        <color rgb="FF000000"/>
        <rFont val="Arial"/>
        <scheme val="minor"/>
      </rPr>
      <t xml:space="preserve">: Rijo and Karthik for focus on accounting items 
</t>
    </r>
    <r>
      <rPr>
        <b/>
        <sz val="10"/>
        <color rgb="FF000000"/>
        <rFont val="Arial"/>
        <scheme val="minor"/>
      </rPr>
      <t>Pramod</t>
    </r>
    <r>
      <rPr>
        <sz val="10"/>
        <color rgb="FF000000"/>
        <rFont val="Arial"/>
        <scheme val="minor"/>
      </rPr>
      <t xml:space="preserve">: Qadir for helping on everything needed for the team 
</t>
    </r>
    <r>
      <rPr>
        <b/>
        <sz val="10"/>
        <color rgb="FF000000"/>
        <rFont val="Arial"/>
        <scheme val="minor"/>
      </rPr>
      <t>Pramod</t>
    </r>
    <r>
      <rPr>
        <sz val="10"/>
        <color rgb="FF000000"/>
        <rFont val="Arial"/>
        <scheme val="minor"/>
      </rPr>
      <t xml:space="preserve">: Chris on the perfect changes on onboarding items
</t>
    </r>
    <r>
      <rPr>
        <b/>
        <sz val="10"/>
        <color rgb="FF000000"/>
        <rFont val="Arial"/>
        <scheme val="minor"/>
      </rPr>
      <t xml:space="preserve">What went well: 
</t>
    </r>
    <r>
      <rPr>
        <sz val="10"/>
        <color rgb="FF000000"/>
        <rFont val="Arial"/>
        <scheme val="minor"/>
      </rPr>
      <t xml:space="preserve">Effectively handled escalation fixes, with most of the issues related to data corrections. 
Completed all committed items from the main sprint
Completed several stretch items successfully.
</t>
    </r>
    <r>
      <rPr>
        <b/>
        <sz val="10"/>
        <color rgb="FF000000"/>
        <rFont val="Arial"/>
        <scheme val="minor"/>
      </rPr>
      <t xml:space="preserve">What didnt Go Well: 
</t>
    </r>
    <r>
      <rPr>
        <sz val="10"/>
        <color rgb="FF000000"/>
        <rFont val="Arial"/>
        <scheme val="minor"/>
      </rPr>
      <t>Nothing</t>
    </r>
  </si>
  <si>
    <t>26.04 Sprint 3</t>
  </si>
  <si>
    <t>Completed 33 SPs from main commit. Missed 11 since few regression items was blocked due to UI issues from Kaleida changes. And few defects which is being worked by client dev got bouncebacks.</t>
  </si>
  <si>
    <t>It was a good sprint overall. We have almost completed regression. But since we found so UI issues with the new Kaleida and layout changes which were fixed by client developer.</t>
  </si>
  <si>
    <t>Completed most of the regression items. And almost all defects found are fixed and tested by QA.
We have closed 3 out of 5 escalations and made good progress with other 2.</t>
  </si>
  <si>
    <r>
      <rPr>
        <sz val="10"/>
        <color rgb="FF000000"/>
        <rFont val="Arial"/>
        <scheme val="minor"/>
      </rPr>
      <t xml:space="preserve">Comments : 
CRC Peer - 0 (suggestion), 
Onsite - 0, 
Client - 0
Defects: 5
Bounceback -0
Internal Defect - 2
External Defect - 2 (2 escalations)
</t>
    </r>
    <r>
      <rPr>
        <b/>
        <sz val="10"/>
        <color rgb="FF000000"/>
        <rFont val="Arial"/>
        <scheme val="minor"/>
      </rPr>
      <t xml:space="preserve">Appreciations - 
</t>
    </r>
    <r>
      <rPr>
        <sz val="10"/>
        <color rgb="FF000000"/>
        <rFont val="Arial"/>
        <scheme val="minor"/>
      </rPr>
      <t xml:space="preserve">James: Sowjanya for finding every issue under every nook and cranny. Meetings to go over fixes at 4:00am, 
James: Pramod for all the actions on reviewing all the changes for the report's dialog and status popups and others. 
Pramod: James for all those quick turarounds on UI changes 
Pramod: Sowjanya for testing and coordination on defect items 
Sowjanya- Pramod, Rijo and Qadir For clarifying me on few thing while testing  
Sowjanya- James was superfast fix on defects and bounce back   
Jeanette – James amazing work on the UI, Sowjanya great testing findings to ensure a great product gets released to our customers, Rijo’s continued Batch King knowledge to help with the batch escalation 
Qadir -  James for fixing the defects  findings immediately.  
Qadir – Sowjanya – Amazing job on testing defects. There were a lot of defects and she had great cooridnation with Pramod to make sure the defects were in Axosoft  
Qadir - Pramod – For keeping Axosoft up to date with the defects found.   </t>
    </r>
  </si>
  <si>
    <r>
      <rPr>
        <b/>
        <sz val="10"/>
        <color rgb="FF000000"/>
        <rFont val="Arial"/>
        <scheme val="minor"/>
      </rPr>
      <t xml:space="preserve">
What went well: 
</t>
    </r>
    <r>
      <rPr>
        <sz val="10"/>
        <color rgb="FF000000"/>
        <rFont val="Arial"/>
        <scheme val="minor"/>
      </rPr>
      <t xml:space="preserve">Good sprint, faster UI upgrade changes, team discussions, lots of items tested switching the focus between Cert and QA due to UI changes for this sprint
Nothing
</t>
    </r>
    <r>
      <rPr>
        <b/>
        <sz val="10"/>
        <color rgb="FF000000"/>
        <rFont val="Arial"/>
        <scheme val="minor"/>
      </rPr>
      <t xml:space="preserve">What didnt Go Well: 
</t>
    </r>
    <r>
      <rPr>
        <sz val="10"/>
        <color rgb="FF000000"/>
        <rFont val="Arial"/>
        <scheme val="minor"/>
      </rPr>
      <t xml:space="preserve">No user Kaleida UI stories for visibility, transparency, &amp; tracking.  </t>
    </r>
  </si>
  <si>
    <t>26.06 Sprint 1</t>
  </si>
  <si>
    <t>Completed all 22 SPs from the main commit and additional 3 Sps from the stretch.</t>
  </si>
  <si>
    <t>It was a very good sprint. We have completed all commited items and 2 additional items from stretch. 
And made good progress on other stretch items as well.</t>
  </si>
  <si>
    <t>Regression completed and release candidate is ready for production deployment this week.
We have completed all commited items and 2 additional items from stretch. And made good progress on other stretch items as well.</t>
  </si>
  <si>
    <r>
      <rPr>
        <sz val="10"/>
        <color rgb="FF000000"/>
        <rFont val="Arial"/>
        <scheme val="minor"/>
      </rPr>
      <t xml:space="preserve">Comments : 
CRC Peer - 0 (suggestion), 
Onsite - 0, 
Client - 0
Defects: 6
Bounceback -0
Internal Defect - 4
External Defect - 2 (2 escalations)
</t>
    </r>
    <r>
      <rPr>
        <b/>
        <sz val="10"/>
        <color rgb="FF000000"/>
        <rFont val="Arial"/>
        <scheme val="minor"/>
      </rPr>
      <t xml:space="preserve">Appreciations </t>
    </r>
    <r>
      <rPr>
        <sz val="10"/>
        <color rgb="FF000000"/>
        <rFont val="Arial"/>
        <scheme val="minor"/>
      </rPr>
      <t xml:space="preserve">- 
James: Seems like more stories was completed 
Jeanette  - Regression completed 
Karthik – Completed all committed items and few from stretch. 
Qadir -  Regression completed.  
Pramod– Good sprint, completed all regression defects+regression, few additional stretch items as well, excited to present the new upgraded UI for the customers in the next release 
Sowjanya- Regression Completed  
Karthik ,James– Sowjanya and Wes for excellent job in the testing. 
Sowjanya- Thanks to Pramod was clearing all queries while testing even he was busy with his work </t>
    </r>
  </si>
  <si>
    <r>
      <rPr>
        <b/>
        <sz val="10"/>
        <color rgb="FF000000"/>
        <rFont val="Arial"/>
        <scheme val="minor"/>
      </rPr>
      <t xml:space="preserve">
What went well: 
</t>
    </r>
    <r>
      <rPr>
        <sz val="10"/>
        <color rgb="FF000000"/>
        <rFont val="Arial"/>
        <scheme val="minor"/>
      </rPr>
      <t xml:space="preserve">Good sprint, faster UI upgrade changes, team discussions, lots of items tested switching the focus between Cert and QA due to UI changes for this sprint
</t>
    </r>
    <r>
      <rPr>
        <b/>
        <sz val="10"/>
        <color rgb="FF000000"/>
        <rFont val="Arial"/>
        <scheme val="minor"/>
      </rPr>
      <t xml:space="preserve">What didnt Go Well: 
</t>
    </r>
    <r>
      <rPr>
        <sz val="10"/>
        <color rgb="FF000000"/>
        <rFont val="Arial"/>
        <scheme val="minor"/>
      </rPr>
      <t xml:space="preserve">No deployment yet, but soon...
No POV for header/nav/footer from January. 
No user Kaleida UI stories for visibility, transparency, &amp; tracking.  </t>
    </r>
  </si>
  <si>
    <t>26.06 Sprint 2</t>
  </si>
  <si>
    <t>S.No</t>
  </si>
  <si>
    <t>Story/Defect ID</t>
  </si>
  <si>
    <t>Parent Story</t>
  </si>
  <si>
    <t>Developer</t>
  </si>
  <si>
    <t>Issue Type</t>
  </si>
  <si>
    <t xml:space="preserve">Issue Description </t>
  </si>
  <si>
    <t>Priority</t>
  </si>
  <si>
    <t>Defect Source</t>
  </si>
  <si>
    <t>Type</t>
  </si>
  <si>
    <t>Status</t>
  </si>
  <si>
    <t>Root Cause Category</t>
  </si>
  <si>
    <t>Comments</t>
  </si>
  <si>
    <t xml:space="preserve">Sprint </t>
  </si>
  <si>
    <t>Story ID/Defect ID</t>
  </si>
  <si>
    <t>Description</t>
  </si>
  <si>
    <t>Estimated(sp)</t>
  </si>
  <si>
    <t>Actual(sp)</t>
  </si>
  <si>
    <t>Actual Hours Worklog</t>
  </si>
  <si>
    <t>Dev Start Date</t>
  </si>
  <si>
    <t>Dev End Date</t>
  </si>
  <si>
    <t>Unit testing</t>
  </si>
  <si>
    <t>Peer Tested By</t>
  </si>
  <si>
    <t>Peer Tested Comments, if any</t>
  </si>
  <si>
    <t>Peer Reviewed By</t>
  </si>
  <si>
    <t>Peer Code Review Comments, if any</t>
  </si>
  <si>
    <t>PR Number/Link</t>
  </si>
  <si>
    <t>PR Created Date</t>
  </si>
  <si>
    <t>PR Approved Date</t>
  </si>
  <si>
    <t>Onsite Lead Code Review</t>
  </si>
  <si>
    <t>Onsite Lead Code Review Comments, if any</t>
  </si>
  <si>
    <t>Client Code Review</t>
  </si>
  <si>
    <t>PR Approved Date2</t>
  </si>
  <si>
    <t>Client Code Review Comments, if any</t>
  </si>
  <si>
    <t>Internal PO -POV Comments</t>
  </si>
  <si>
    <t>Client PO -POV Comments</t>
  </si>
  <si>
    <t>Story met clarity expectations?</t>
  </si>
  <si>
    <t xml:space="preserve">MSB Accounting  </t>
  </si>
  <si>
    <t>MSB Accounting 26.06 Sprint 2</t>
  </si>
  <si>
    <t>Client Dev</t>
  </si>
  <si>
    <t>MSB Onboarding - Complete User Experience with New Flow</t>
  </si>
  <si>
    <t>Story Completed</t>
  </si>
  <si>
    <t>Have created a bounce
back for Sign &amp; Exit</t>
  </si>
  <si>
    <t>Waiting for the bounceback fix.</t>
  </si>
  <si>
    <t>Waiting for bounceback fix.</t>
  </si>
  <si>
    <t>Have one doubt regarding save and exit.</t>
  </si>
  <si>
    <t>Completed testing regarding save and exit. Have one more doubut, will discuss.</t>
  </si>
  <si>
    <t>Completed testing and closed</t>
  </si>
  <si>
    <t>Karthik</t>
  </si>
  <si>
    <t>MSB ACCT - BKK - Add Warnings and Blockers for Unclosed Years (26.5)</t>
  </si>
  <si>
    <t>Rijo</t>
  </si>
  <si>
    <t>Pass</t>
  </si>
  <si>
    <t>Qadir</t>
  </si>
  <si>
    <t>https://dev.azure.com/heartlandschools/Accounting/_git/MSBAccounting-NewSchoolBooks/pullrequest/48944</t>
  </si>
  <si>
    <t>Done</t>
  </si>
  <si>
    <t>NA</t>
  </si>
  <si>
    <t>Sowjanya started testing after completing test cases. 1 AC point covered.</t>
  </si>
  <si>
    <t>Completed AC points. But need to validate few more things before closing.</t>
  </si>
  <si>
    <t>Biunce back created - If the FY Close Warning
 Type is selected as
 “Warn Only” or “Warn
 and Stop Entries,” 
the system does not
 allow selecting the 
“Warning Date” and
 “New Entry Stop Date”
 as “0 days after fiscal
 year ends.”</t>
  </si>
  <si>
    <t>PR for the bounce back completed. Waiting for the deployment for bb testing.</t>
  </si>
  <si>
    <t>Testing completed and Sowjanya will close this.</t>
  </si>
  <si>
    <t>_</t>
  </si>
  <si>
    <t xml:space="preserve">22751	</t>
  </si>
  <si>
    <t>MSB ACCT - Integration - Renumber Merge deletes a mapped GL account in ImportFromMSB transaction causing error</t>
  </si>
  <si>
    <t>Defect Ready For Testing</t>
  </si>
  <si>
    <t>Completed warning part. Working on Account change. Need to do deep analysis for downstream impacts as well.</t>
  </si>
  <si>
    <t>Dev and unit testing completed. Ready for POV.</t>
  </si>
  <si>
    <t>POV completed with Pramod. Shared recording in the channel. And shared branch details for review.</t>
  </si>
  <si>
    <t>Code review and peer testing completed by Qadir. Will be creating a PR once I get the approval from Jeanette.</t>
  </si>
  <si>
    <t>Waiting on Jeanette's approval.</t>
  </si>
  <si>
    <t>Completed PR. Ready for testing.</t>
  </si>
  <si>
    <t>MSB Accounting 26.06 Sprint 2 Stretch</t>
  </si>
  <si>
    <t>MSB ACCT - BKK - Implement iTextSharpTool alternative opensource tool for report-to-PDF conversion</t>
  </si>
  <si>
    <t>Story Peer Review</t>
  </si>
  <si>
    <t>Reported a padding issue in the new version receipting PDF.</t>
  </si>
  <si>
    <t>PDF changes in progress. Getting some UI alignment issues in reports.</t>
  </si>
  <si>
    <t>Validating new reports with existing ones. Found 1 overlapping issue. Will be recording issues in an excel sheet.</t>
  </si>
  <si>
    <t>Found 1 more UI issue and made fix. Continuing with custom template, there are 250+ templates.</t>
  </si>
  <si>
    <t>Karthik PTO.</t>
  </si>
  <si>
    <t>Completed textoveralpping issue fix and POV with Pramod.</t>
  </si>
  <si>
    <t>Jeanette added one more AC point and got 1 peer review comment from Qadir to work on.</t>
  </si>
  <si>
    <t>SRX28874</t>
  </si>
  <si>
    <t xml:space="preserve">	MSB ACCT - Variance for second Bank Rec (Thatcher-July-BankB)</t>
  </si>
  <si>
    <t>Defect Being Fixed</t>
  </si>
  <si>
    <t>Waiting for Jeanette's approval about the fix we proposed. Made some progress with the analysis as well.</t>
  </si>
  <si>
    <t>No progress.</t>
  </si>
  <si>
    <t>Prod db copy restored on Dev. Will try to replicate the issue.</t>
  </si>
  <si>
    <t>Not much updates. Was working on backround jobs escalations.</t>
  </si>
  <si>
    <t>Dev environment setup in progress.</t>
  </si>
  <si>
    <t>No updates. Working on delayed batches escalation.</t>
  </si>
  <si>
    <t>SRX28876</t>
  </si>
  <si>
    <t xml:space="preserve">	DUR - MSB ACCT - BKK - Kingsport City Schools (129907) - Dobyns-Bennett High School (DOB)</t>
  </si>
  <si>
    <t>Still waiting for dev db to be restored with prod copy. Trying to use the db locally in the mean while.</t>
  </si>
  <si>
    <t xml:space="preserve">No progress.
Still waiting for dev db to be restored with prod copy. </t>
  </si>
  <si>
    <t>Waiting on DBA setup.</t>
  </si>
  <si>
    <t>Able to replicate the issue on Dev. Increasing the timeout should be the only option since it's an in-built feature.</t>
  </si>
  <si>
    <t xml:space="preserve">47478	</t>
  </si>
  <si>
    <t>MSB ACCT - BKK - Update Bank Deposit History Report to Reflect Changes to Import MSB Batches (26.5)</t>
  </si>
  <si>
    <t>Created PR.</t>
  </si>
  <si>
    <t>Deployed and ready for testing.</t>
  </si>
  <si>
    <t>Being tested by client QA.</t>
  </si>
  <si>
    <t>Closed by Client QA</t>
  </si>
  <si>
    <t xml:space="preserve">47848	</t>
  </si>
  <si>
    <t xml:space="preserve">MSB ACCT - BKK - Rename "New Data" Feature Flag (26.5)	
</t>
  </si>
  <si>
    <t>Story Ready For Testing</t>
  </si>
  <si>
    <t>Will be creating PR after Qadir's review. POV already approved earlier.</t>
  </si>
  <si>
    <t>Waiting for deployment.</t>
  </si>
  <si>
    <t>Will start testing once committed items completed.</t>
  </si>
  <si>
    <t xml:space="preserve">MSB Accounting 26.06 Sprint 2 </t>
  </si>
  <si>
    <t xml:space="preserve">27200	</t>
  </si>
  <si>
    <t>MSB ACCT - BKK - Cash Transfer does not save the "Notes" after editing</t>
  </si>
  <si>
    <t>Defect Fixed</t>
  </si>
  <si>
    <t>Started testing. Notes text area size is larger than other pages. Rijo will be fixing it.</t>
  </si>
  <si>
    <t>Notes resize done and PR completed. Can be verified after deployment.</t>
  </si>
  <si>
    <t>MSB ACCT - BKK - Warning icon not displaying for overdrawn line items in a manual check while editing an existing record</t>
  </si>
  <si>
    <t>Product Owner - Verify</t>
  </si>
  <si>
    <t>Ready for POV.</t>
  </si>
  <si>
    <t>Found some issue with overdraw amount calculation and fixed. Waiting for Pramod for the POV.</t>
  </si>
  <si>
    <t>POV completed with Pramod. Shared recording in the channel.</t>
  </si>
  <si>
    <t>Got POV approval and peer review done. Will be creating a PR soon.</t>
  </si>
  <si>
    <t>MSB Onboarding - Updated Program Selector Page</t>
  </si>
  <si>
    <t>Test cases covered. Need to discuss few UI changes and clarify 1 scenario with client Dev before closing.</t>
  </si>
  <si>
    <t>Sowjanya need clarification about findings.</t>
  </si>
  <si>
    <t>Need 1 more clarification from client dev.</t>
  </si>
  <si>
    <t>Qadir will get this clarified.</t>
  </si>
  <si>
    <t xml:space="preserve">Completed and closed </t>
  </si>
  <si>
    <t>Qadir/Rijo</t>
  </si>
  <si>
    <t>SRX28912</t>
  </si>
  <si>
    <t xml:space="preserve">	MSB ACCT - BKK - Batches are not available for importing from 5/7</t>
  </si>
  <si>
    <t>Made scheduler jobs on A01 to keep the server active and running. It would resolve the issue with shutting down the server due to inactivity. 
But we are looking for a long term solution, but not as part of this escalation.</t>
  </si>
  <si>
    <t>Closed.</t>
  </si>
  <si>
    <t>Will discuss with RJ to close batch missing related escalations since we got all batches.</t>
  </si>
  <si>
    <t xml:space="preserve">49563	</t>
  </si>
  <si>
    <t>MSB ACCT - BKK - New Feature: Credit Note and Debit Note-DB Changes</t>
  </si>
  <si>
    <t>Story Being Developed</t>
  </si>
  <si>
    <t>Picked up and started analysis.</t>
  </si>
  <si>
    <t>Not much progress. Analysis still in progress.</t>
  </si>
  <si>
    <t>Created table structure, need some clarifications from Pramod.</t>
  </si>
  <si>
    <t>Wil discuss with Pramod before the actual POV.</t>
  </si>
  <si>
    <t>SRX28916</t>
  </si>
  <si>
    <t>MSB ACCT - BKK - MSB batches are not available for importing from 5/12</t>
  </si>
  <si>
    <t>Started analysis.</t>
  </si>
  <si>
    <t>Still server getting shutdown and jobs not getting completed in time.</t>
  </si>
  <si>
    <t>Fix completed on PROD. Will get a confirmation and close.</t>
  </si>
  <si>
    <t>MSB Onboarding - Update the Maintenance Form View</t>
  </si>
  <si>
    <t>Started testing today. Started with maintanance page. Cleared doubt with James. Testing going on.</t>
  </si>
  <si>
    <t>Testing in progress.</t>
  </si>
  <si>
    <t>MSB Accounting - Printing Reports Default</t>
  </si>
  <si>
    <t>Completed dev changes. Updated 52 rdlc files. Dev testing in progress.</t>
  </si>
  <si>
    <t>Dev testing completed, waiting for Pramod to run POV.</t>
  </si>
  <si>
    <t>POV completed. Will be sharing the recording in the channel. 
Peer review also completed.</t>
  </si>
  <si>
    <t>Qadir/ Clent Dev</t>
  </si>
  <si>
    <t>SRX28920</t>
  </si>
  <si>
    <t xml:space="preserve">	MSB ACCT - BKK - School Site Users Unable to Print Checks (CCSD)</t>
  </si>
  <si>
    <t>Checked out the issue. Permission issue with forms.
No need of any fix from our issue, just need to assign the permission to the user role.</t>
  </si>
  <si>
    <t>MSB Accounting 26.06 Sprint 1 Stretch</t>
  </si>
  <si>
    <t>MSB Onboarding - Sign &amp; Submit</t>
  </si>
  <si>
    <t>Worked by client dev. Only testing effort for us.</t>
  </si>
  <si>
    <t>Meets Expectation</t>
  </si>
  <si>
    <t>Created a bounceback
 on theprimary and 
secondary contact when i enter a phone number and its picking up another number</t>
  </si>
  <si>
    <t>Waiting on Bounceback Fix</t>
  </si>
  <si>
    <t xml:space="preserve">Waiting on the bounceback </t>
  </si>
  <si>
    <t>When i add the
 phone number in 
contacts and save
 then click edit to 
check the number 
the number seems
 to be different-Again assigned to james</t>
  </si>
  <si>
    <t xml:space="preserve">
Bounceback reported to James. Sowjanya - PTO</t>
  </si>
  <si>
    <t>Moved to testing and Wes pick up.</t>
  </si>
  <si>
    <t>Wes completed</t>
  </si>
  <si>
    <t>MSB Onboarding - Remove all old onboarding pages</t>
  </si>
  <si>
    <t>Needed to remove the old pages from the new workflow. 
Dev was completed last sprint. Only testing in this sprint.</t>
  </si>
  <si>
    <t>Started and check on the pages</t>
  </si>
  <si>
    <t>-</t>
  </si>
  <si>
    <t xml:space="preserve">need to verify create account page. </t>
  </si>
  <si>
    <t>MSB Accounting 26.6 Sprint 1</t>
  </si>
  <si>
    <t>Qadir/ Karthik</t>
  </si>
  <si>
    <t>Qadir - Waiting for prod db copy to be restored on dev. Still Waiting for Jeanette verification. Request to restore db on Dev has been created on Apr 29th, still waiting for completion.</t>
  </si>
  <si>
    <t>Still working on this. Looked at the prod data. Trying identify if the abnk rec lines are not being updated.</t>
  </si>
  <si>
    <t xml:space="preserve">Found the root cause.   Previous ending balance not calculated correctly.
Checked with prev ending balance. </t>
  </si>
  <si>
    <t xml:space="preserve">shared details with jeanette. 
Waiting on feedback. 
new Dev Database to be setup. </t>
  </si>
  <si>
    <t>jeanette needs DB Restored on DEV Request Made</t>
  </si>
  <si>
    <t>Qadir will check about the DEV environment setup.</t>
  </si>
  <si>
    <t>Waiting for Jeanette verification.</t>
  </si>
  <si>
    <t>Qadir - Waiting for prod db copy to be restored on dev. Still Waiting for Jeanette verification.</t>
  </si>
  <si>
    <t>Waiting for prod db copy to be restored on dev.  Request to restore db on Dev has been created on Apr 29th, still waiting for completion.</t>
  </si>
  <si>
    <t xml:space="preserve">No Progress.  </t>
  </si>
  <si>
    <t xml:space="preserve">Code Fix.  i have rewritten Acount SnapShot Report. 
Also, Looking at the beginning balances.  </t>
  </si>
  <si>
    <t xml:space="preserve">Dev Testing completed.  need to make a PR for this today.  </t>
  </si>
  <si>
    <t xml:space="preserve">PR made right now. </t>
  </si>
  <si>
    <t>Will try to replicate this in DEV with latest DB, and will test the fix in the same environment if it replicated.</t>
  </si>
  <si>
    <t>Will try to replicate in DEV. Also Qadil will check the DB update.</t>
  </si>
  <si>
    <t>Waiting for prod db copy to be restored on dev.</t>
  </si>
  <si>
    <t>MSB ACCT - BKK - Regression - Entry Menu (Not Import MSB Batches) (26.4)</t>
  </si>
  <si>
    <t>Regression testing. No code changes and PR.</t>
  </si>
  <si>
    <t>Start Testing today</t>
  </si>
  <si>
    <t xml:space="preserve">Completed 7 screens.  
All working as expected. </t>
  </si>
  <si>
    <t xml:space="preserve">Completed </t>
  </si>
  <si>
    <t>MSB ACCT - BKK - Regression - Maintenance Menu (26.4)</t>
  </si>
  <si>
    <t>Completed.</t>
  </si>
  <si>
    <t>MSB ACCT - BKK - [Regression] Upgrade 1099 Print Forms to the new UI look and feel</t>
  </si>
  <si>
    <t xml:space="preserve">While testing found the popup size was too big </t>
  </si>
  <si>
    <t xml:space="preserve">Waiting on the client dev to completed work </t>
  </si>
  <si>
    <t>Found the pdf blank so retesting the scenario. Filling in the right data for the PO's / Invoices to fetch 1099 data</t>
  </si>
  <si>
    <t>Sowjanya</t>
  </si>
  <si>
    <t>MSB ACCT - BKK - Regression - 26.3 &amp; 26.4 Stories and Defects</t>
  </si>
  <si>
    <t xml:space="preserve">Have completed 3 defects and 1 story </t>
  </si>
  <si>
    <t>Completed 10 defects. 1 defect and  1 story pending.</t>
  </si>
  <si>
    <t>Everything completed except
1 defect pending 
on receipting so
 pushed to wes for testing</t>
  </si>
  <si>
    <t>MSB ACCT - BKK - Regression - Administration Menu (26.4)</t>
  </si>
  <si>
    <t xml:space="preserve">Completed Role managment.  </t>
  </si>
  <si>
    <t>MSB ACCT - BKK - [Regression] Bank rec. id is displayed instead of date in Bank Rec. History Report (26.4)</t>
  </si>
  <si>
    <t xml:space="preserve">Could not reproduce in CERT&gt; </t>
  </si>
  <si>
    <t>MSB ACCT - BKK - Regression - Period End Menu (26.4)</t>
  </si>
  <si>
    <t xml:space="preserve">Completed bank Rec Month End year end . Working on 1099 reports. </t>
  </si>
  <si>
    <t xml:space="preserve">Completed 1099 Reporting Menu.  
Completed post Year End Observations.  
Existing Issue shared 
</t>
  </si>
  <si>
    <t xml:space="preserve">52718	</t>
  </si>
  <si>
    <t>MSB ACCT - BKK - Regression - Management Menu (26.4)</t>
  </si>
  <si>
    <t xml:space="preserve">Started today. Conmpleted 4 screens.  Failed School Settings.  52912. </t>
  </si>
  <si>
    <t xml:space="preserve">Closed the issue with School Settings. Almost Completed special functions
questions on hardware settings. </t>
  </si>
  <si>
    <t>SRX28888</t>
  </si>
  <si>
    <t xml:space="preserve">	MSB ACCT - BKK - Duplicate Adjustment Entry on Bank Rec/Report (Pleasanton)</t>
  </si>
  <si>
    <t>Prod data fix, update query ran on prod db. No code changes and PR.</t>
  </si>
  <si>
    <t xml:space="preserve">Had a discussion with the team on the root cause. 
Make the data fix.  Make a request for Audit Logs.  
</t>
  </si>
  <si>
    <t>Data fix done for this and verification is pending. Audit log analsis in progress.</t>
  </si>
  <si>
    <t>Completed verification and new defect will be created to find the root cause.</t>
  </si>
  <si>
    <t>MSB ACCT - BKK - Upgrade Purchase Order Entry Page and School Settings page with Shipping address validations</t>
  </si>
  <si>
    <t>https://dev.azure.com/heartlandschools/Accounting/_git/MSBAccounting-NewSchoolBooks/pullrequest/48608</t>
  </si>
  <si>
    <t>Development was completed last sprint.</t>
  </si>
  <si>
    <t xml:space="preserve">Testing in progress. Almost completed. </t>
  </si>
  <si>
    <t>Waiting for the client PO approval for the POV for the last 2 days. The review and PR is pending.</t>
  </si>
  <si>
    <t>Made the fix, testing it out. Will be doing the POV by next day.</t>
  </si>
  <si>
    <t>Rijo PTO</t>
  </si>
  <si>
    <t>Holiday</t>
  </si>
  <si>
    <t>Did the POV with Pramod and posted for Jeanette's approval.</t>
  </si>
  <si>
    <t>Still waiting for Jeanette's approval.</t>
  </si>
  <si>
    <t>https://dev.azure.com/heartlandschools/Accounting/_git/MSBAccounting-NewSchoolBooks/pullrequest/48844</t>
  </si>
  <si>
    <t>Dev completed, and testing will be completed on next sprint.</t>
  </si>
  <si>
    <t>Completed pending changes, and will create a PR once release branch created.</t>
  </si>
  <si>
    <t>Found duplicate css and js with bank deposit entry screen. Made fix and Qadir will do peer review.</t>
  </si>
  <si>
    <t>Waiting for Qadir's review.</t>
  </si>
  <si>
    <t>Needs to deploy</t>
  </si>
  <si>
    <t>Story Being Tested</t>
  </si>
  <si>
    <t>Found a possible issue, need to clarify with client dev.</t>
  </si>
  <si>
    <t>Got clarified and need to create a bounceback</t>
  </si>
  <si>
    <t>Karthik/Rijo</t>
  </si>
  <si>
    <t xml:space="preserve">27326	</t>
  </si>
  <si>
    <t>MSB ACCT - BKK - [Regression] MSB Import Batch does not show the payment items (26.4)</t>
  </si>
  <si>
    <t>Defect Rejected</t>
  </si>
  <si>
    <t>Defect rejected. It was a set up issue with gateway assignment. User is not supposed to remove assigned schools for a shared batch.</t>
  </si>
  <si>
    <t>Defect fix still in progress. Added to stretch and started on the last day of the sprint.</t>
  </si>
  <si>
    <t>Completed analysis and started dev changes. Working on user warning if a mapping existing for the GL account.</t>
  </si>
  <si>
    <t>MSB ACCT - BKK - "Cancel" button is not enabled while viewing a Transfer and Receipt Entry</t>
  </si>
  <si>
    <t>Defect Peer Review</t>
  </si>
  <si>
    <t xml:space="preserve">Have completed dev changes and POV </t>
  </si>
  <si>
    <t>Task</t>
  </si>
  <si>
    <t xml:space="preserve">Significant </t>
  </si>
  <si>
    <t>Manual</t>
  </si>
  <si>
    <t>External</t>
  </si>
  <si>
    <t>Project_Management</t>
  </si>
  <si>
    <t>The customer completed reconciliation with an incorrect ending balance, which is causing a variance in the next month's reconciliation. We have suggested deleting the previous reconciliation and recreate with the correct ending balance. Currently we are waiting for Jeanette's verification on this fix.</t>
  </si>
  <si>
    <t>Defect</t>
  </si>
  <si>
    <t>Existing issue, Facing a timout issue during large Excel export in the report. Query performance improved. Issue not reproducible locally, so planning to validate in dev. Waiting for PlatOps to restore the latest DB.</t>
  </si>
  <si>
    <t>Minor</t>
  </si>
  <si>
    <t>Internal</t>
  </si>
  <si>
    <t>Development</t>
  </si>
  <si>
    <t>Issue with the new Kaleida UI changes. All changes are worked by client dev. Defect also handleb by same client dev.</t>
  </si>
  <si>
    <t>The customer had a duplicate adjustment entry in bank reconciliation. We were unable to replicate the issue, so we created a new defect to investigate the root cause. We also performed a data fix to resolve the customer's blocker.</t>
  </si>
  <si>
    <t>Existing_Issues</t>
  </si>
  <si>
    <t>Existing issue. We had this in backlog for a long time since it is a low priority issue. The issue was "Submit" button getting disabled while opening popup.</t>
  </si>
  <si>
    <t>Major</t>
  </si>
  <si>
    <t>Enhancements</t>
  </si>
  <si>
    <t>Existing issue. When the user change the account number using re-number merge, the mapped gl account in import msb becomes invalid. This is a scenario we haven't considered while designing the mapping.</t>
  </si>
  <si>
    <t xml:space="preserve">Existing issue. The cancel button is in disabled state while viewing the transfer and receipt entry. </t>
  </si>
  <si>
    <t>MSB Accounting 26.04 Sprint 3 Stretch</t>
  </si>
  <si>
    <t>Worked by client dev. Only testing effort for our team</t>
  </si>
  <si>
    <t xml:space="preserve">Tested - Intermittent Issues while testing.  </t>
  </si>
  <si>
    <t>Observed an issue
 in Authorized Signers
: when two contacts 
(primary and secondary) 
are configured, the
 secondary contact is 
not able to sign the
 documents getting 
an popup as "The
 agreement can no
 longer be modified"</t>
  </si>
  <si>
    <t>James fixed the issue. Testing is in progress.</t>
  </si>
  <si>
    <t xml:space="preserve">1 scenario pending. 
Blocker with 2 people signing. </t>
  </si>
  <si>
    <t>Bounceback found. Wiating on client Dev.</t>
  </si>
  <si>
    <t>No update on this.</t>
  </si>
  <si>
    <t>On hold for Regression</t>
  </si>
  <si>
    <t xml:space="preserve">Story on Hold.  This will be for the next release </t>
  </si>
  <si>
    <t xml:space="preserve">POV With Pramod completed. Posted on channel </t>
  </si>
  <si>
    <t>Code Review in Progress.</t>
  </si>
  <si>
    <t xml:space="preserve">Peer review complete. Waiting on CERT Develop status. </t>
  </si>
  <si>
    <t>Story on Hold for Release</t>
  </si>
  <si>
    <t>MSB ACCT - BKK - GL Account Maintenance current balances do not display the most recent balances (26.5)</t>
  </si>
  <si>
    <t>Still doing dev testing in DEV environment.</t>
  </si>
  <si>
    <t xml:space="preserve">Qadir To Review.  </t>
  </si>
  <si>
    <t xml:space="preserve">Qadir to still review whether the client's timezone should be valid for calculation of account balances since all entry times were earlier made with the server time. 
Question:  How would this change impact 2 users using the application from different timezones when they make different but entries at the same time ? </t>
  </si>
  <si>
    <t>Story Approved</t>
  </si>
  <si>
    <t xml:space="preserve">Waiting on jeanette </t>
  </si>
  <si>
    <t>POV Comments - Working on fixing conflicts locally</t>
  </si>
  <si>
    <t xml:space="preserve">need to completed a few POV changes.  Putting story on hold for regression </t>
  </si>
  <si>
    <t>MSB Accounting 26.04 Sprint 3</t>
  </si>
  <si>
    <t>MSB Accounting: Merge Develop &amp; UI Changes 26.4 SP 3</t>
  </si>
  <si>
    <t>https://dev.azure.com/heartlandschools/Accounting/_git/MSBAccounting-NewSchoolBooks/pullrequest/48313</t>
  </si>
  <si>
    <t xml:space="preserve">This was a task to merge a very big feature branch </t>
  </si>
  <si>
    <t xml:space="preserve">Branch being merged. Lots of files to review. </t>
  </si>
  <si>
    <t xml:space="preserve">Completed. </t>
  </si>
  <si>
    <t xml:space="preserve">Ready for POV. </t>
  </si>
  <si>
    <t xml:space="preserve">Qadir to post POV to the channel. </t>
  </si>
  <si>
    <t>Waiting on Client POV</t>
  </si>
  <si>
    <t xml:space="preserve">Approved . PR to be made. </t>
  </si>
  <si>
    <t>Will test after priorities</t>
  </si>
  <si>
    <t>review whether it can be completed</t>
  </si>
  <si>
    <t>On hold for regression</t>
  </si>
  <si>
    <t>SRX28861</t>
  </si>
  <si>
    <t>DUR - MSB ACCT - BKK - Clark County School District (CCSD) - 27 Pilot Schools</t>
  </si>
  <si>
    <t xml:space="preserve">This was a data fix for wrong entry by users. </t>
  </si>
  <si>
    <t xml:space="preserve">Data request made. Still waiting on Data. </t>
  </si>
  <si>
    <t>Completed data fix query and shared for Qadir's review on the channel.</t>
  </si>
  <si>
    <t>Data fix completed on PROD. Waiting on Confirmation from support.</t>
  </si>
  <si>
    <t>Closed</t>
  </si>
  <si>
    <t xml:space="preserve">25390	</t>
  </si>
  <si>
    <t>MSB ACCT - BKK - Warning icon not displaying for overdrawn line items in a manual check while editing an existing record (26.5)</t>
  </si>
  <si>
    <t>Defect Verified</t>
  </si>
  <si>
    <t>Made the fix. Dev testing in progress.</t>
  </si>
  <si>
    <t>No progress.  On hold for regression</t>
  </si>
  <si>
    <t xml:space="preserve">52715	</t>
  </si>
  <si>
    <t>MSB ACCT - BKK - Regression - Entry Menu (Not Import MSB Batches)</t>
  </si>
  <si>
    <t>Completed 6 entry  menu. Working on 7th. All 6 are failed. Will discuss with Pramod.</t>
  </si>
  <si>
    <t xml:space="preserve">6 entry screens failed. 
</t>
  </si>
  <si>
    <t>Holding off until blockers</t>
  </si>
  <si>
    <t xml:space="preserve">52714	</t>
  </si>
  <si>
    <t>MSB ACCT - BKK - Regression - Maintenance Menu</t>
  </si>
  <si>
    <t>Found few issues. Got 1 blocker, discussed with Pramod. Item failed.</t>
  </si>
  <si>
    <t xml:space="preserve">issue fixed on DEV </t>
  </si>
  <si>
    <t>Found issue with Manual check entry. 2 items related to reports are passed.</t>
  </si>
  <si>
    <t>3 Stories/  defects closed. 2 are blocked because of UI issues. and 4 more to go.</t>
  </si>
  <si>
    <t xml:space="preserve">Started to work on the pending defects </t>
  </si>
  <si>
    <t xml:space="preserve">Just started </t>
  </si>
  <si>
    <t>Karthik / Rijo</t>
  </si>
  <si>
    <t>MSB ACCT - BKK - Regression - Reports Menu</t>
  </si>
  <si>
    <t xml:space="preserve">Karthik - Completed GL / Vendor/  Banking reports 
Rijo - Completed Financial / PO and PY in progress. 
</t>
  </si>
  <si>
    <t>Rijo - PY reports -  3 pending . Currently blocked because of MSB Login</t>
  </si>
  <si>
    <t>No progress</t>
  </si>
  <si>
    <t>Closed. 
RIjo - PY Reports Completed.</t>
  </si>
  <si>
    <t xml:space="preserve">	MSB ACCT - BKK - Rename Menu Items</t>
  </si>
  <si>
    <t>https://dev.azure.com/heartlandschools/Accounting/_git/MSBAccounting-NewSchoolBooks/pullrequest/48449</t>
  </si>
  <si>
    <t>Fixing hard Coded Page headers in the code</t>
  </si>
  <si>
    <t xml:space="preserve">70% of headers. </t>
  </si>
  <si>
    <t>Dev Testing in Progress</t>
  </si>
  <si>
    <t>Waiting on Peer Review</t>
  </si>
  <si>
    <t xml:space="preserve">Ready for Testing </t>
  </si>
  <si>
    <t>Almost completed.</t>
  </si>
  <si>
    <t>MSB ACCT - BKK - [Regression] Fix the "Add Item" pop-up window positioning behind the parent window issue</t>
  </si>
  <si>
    <t xml:space="preserve">Bounceback.  - Cash Transfer </t>
  </si>
  <si>
    <t>Waiting on Bounceback</t>
  </si>
  <si>
    <t>fixed</t>
  </si>
  <si>
    <t>MSB ACCT - BKK - [Regression] Fix the error popup while searching with "ALL" criteria in GL Account Maintenance</t>
  </si>
  <si>
    <t>Checked in DEV. Fixed in DEV</t>
  </si>
  <si>
    <t>Fixed</t>
  </si>
  <si>
    <t>MSB ACCT - BKK - [Regression] Fix the scroll issues for multiple UI pop-up windows</t>
  </si>
  <si>
    <t xml:space="preserve">In progress. </t>
  </si>
  <si>
    <t>MSB ACCT - BKK - [Regression] Fix "Edit" action item icon orange background color on hover for all UI pages</t>
  </si>
  <si>
    <t>Bounceback - Receipt Page and Void Entry</t>
  </si>
  <si>
    <t xml:space="preserve">Waiting on Bounceback
</t>
  </si>
  <si>
    <t>Waiting on bounceBack.  Still with James</t>
  </si>
  <si>
    <t>MSB ACCT - BKK - [Regression] Fix action item icon margins in the table cells</t>
  </si>
  <si>
    <t>Bounceback For Purchase Orders.</t>
  </si>
  <si>
    <t>MSB ACCT - BKK - [Regression] Fix the white background on action Item while mouse hover in Import MSB Batches UI</t>
  </si>
  <si>
    <t>Verirfied in DEV. Fixed in DEV</t>
  </si>
  <si>
    <t xml:space="preserve">52719	</t>
  </si>
  <si>
    <t>MSB ACCT - BKK - Regression - Administration Menu</t>
  </si>
  <si>
    <t>No progress today</t>
  </si>
  <si>
    <t xml:space="preserve">Almost Completed Testing.  
Found issues with all 4 pages. 
School Groups Page isnt completed with the updated design 
Password Validation 
</t>
  </si>
  <si>
    <t>Issues with Admin Menu Blocked.</t>
  </si>
  <si>
    <t>On Hold for defect Blockers</t>
  </si>
  <si>
    <t>MSB ACCT - BKK - [Regression] Fix Transfer History Report multiple issues</t>
  </si>
  <si>
    <t>Bounceback created</t>
  </si>
  <si>
    <t xml:space="preserve">Not working on this issue right now.  </t>
  </si>
  <si>
    <t>MSB ACCT - BKK - [Regression] Fix the Print option dialog positioning</t>
  </si>
  <si>
    <t xml:space="preserve">Waiting on dev changes </t>
  </si>
  <si>
    <t>MSB ACCT - BKK - [Regression] Fix the session timeout even after "Stay Connected" is clicked issue</t>
  </si>
  <si>
    <t xml:space="preserve">Need to verify </t>
  </si>
  <si>
    <t>MSB ACCT - BKK - [Regression] Fix all reports search filter section - floating checkboxes on page header</t>
  </si>
  <si>
    <t>Fixed.</t>
  </si>
  <si>
    <t>MSB ACCT - BKK - [Regression] Fix School Settings page - floating checkboxes on page header</t>
  </si>
  <si>
    <t>MSB ACCT - BKK - [Regression] Fix the issue with form position while cancel and reopen in Vendor maintenance UI</t>
  </si>
  <si>
    <t>Qadir / Rijo</t>
  </si>
  <si>
    <t>SRX28868</t>
  </si>
  <si>
    <t xml:space="preserve">	MSB ACCT - BKK - PO Backorder not saving (Glendale)</t>
  </si>
  <si>
    <t>investigated and asked Pramod to speak to Nadia.</t>
  </si>
  <si>
    <t>Created a Defect</t>
  </si>
  <si>
    <t xml:space="preserve">Story created on internal defect found.  
Waiting on customer feedback on the backorder.  
</t>
  </si>
  <si>
    <t>Story created out of this Escalation.  Customer not blocked.</t>
  </si>
  <si>
    <t xml:space="preserve">Gotten the data working on the analysis to see why the accounts are out of balance. </t>
  </si>
  <si>
    <t xml:space="preserve">Analysis in progress. </t>
  </si>
  <si>
    <t xml:space="preserve">Waiting on PROD DB. </t>
  </si>
  <si>
    <t>Will investigate afer getting DB</t>
  </si>
  <si>
    <t xml:space="preserve">27183	</t>
  </si>
  <si>
    <t>MSB ACCT - BKK - [Regression] Fix CSV export data mismatch in Transfer History Report</t>
  </si>
  <si>
    <t>https://dev.azure.com/heartlandschools/Accounting/_git/MSBAccounting-NewSchoolBooks/pullrequest/48518</t>
  </si>
  <si>
    <t xml:space="preserve">Started working on it. Unable to replicate locally. </t>
  </si>
  <si>
    <t xml:space="preserve">Fix made.  Able to replicate issue. 
</t>
  </si>
  <si>
    <t xml:space="preserve">Completed POV with Pramod. 
Peer review pending </t>
  </si>
  <si>
    <t>MSB ACCT - BKK - [Regression] Fix the action menu remains visible in the Entry UIs issue</t>
  </si>
  <si>
    <t>MSB ACCT - BKK - [Regression] Fix the district selector list box in Manage Providers page</t>
  </si>
  <si>
    <t>MSB ACCT - BKK - [Regression] Fix the PO "Add Item" not showing Back Order, Cancel Save &amp; Continue, Save &amp; Exit buttons</t>
  </si>
  <si>
    <t xml:space="preserve">52912	</t>
  </si>
  <si>
    <t>Added to the sprint on 2nd last day. Dev completed and waiting for peer review.</t>
  </si>
  <si>
    <t xml:space="preserve">Started working on the validations.  UI Changes pending </t>
  </si>
  <si>
    <t xml:space="preserve">Not made much progress. </t>
  </si>
  <si>
    <t>Internal POV completed.  Waiting on jeanette</t>
  </si>
  <si>
    <t>MSB ACCT - BKK - Regression - Management Menu</t>
  </si>
  <si>
    <t xml:space="preserve">Completed 1 item and failed 2.  </t>
  </si>
  <si>
    <t>Blockers</t>
  </si>
  <si>
    <t xml:space="preserve">MSB Accounting </t>
  </si>
  <si>
    <t>DUR - MSB ACCT - BKK - Kingsport City Schools (129907) - Dobyns-Bennett High School (DOB)</t>
  </si>
  <si>
    <t>Story being tested</t>
  </si>
  <si>
    <t xml:space="preserve">Worked on performance fixes for the Report.  Still need to try locally to replicate the timeout.  </t>
  </si>
  <si>
    <t xml:space="preserve">Still testing this out. </t>
  </si>
  <si>
    <t>MSB ACCT - BKK - [Regression] Normalize the Page heading color to match the new color code</t>
  </si>
  <si>
    <t>MSB ACCT - BKK - [Regression] Fix the Table header color and irregular cell height</t>
  </si>
  <si>
    <t>MSB ACCT - BKK - [Regression] Fix the PO-Type column - not scrolling horizontally</t>
  </si>
  <si>
    <t>MSB ACCT - BKK - [Regression] Fix the text field alignments in Get MSB Batch Payments page when different display scaling</t>
  </si>
  <si>
    <t xml:space="preserve">Created a bounce 
on Get Msb batch
 Gateway box
 misalignment </t>
  </si>
  <si>
    <t>Waiting on bounceback changes.</t>
  </si>
  <si>
    <t xml:space="preserve">SRX28879	</t>
  </si>
  <si>
    <t>MSB ACCT - Missing Batches in the UI</t>
  </si>
  <si>
    <t>The escalation was to figure out root cause for missing batches. No code changes and PR.</t>
  </si>
  <si>
    <t xml:space="preserve">Invesitgating this.  Waiting on PROD DB. </t>
  </si>
  <si>
    <t>MSB ACCT - BKK - [Regression] Fix the flyout message in 1099 Reporting - Import Data</t>
  </si>
  <si>
    <t>Existing issue, This issue occured in time zones other than the central time zone because the GL account maintenance current balance was calculated using the server's current date and time. As a result, entries from other time zones after that time were not included. The issue has been fixed by using the client's time zone for balance calculation. Dev testing in progress.</t>
  </si>
  <si>
    <t>Existing issue. We had this in backlog for a long time since it is a low priority issue.</t>
  </si>
  <si>
    <t>Back order had no issues. User was not aware the functionality. And other issue with PO zip code validation was an existing issue, created a seperate story to handle it.</t>
  </si>
  <si>
    <t xml:space="preserve">Root cause for this issue is still being identified. Client has made a substantial amount of mistakes follwoing the flow of the application. </t>
  </si>
  <si>
    <t>Existing issue, the header row of the first entry in a standard transfer was not printed in the CSV when the last entry of a cash transfer and the first entry of a standard transfer had the same reference number. The fix has been implemented in the export CSV function by updating the entry header visibility logic.</t>
  </si>
  <si>
    <t>Not a defect. The escalation was created to analyse why the batches are getting missed. It was a set issue on MSB side.</t>
  </si>
  <si>
    <t>MSB Accounting 26.04 Sprint 2</t>
  </si>
  <si>
    <t>SRX28830</t>
  </si>
  <si>
    <t>DUR - MSB ACCT - REC - Carpinteria High School (CPHS) - Cannot import some batches from Receipting</t>
  </si>
  <si>
    <t>Closed as defect since code changes require for this.</t>
  </si>
  <si>
    <t xml:space="preserve">Closed </t>
  </si>
  <si>
    <t>SRX28834</t>
  </si>
  <si>
    <t>DUR - MSB ACCT - BKK - Carpinteria High School (CPHS) - Hide Batch Seq # 423 and 424</t>
  </si>
  <si>
    <t>Data Fix Completed on PROD</t>
  </si>
  <si>
    <t>Data Fix Made. Verified.  waiting on Customer approval</t>
  </si>
  <si>
    <t>Karthik on PTO. Needs to be verified. by customer</t>
  </si>
  <si>
    <t>SRX28841</t>
  </si>
  <si>
    <t>DUR - MSB ACCT - BKK - Kingsport City Schools (Sevier, Robinson &amp; Roosevelt) - Update GL Code</t>
  </si>
  <si>
    <t>Query is ready -  Waiting on review.</t>
  </si>
  <si>
    <t>Karthik on PTO</t>
  </si>
  <si>
    <t>Queries run on Prod.  Waiting on Pramod's Confirmation about fix.</t>
  </si>
  <si>
    <t xml:space="preserve">MSB Accounting 26.04 Sprint 2 </t>
  </si>
  <si>
    <t>SRX28828</t>
  </si>
  <si>
    <t>MSB ACCT - BKK - Remove Duplicate Adjustments from Bank Rec Report Preview (Kingsport)</t>
  </si>
  <si>
    <t xml:space="preserve">Permanent Fix made to exclude deleted banks. 
SP changes made in PROD as well. </t>
  </si>
  <si>
    <t xml:space="preserve">found the issue on the report.  Push changes to run as a migration. Also, can push this as a fix directly on the DB , so we dont face this issue again. </t>
  </si>
  <si>
    <t>PROD fix made. 
Waiting on confirmation</t>
  </si>
  <si>
    <t>Got confirmation the fix is in</t>
  </si>
  <si>
    <t>SRX28840</t>
  </si>
  <si>
    <t>MSB ACCT - BKK - Error 'User name already taken' When Adding District Admin</t>
  </si>
  <si>
    <t xml:space="preserve">This was a non issue. The user had been added in another district. After figuring out the other district, user was deleted from there and added to desired district. </t>
  </si>
  <si>
    <t xml:space="preserve">Data request Made to PROD.  </t>
  </si>
  <si>
    <t>Closed.  Confirmed Support was able to delete user from another test district</t>
  </si>
  <si>
    <t>MSB Onboarding - Identifying Payment Accounts that are for Fees Only</t>
  </si>
  <si>
    <t>https://dev.azure.com/heartlandschools/Merchant/_git/Boarding/pullrequest/48151</t>
  </si>
  <si>
    <t xml:space="preserve">Reviewed the story. Will start working on this today.  </t>
  </si>
  <si>
    <t>In Progress</t>
  </si>
  <si>
    <t xml:space="preserve">Dev Complete.  Dev Testing in progress. </t>
  </si>
  <si>
    <t xml:space="preserve">Bugs need to be fixed. POV with pramod after standup  </t>
  </si>
  <si>
    <t>Bugs are fixed. POV pending with pramod.</t>
  </si>
  <si>
    <t xml:space="preserve">PR made.  Completed testing. </t>
  </si>
  <si>
    <t>MSB Onboarding - Capturing Tax and Federal Eligibility</t>
  </si>
  <si>
    <t>https://dev.azure.com/heartlandschools/Merchant/_git/Boarding/pullrequest/48103</t>
  </si>
  <si>
    <t>Rijo on PTO</t>
  </si>
  <si>
    <t>Pushed changes for the code review.</t>
  </si>
  <si>
    <t>Qadir to Review</t>
  </si>
  <si>
    <t xml:space="preserve">ready for Testing </t>
  </si>
  <si>
    <t xml:space="preserve">Sowjanya - Created a bounceback inbetween the Financial Status
options and Federal Tax ID (EIN)
Rijo - Fixed and Deployed.  Ready For Testing again. 
</t>
  </si>
  <si>
    <t>MSB Onboarding - Adjustments to Onboarding Main Page</t>
  </si>
  <si>
    <t>https://dev.azure.com/heartlandschools/Merchant/_git/Boarding/pullrequest/48127</t>
  </si>
  <si>
    <t xml:space="preserve">Testing almost complete.  Ready to close. </t>
  </si>
  <si>
    <t>MSB ACCT - Importing GLs with leading 0's</t>
  </si>
  <si>
    <t>https://dev.azure.com/heartlandschools/Accounting/_git/MSBAccounting-NewSchoolBooks/pullrequest/48128</t>
  </si>
  <si>
    <t>ready for POV. Waiting on Pramod.</t>
  </si>
  <si>
    <t>POV with pramod. Posted jeanette</t>
  </si>
  <si>
    <t xml:space="preserve">ready for Testing. </t>
  </si>
  <si>
    <t xml:space="preserve">Completed Testing </t>
  </si>
  <si>
    <t>MSB Accounting 26.04 Sprint 2 Stretch</t>
  </si>
  <si>
    <t xml:space="preserve">MSB ACCT - BKK - Improvize "Get MSB Batch Payments tool" to avoid adding the missing payments more than once	
</t>
  </si>
  <si>
    <t>Dev changes was completed last sprint, only testing effort in this sprint.</t>
  </si>
  <si>
    <t xml:space="preserve">While testing found an error for one batch ID but sould not replicate so requested rijo to raise a few more batches </t>
  </si>
  <si>
    <t xml:space="preserve">Request made to modify batches to test support tool. </t>
  </si>
  <si>
    <t xml:space="preserve">Have Verified in Cert Environment </t>
  </si>
  <si>
    <t>MSB ACCT - BKK - GL Account number search for '190000000' does not find masked number '1900-000-00' in the search field</t>
  </si>
  <si>
    <t>https://dev.azure.com/heartlandschools/Accounting/_git/MSBAccounting-NewSchoolBooks/pullrequest/48167</t>
  </si>
  <si>
    <t xml:space="preserve">completed Dev Changes and POV. Will post recording to the channel. </t>
  </si>
  <si>
    <t>PR Created.</t>
  </si>
  <si>
    <t xml:space="preserve">Completed
 Testing in
 Dev Environment </t>
  </si>
  <si>
    <t>MSB ACCT - Analysis for the Impact on the year process when Deleting Imported Batches in Bank Deposit Entry</t>
  </si>
  <si>
    <t>No code changes and PR. This is a story to analyse downstream impacts.</t>
  </si>
  <si>
    <t xml:space="preserve">Still going on. 
checking whether we can hard delete a batch ? </t>
  </si>
  <si>
    <t xml:space="preserve">Did POV with pramod. No Approval / PR. </t>
  </si>
  <si>
    <t>DUR - MSB ACCT - BKK - Carpinteria High School (CPHS) - Cannot import some batches from Receipting</t>
  </si>
  <si>
    <t>https://dev.azure.com/heartlandschools/Accounting/_git/MSBAccounting-NewSchoolBooks/pullrequest/48108</t>
  </si>
  <si>
    <t xml:space="preserve">Completed Fix. Waiting on POV. </t>
  </si>
  <si>
    <t xml:space="preserve">POV completed. </t>
  </si>
  <si>
    <t>Completed POV with pramod</t>
  </si>
  <si>
    <t>waiting on POV from jeanette</t>
  </si>
  <si>
    <t xml:space="preserve">Ready for Testing.  </t>
  </si>
  <si>
    <t xml:space="preserve">Issues with Testing on Dev environment because of an old integration with receipting. </t>
  </si>
  <si>
    <t xml:space="preserve">Tsting by Client QA. </t>
  </si>
  <si>
    <t>MSB ACCT - BKK - Add Warnings and Blockers for Unclosed Years</t>
  </si>
  <si>
    <t>3 more additional points included in the AC during internal POV and completed all the changes. Waiting on POV approval.</t>
  </si>
  <si>
    <t xml:space="preserve">Dev Changes completed. Dev Testing in Progress. </t>
  </si>
  <si>
    <t xml:space="preserve">Completed cleanup and dev testing. </t>
  </si>
  <si>
    <t xml:space="preserve">POV with pramod.  need 3 more additional changes about Message Updates. </t>
  </si>
  <si>
    <t xml:space="preserve">Completed POV changes. </t>
  </si>
  <si>
    <t>Still waiting on Client POV. Peer Review pending</t>
  </si>
  <si>
    <t>Sowjanya - Have Completed writing testcase
Karthik - Completed Feedback Changes.  
Qadir -  To complete Review.</t>
  </si>
  <si>
    <t>Working on Code review comments from Qadir. Completed 3 points, working on last point which was given later.</t>
  </si>
  <si>
    <t>Clarifications cleared for POV. Waiting on jeanette</t>
  </si>
  <si>
    <t>MSB ACCT - BKK - Rename "New Data" Feature Flag</t>
  </si>
  <si>
    <t>Still waiting for client PO's approval.</t>
  </si>
  <si>
    <t xml:space="preserve">Ananlysis in progress. </t>
  </si>
  <si>
    <t>need a migration for all the stored Proc.</t>
  </si>
  <si>
    <t>Dev completed. 
POV pending with Pramod.</t>
  </si>
  <si>
    <t xml:space="preserve">POv completed. </t>
  </si>
  <si>
    <t xml:space="preserve">Waiting on client POV to be released. 
</t>
  </si>
  <si>
    <t>MSB ACCT - BKK - GL Account Maintenance current balances do not display the most recent balances</t>
  </si>
  <si>
    <t>Dev completed and it has been moved to the next sprint for further work.</t>
  </si>
  <si>
    <t xml:space="preserve">Analysis in Progress.  </t>
  </si>
  <si>
    <t xml:space="preserve">Unable to replicate in local. but able to replicate in local. </t>
  </si>
  <si>
    <t xml:space="preserve">Need Update on DEV. </t>
  </si>
  <si>
    <t>Dev Testing in progress.</t>
  </si>
  <si>
    <t xml:space="preserve">52629	</t>
  </si>
  <si>
    <t xml:space="preserve">Development still in progress. </t>
  </si>
  <si>
    <t xml:space="preserve">Started working on this. Still in progress. </t>
  </si>
  <si>
    <t xml:space="preserve">Ready for POV. Need to get latest from James' work and review.  </t>
  </si>
  <si>
    <t xml:space="preserve">Got the code from james. and compared. need to connect with pramod for POV. </t>
  </si>
  <si>
    <t>MSB ACCT - BKK - Update Bank Deposit History Report to Reflect Changes to Import MSB Batches</t>
  </si>
  <si>
    <t>Development still in progress. Started on the 2nd last day of sprint.</t>
  </si>
  <si>
    <t>Made changes in bank Deposit history report.  PY Report changes pending.</t>
  </si>
  <si>
    <t>MSB Onboarding - HomePage Adjustments for Kaleida Alignment</t>
  </si>
  <si>
    <t>Story Completed and closed  -Created a bounce Back -1.The Gap in-between the content and image seems to slight odd .
2.And the background color seems to be bright when we look at the figma..</t>
  </si>
  <si>
    <t>Worked by client dev. Only testing effort for our team. 
Started today Few scenarios need to be tested</t>
  </si>
  <si>
    <t xml:space="preserve">Few Scenarios are pending in testing </t>
  </si>
  <si>
    <t xml:space="preserve"> MSB ACCT - BKK - [Regression] Updated notes not shown in CSV report for cash transfer entries</t>
  </si>
  <si>
    <t>Development still in progress. Started on the last day of sprint.</t>
  </si>
  <si>
    <t>Started today.  Dev Completed. Dev testing in progress.</t>
  </si>
  <si>
    <t>Existing issue with vendor object mapping for refund check types. A code fix is required, so we may need to provide a hotfix based on the customer's requirement. Details have been shared with Jeanette, and she will confirm the next steps.</t>
  </si>
  <si>
    <t>This issue related to previous escalation SRX28830. Since it needs code fix, customer has entered data manually for the issue caused batch. So we made data fix to hide those batches on import from receipting screen. Waiting for customers confirmation.</t>
  </si>
  <si>
    <t>This is not an issue, It is a customer data fix request. Customer wanted to update the account code for few accounts, so we have applied a data fix for this.</t>
  </si>
  <si>
    <t xml:space="preserve">Scenario involved Accounts from Deleted banks being joined and showing as duplicates on the reports. 
</t>
  </si>
  <si>
    <t>User had been assigned to a test school instead of the actual school.  Support could not add the user again. Not an issue with the code, it was a mistake from the user.</t>
  </si>
  <si>
    <t>Existing issue, but recently found. The initial 0s before a digit was getting truncated.</t>
  </si>
  <si>
    <t>Existing issue, account number search doesn't find masked number if search with unmasked numbers. This has been fixed by validating the search input and apply the masking if needed.</t>
  </si>
  <si>
    <t>Existing issue with vendor object mapping for refund check types. This has been fixed by registering the vendor object mapping in the automaping configuration.</t>
  </si>
  <si>
    <t>3/11/1016</t>
  </si>
  <si>
    <t>MSB Accounting 26.04 Sprint 1</t>
  </si>
  <si>
    <t>MSB Onboarding - Managing a Variety of User Journeys Using the Left Nav within Application</t>
  </si>
  <si>
    <t xml:space="preserve">Created a bounce back on points missing -1. The untitle Application # xxxx is missing for few pages
2. On each page we need save &amp; exit, cancel and Next button is missing
3. The Checkbox button is not matching the figma </t>
  </si>
  <si>
    <t>Moved to chris. Bounceback .</t>
  </si>
  <si>
    <t xml:space="preserve">Still a bounceback </t>
  </si>
  <si>
    <t>MSB ACCT - BKK - [Regression] Reversal for a Receipt Entry does not display Sales Tax amount in Receipt Report - Sales Tax line</t>
  </si>
  <si>
    <t>Unable to replicate this issue. This might have already been fixed earlier as part of the reversal form related changes. So, moving this directly to QA to verify and close.</t>
  </si>
  <si>
    <t>.Have Verified in  dev Environment i can see the sale tax for reversal Entry- Closed</t>
  </si>
  <si>
    <t>Dev and POV is completed, PR creation was pending due to unexpected sick leave. The item will be moved to QA in the next sprint.</t>
  </si>
  <si>
    <t>CSS changes still in progress. Will be completed tomorrow.</t>
  </si>
  <si>
    <t xml:space="preserve">Unplanned PTO. </t>
  </si>
  <si>
    <t>Rijo to share details with jeanette for details.</t>
  </si>
  <si>
    <t>Completed UI changes given by Jeanette and shared the screenshots again.</t>
  </si>
  <si>
    <t>Waiting for Jeanette's approval.</t>
  </si>
  <si>
    <t>Waiting on PR.</t>
  </si>
  <si>
    <t>MSB Accounting 26.04 Sprint 1 Stretch</t>
  </si>
  <si>
    <t>MSB ACCT - BKK - Cannot Add Print Groups to GL Account (Kingsport)</t>
  </si>
  <si>
    <t>https://dev.azure.com/heartlandschools/Accounting/_git/MSBAccounting-NewSchoolBooks/pullrequest/47717</t>
  </si>
  <si>
    <t xml:space="preserve">Final round of testing.  
Fixed on DEV. Tested on CERT and was able to see the issue. </t>
  </si>
  <si>
    <t xml:space="preserve">Verified on DEV. 
</t>
  </si>
  <si>
    <t>SRX28802</t>
  </si>
  <si>
    <t>DUR - MSB ACCT - BKK - Blackstone Valley Tech High School (13496) - Update October Deposit Dates</t>
  </si>
  <si>
    <t>Production data fix. No code changes and PR.</t>
  </si>
  <si>
    <t xml:space="preserve">Completed Data Fix query. 
Verifying changes with the report. </t>
  </si>
  <si>
    <t xml:space="preserve">Data Fix query is updated after comments. 
Ready to make a request to run on PROD. </t>
  </si>
  <si>
    <t>Data Fix queries run in PROD.  waiting on Customer verification</t>
  </si>
  <si>
    <t>There was not much progress on this story due to escalations work. It will be carried over to the next sprint.</t>
  </si>
  <si>
    <t xml:space="preserve">Limited progress. </t>
  </si>
  <si>
    <t xml:space="preserve">Worked on this. Clarifications on AC. 
Started working on School Settings. </t>
  </si>
  <si>
    <t>Completed school settings section. 
Cleared doubts with Pramod, currently working with alert popup UI related changes.</t>
  </si>
  <si>
    <t>Completed warning message related changes and working on for blocking the entries changes.</t>
  </si>
  <si>
    <t>Completed entry blocking changes and working on for validation and migration related changes.</t>
  </si>
  <si>
    <t>Completed dev changes. Pramod asked for some additional changes.</t>
  </si>
  <si>
    <t xml:space="preserve">No progress.  Escalations to be worked on </t>
  </si>
  <si>
    <t>SRX28805</t>
  </si>
  <si>
    <t>MSB ACCT - BKK - Add Print Groups to GL Accounts (Kingsport)</t>
  </si>
  <si>
    <t xml:space="preserve">Created data fix query.  
Made a request for PROD update. </t>
  </si>
  <si>
    <t xml:space="preserve">Completed in PROD. Wiaiting on Pramod's Confirmation.  </t>
  </si>
  <si>
    <t>https://dev.azure.com/heartlandschools/Accounting/_git/MSBAccounting-NewSchoolBooks/pullrequest/47795</t>
  </si>
  <si>
    <t>Testing in progress</t>
  </si>
  <si>
    <t xml:space="preserve">Made a PR.  Needs to be deployed to CER.  </t>
  </si>
  <si>
    <t>Made request to revert cert db to old one. Need to deploy to cert after that.</t>
  </si>
  <si>
    <t>Started writing testcase</t>
  </si>
  <si>
    <t>Created a service now ticket with queries to update the batch totals and remove payments.</t>
  </si>
  <si>
    <t xml:space="preserve">Deployed to CERT.  Testing in progress. Clarifications reqd. </t>
  </si>
  <si>
    <t xml:space="preserve">Gateway alignment is not proper i have added a screenshot in the story and need to test few more scenarios </t>
  </si>
  <si>
    <t>MSB Onboarding - Home Page to Start, Manage, and View Applications</t>
  </si>
  <si>
    <t>Got Clarified and created a bounceback</t>
  </si>
  <si>
    <t>Found 1 more alignment issue, reported to Pramod and James. 
James made the fix and waiting for deployment to verify again.</t>
  </si>
  <si>
    <t>Story completed</t>
  </si>
  <si>
    <t xml:space="preserve"> MSB Onboarding - Header + Footer Design to Align with Kaleida</t>
  </si>
  <si>
    <t xml:space="preserve">Got clarifed and tested -closed </t>
  </si>
  <si>
    <t>Waiting for client PO's approval.</t>
  </si>
  <si>
    <t>Haven't made much progress. UI changes still in progress.</t>
  </si>
  <si>
    <t>Completed and closed</t>
  </si>
  <si>
    <t>pending with Jeanette pOV</t>
  </si>
  <si>
    <t xml:space="preserve"> MSB Onboarding - Capturing Payment Account Details</t>
  </si>
  <si>
    <t>Completed Testcase</t>
  </si>
  <si>
    <t>On payment Account page account type -that one combo should not be disabled on add or edit. Should only be disabled on view mode-but now its disable on the add or edit- created a bounce back</t>
  </si>
  <si>
    <t xml:space="preserve">Created a bounce on bankletter is not  adding only when we edit its adding </t>
  </si>
  <si>
    <t>SRX28823</t>
  </si>
  <si>
    <t>DUR - MSB ACCT - BKK - Diamond Bar High School (DBH) - Hide October &amp; November MSB Import Batches</t>
  </si>
  <si>
    <t>Created data fix queries and verifying the fixes in local environment.
Also need to check with Rijo before run it on PROD.</t>
  </si>
  <si>
    <t>Created service ticket to execute data fix on PROD. Waiting for DBA response.</t>
  </si>
  <si>
    <t>Update query executed on prod db. Waiting for confirmation</t>
  </si>
  <si>
    <t>MSB Onboarding - Capturing Pricing Options</t>
  </si>
  <si>
    <t>Have completed Testcase</t>
  </si>
  <si>
    <t>Have created a bounce 
back on -When i start 
a new application and
 navigating to Pricing
 options and without
 clicking anything im 
just clicking next button
 and then im coming
 back to pricing options but the box is selected</t>
  </si>
  <si>
    <t>The bounceback is not fixed .i could see the issue again</t>
  </si>
  <si>
    <t>Waiting on Dev Completion</t>
  </si>
  <si>
    <t xml:space="preserve">Tested in Dev and closed the story </t>
  </si>
  <si>
    <t>MSB Onboarding - Capturing Organizational and Billing Details</t>
  </si>
  <si>
    <t>Client QA Completed</t>
  </si>
  <si>
    <t>Completed the analysis and identified the root cause. A code fix is required, so we may need to provide a hotfix based on the customer's requirement. Details have been shared with Jeanette, and she will confirm the next steps.</t>
  </si>
  <si>
    <t>Done analysis and found the root cause. The issue occured when there are any check entries in the import data line items. The issue is related to vendor mapping in the code. So code changes required for this to fix. Need to check with client stadup.</t>
  </si>
  <si>
    <t>Completed datafix on PROD and waiting for customer's confirmation.</t>
  </si>
  <si>
    <t>This was caused by a defect we had previously, which was fixed later. For this issue, we have applied a data fix.</t>
  </si>
  <si>
    <t>Existing issue, Some of the account's banks were deleted after mapping, which caused a null reference error. For now, this has been fixed by adding a null check. We will create a new story to prevent deletion of mapped banks.</t>
  </si>
  <si>
    <t>Some of the account's banks were deleted after mapping, which caused a null reference error while updating the print groups for those accounts. This issue was already fixed as part of the earliest defect, However, we applied a data fix by updating the print groups to resolve the existing blocker for the customer.</t>
  </si>
  <si>
    <t>This is not an issue, It is a customer data fix request. Since the MSB imported batches  were manually manually entered in the bank deposit, the customer wanted to hide them on the import MSB screen We have applied a data fix for this.</t>
  </si>
  <si>
    <t>2/11//2026</t>
  </si>
  <si>
    <t>MSB Accounting 26.3 Sprint 2</t>
  </si>
  <si>
    <t>51706	MSB ACCT - BKK - Automation Smoke 
Tests - School Settings UI in Management</t>
  </si>
  <si>
    <t>https://dev.azure.com/heartlandschools/Accounting/_git/AccountingAutomation/pullrequest/47192?_a=files</t>
  </si>
  <si>
    <t>Why is this being 
used and not 
LandingPage.
LoginAccounting?
And told to remove the unused files</t>
  </si>
  <si>
    <t xml:space="preserve">For demo have
 created a seperate
 file told me to
 remove the file
 He told to create 
The API will allow 
us to upload the 
CSV file to browser
 stack, It will return 
a URL to the file.
 What we do is 
point to that URL
 and it will upload it.
</t>
  </si>
  <si>
    <t>Have created PR on Monday and still waiting for Client approval</t>
  </si>
  <si>
    <t xml:space="preserve">Have completed the
 management menu 
and created the PR-
</t>
  </si>
  <si>
    <t>He made a 
comment on
 the code</t>
  </si>
  <si>
    <t>Had replied to his comment
 and started writing testcase for the defect and then analysing the onboarding stories</t>
  </si>
  <si>
    <t>Sowjanya on PTO</t>
  </si>
  <si>
    <t xml:space="preserve">Review comment by Owen - "should be using the Login
that is in the landingpage
and not the common one.."
</t>
  </si>
  <si>
    <t>Have completed the changes beacuse of the intergration it got delayed need to run the code see
Debv Completed. Challenges with integration of MSB District. Final round of testing pending</t>
  </si>
  <si>
    <t xml:space="preserve">While testing found
 error in Support tools
 fixed .Have pushes the changes and informed Owen to approve </t>
  </si>
  <si>
    <t>He instructed me to 
modify the code 
format in the same
 way he had guided 
Sushmitha. He also
 advised uploading 
the CSV file using
 the App Automate API
, retrieving the generated 
URL, and using that
 URL for testing purposes</t>
  </si>
  <si>
    <t xml:space="preserve">Updated client POV comments.
Need to discuss about Automate API. 
</t>
  </si>
  <si>
    <t xml:space="preserve">Updated Code based on Owen's code changes. Waiting for approval </t>
  </si>
  <si>
    <t xml:space="preserve">26212	</t>
  </si>
  <si>
    <t>MSB ACCT - BKK - [Regression] Bank Deposit Entry not fetching the Notes to UI saved earlier into the field upon editing</t>
  </si>
  <si>
    <t>Issue is not replicating now on any environments including in local. This was a defect from earlier regression. Rejecting the defect since it's not happening now.</t>
  </si>
  <si>
    <t>not able to replicate</t>
  </si>
  <si>
    <t>not able to replicate.
Waiting for Pramod to reject the defect.</t>
  </si>
  <si>
    <t>MSB ACCT - BKK - Vendor Category Does Not Pre-Populate on PO's, Invoices, or Manual Checks</t>
  </si>
  <si>
    <t>https://dev.azure.com/heartlandschools/Accounting/_git/MSBAccounting-NewSchoolBooks/pullrequest/47235</t>
  </si>
  <si>
    <t xml:space="preserve">Completed Dev Testing.  
4 more issues. - All related to dropdown selection change. 
Waiting on POV. </t>
  </si>
  <si>
    <t>Waiting on Jeanette's approval.
peer testing in progress</t>
  </si>
  <si>
    <t>PR completed. Waiting for dev deployment.</t>
  </si>
  <si>
    <t>Deployed to Dev. Ready for testing.</t>
  </si>
  <si>
    <t xml:space="preserve">Doing final
 round of testing 
Found an issue with the adding an item </t>
  </si>
  <si>
    <t xml:space="preserve">Completed
 Testing in 
Dev Environment </t>
  </si>
  <si>
    <t xml:space="preserve">25160	</t>
  </si>
  <si>
    <t>MSB ACCT - BKK - Trial Balance Header Line Only Shows on First Page</t>
  </si>
  <si>
    <t>https://dev.azure.com/heartlandschools/Accounting/_git/MSBAccounting-NewSchoolBooks/pullrequest/47298</t>
  </si>
  <si>
    <t>Defect closed.</t>
  </si>
  <si>
    <t xml:space="preserve">Fix completed.  
Waiting on POV.  
</t>
  </si>
  <si>
    <t>Waiting on POV with Pramod</t>
  </si>
  <si>
    <t>Waiting on jeanette to approve. 
Waiting on Qaditr to review</t>
  </si>
  <si>
    <t xml:space="preserve">Waiting on Deployment to DEV.
 Automated Dev deployment failed. </t>
  </si>
  <si>
    <t>Have Completed 
testing in dev and 
closed the defect</t>
  </si>
  <si>
    <t>MSB ACCT - Improve DB Performance - Create / Drop Indexes</t>
  </si>
  <si>
    <t>https://dev.azure.com/heartlandschools/Accounting/_git/MSBAccounting-NewSchoolBooks/pullrequest/47403</t>
  </si>
  <si>
    <t xml:space="preserve"> Need justification for removing the indexes. </t>
  </si>
  <si>
    <t>Code Cleanup Completed.  Still Dev testing.
POV with Pramod.</t>
  </si>
  <si>
    <t xml:space="preserve">Had a POV with pramod.  Need justification for removing the indexes. </t>
  </si>
  <si>
    <t>___</t>
  </si>
  <si>
    <t>Qadir on PTO</t>
  </si>
  <si>
    <t xml:space="preserve">Shared the POV with jeanette.  </t>
  </si>
  <si>
    <t xml:space="preserve">Karthik Reviewed and tested.  
</t>
  </si>
  <si>
    <t>Deployed to DEV</t>
  </si>
  <si>
    <t>Testing in Progress</t>
  </si>
  <si>
    <t>Testing completed</t>
  </si>
  <si>
    <t>MSB Accounting 26.3 Sprint 2 Stretch</t>
  </si>
  <si>
    <t xml:space="preserve">25868	</t>
  </si>
  <si>
    <t>MSB ACCT - BKK - Payments disappear for the other schools in a shared gateway batch if one school claims their payments</t>
  </si>
  <si>
    <t>This defect was reported 1 year back. We recently changed all background process for Import MSB batches as part of Performance improvement. The issue is not happening now, and we are rejecting this defect.</t>
  </si>
  <si>
    <t xml:space="preserve">Unable to replicate. complex scenario.  Will try to replicate . 
PotentiallyDefect Rejected? </t>
  </si>
  <si>
    <t>Still not able to replicate. Will check with Pramod to potentially reject this defect.</t>
  </si>
  <si>
    <t>MSB ACCT - BKK - [Regression] Trial Balance Report data not matching with CSV file while "Use GL Print Groups" is checked</t>
  </si>
  <si>
    <t>https://dev.azure.com/heartlandschools/Accounting/_git/MSBAccounting-NewSchoolBooks/pullrequest/47266</t>
  </si>
  <si>
    <t xml:space="preserve">Completed Dev changes.  Will connect with pramod for POV.  </t>
  </si>
  <si>
    <t>Completed POV and shared details for review.</t>
  </si>
  <si>
    <t>PR completed, waiting for deployment.</t>
  </si>
  <si>
    <t>SRX28739</t>
  </si>
  <si>
    <t>MSB BKK - Martinez USD - Alhambra HS - Wrong Total on Batch Import</t>
  </si>
  <si>
    <t>No code changes and PR. Update query ran on production db, verified the fix and closed escalation.</t>
  </si>
  <si>
    <t xml:space="preserve">Worked on this </t>
  </si>
  <si>
    <t xml:space="preserve">- </t>
  </si>
  <si>
    <t>MSB Onboarding - Navigating in and out of Merchant Applications</t>
  </si>
  <si>
    <t>https://dev.azure.com/heartlandschools/Merchant/_git/Boarding/pullrequest/47375</t>
  </si>
  <si>
    <t>Started analysing, Need some clarifications about AC. Will discuss in the catchup.</t>
  </si>
  <si>
    <t>Completed dev changes. Will connect with Pramod for POV.</t>
  </si>
  <si>
    <t>Completed POV . Waiting on jeanette's approval. 
Qadir to do peer testing/  peer review</t>
  </si>
  <si>
    <t>Qadir facing issues with Onboarding DB to test</t>
  </si>
  <si>
    <t>Qadir Approved</t>
  </si>
  <si>
    <t xml:space="preserve">Have completed writing
 tescase and started testing </t>
  </si>
  <si>
    <t>Completed testing in Dev amd QA environment</t>
  </si>
  <si>
    <t xml:space="preserve">25659	</t>
  </si>
  <si>
    <t>MSB ACCT - BKK - [Regression] Error while saving the note while reversal for cash transfer entry</t>
  </si>
  <si>
    <t>https://dev.azure.com/heartlandschools/Accounting/_git/MSBAccounting-NewSchoolBooks/pullrequest/47379</t>
  </si>
  <si>
    <t xml:space="preserve">Waiting on Pramod for POV.  </t>
  </si>
  <si>
    <t>Completed Testcase.</t>
  </si>
  <si>
    <t>MSB Onboarding - Encrypt Routing, Account Numbers, and SSN</t>
  </si>
  <si>
    <t xml:space="preserve">Started working on this.need some clarity on some parts of this story.  </t>
  </si>
  <si>
    <t xml:space="preserve">not much progress today. Escalation was in focus </t>
  </si>
  <si>
    <t xml:space="preserve">Applying to add/edit functionality. We need a migration for the code to encrypt and decrypt.
</t>
  </si>
  <si>
    <t>Completed Encryption changes
Added changes in the DB context.  
Migration changes need to be added.</t>
  </si>
  <si>
    <t>Working on migration, Changes made in global.asax</t>
  </si>
  <si>
    <t>SRX28768</t>
  </si>
  <si>
    <t>MSB ACCT - BKK - Bank Rec Report Preview Shows Duplicate Line Items (Kingsport)</t>
  </si>
  <si>
    <t xml:space="preserve">Issue with a deleted bank in the database.  
We need to hard delete. 
</t>
  </si>
  <si>
    <t xml:space="preserve">Waiting on Confirmation from PROD.  </t>
  </si>
  <si>
    <t xml:space="preserve">Still waiting on Customer confirmation  </t>
  </si>
  <si>
    <t>MSB ACCT - BKK - Lock the School Year "Start Date" and "End Date" from changing after first Bank reconciliation</t>
  </si>
  <si>
    <t>Code changes and POV completed. Waiting for peer review to create PR.</t>
  </si>
  <si>
    <t xml:space="preserve">Lockign part completed.  Working on the alert on bank rec.  </t>
  </si>
  <si>
    <t xml:space="preserve">ready for POV. Waiting for Pramod.  </t>
  </si>
  <si>
    <t xml:space="preserve">Waiting on Client POV. </t>
  </si>
  <si>
    <t>Development is in progress</t>
  </si>
  <si>
    <t xml:space="preserve">Just picked it up.  running the application locally. </t>
  </si>
  <si>
    <t xml:space="preserve">Discussion with pramod. Clarification with James. Need to redesign the page. </t>
  </si>
  <si>
    <t xml:space="preserve">	MSB ACCT - Account Report Detail Not Consistently Ordering Transactions Under GLs	
</t>
  </si>
  <si>
    <t xml:space="preserve">Account Detail Report. </t>
  </si>
  <si>
    <t>Dev Completed</t>
  </si>
  <si>
    <t>MSB Accounting 26.3 Sprint 3</t>
  </si>
  <si>
    <t>Only testing scope in this sprint. Testing completed and closed story.</t>
  </si>
  <si>
    <t>Completed testing and story closed.</t>
  </si>
  <si>
    <t>Dev work and internal POV completed on 3/3. Waiting for POV approval from client PO.</t>
  </si>
  <si>
    <t>Made some UI changes. Will continue with dev work.</t>
  </si>
  <si>
    <t xml:space="preserve">Dev Completed. </t>
  </si>
  <si>
    <t xml:space="preserve">Ready for POV . Will do POV with Pramod on monday </t>
  </si>
  <si>
    <t>Waiting for Pramod for the POV.</t>
  </si>
  <si>
    <t>Started Writing testcase</t>
  </si>
  <si>
    <t xml:space="preserve">Waiting for jeanette's approval  Waiting on a few clarifications on the POV. </t>
  </si>
  <si>
    <t xml:space="preserve">Still waiting for jeanette's approval </t>
  </si>
  <si>
    <t>Still waiting for jeanette's approval 
Got comments on this verbally about the image and the file upload.</t>
  </si>
  <si>
    <t>MSB Onboarding - Log In Page Display and Button Updates</t>
  </si>
  <si>
    <t>Worked by client dev. Only testing effort.</t>
  </si>
  <si>
    <t xml:space="preserve">Completed Testcase
</t>
  </si>
  <si>
    <t xml:space="preserve">Waiting on Client POV approval </t>
  </si>
  <si>
    <t>While tesing found few thing as mismatching with figma .need to be clarified</t>
  </si>
  <si>
    <t>When I reached
 out a while ago
 on this one, I
 was told this
 page isn't designed 
by the UX team. so jeanette told to push this story to her name</t>
  </si>
  <si>
    <t>Waiting on
 PO for image.</t>
  </si>
  <si>
    <t xml:space="preserve">As discussed in call checked 
the functioality and closed the story </t>
  </si>
  <si>
    <t>MSB ACCT - BKK - Lock the School 
Year "Start Date" and "End Date" from 
changing after first Bank reconciliation</t>
  </si>
  <si>
    <t>PR was completed last sprint. Testing effort only.</t>
  </si>
  <si>
    <t>Completed Testcase
 andTesting is in progress</t>
  </si>
  <si>
    <t>DEV work and PR
 creation was completed 
last sprint. PR got
 approved and story closed.</t>
  </si>
  <si>
    <t>Checked whether 
each and  every
testcases are
 running without
 any error-Need to check one thing with owen after that will change the status to Peer review</t>
  </si>
  <si>
    <t xml:space="preserve">49703	MSB ACCT - BKK - Add a button for starting the Year End Process	
</t>
  </si>
  <si>
    <t>Warning icon is missing in popup.
The symbols are flashing on the screen at page load time.</t>
  </si>
  <si>
    <t>Move the repeating message from js to xml file.</t>
  </si>
  <si>
    <t>https://dev.azure.com/heartlandschools/Accounting/_git/MSBAccounting-NewSchoolBooks/pullrequest/47608</t>
  </si>
  <si>
    <t>dev Complete. POV pending.</t>
  </si>
  <si>
    <t>POV completed. Dev changes based on POV completed.
new POV video to be created.</t>
  </si>
  <si>
    <t xml:space="preserve">peer review 
comments
 fixes made. </t>
  </si>
  <si>
    <t>The first round of functionality 
testing is completed, and 
I am currently working on the 
test cases.</t>
  </si>
  <si>
    <t>Unable to verify error message. 
- When we have multiple due to  Student Body Account, is active  a warning popup is displayed. After clicking ‘OK’, the popup closes; however, the Year-End Processing continues to load and the status remains ‘In Progress.</t>
  </si>
  <si>
    <t xml:space="preserve">	MSB ACCT - Account Report Detail Not Consistently Ordering Transactions Under GLs</t>
  </si>
  <si>
    <t>https://dev.azure.com/heartlandschools/Accounting/_git/MSBAccounting-NewSchoolBooks/pullrequest/47525</t>
  </si>
  <si>
    <t>Shared POV with Jeanette for approval</t>
  </si>
  <si>
    <t>Completed Testing and closed</t>
  </si>
  <si>
    <t>Testing in Progress. 
Getting error 
when we
 navigate
to district informations.Created a bounce back</t>
  </si>
  <si>
    <t>District Information page navigation is missing. 
Assigned back to developer</t>
  </si>
  <si>
    <t xml:space="preserve">Waiting on client dev changes </t>
  </si>
  <si>
    <t xml:space="preserve">Waiting on
 client dev 
changes </t>
  </si>
  <si>
    <t xml:space="preserve">waiting on client Dev changes. </t>
  </si>
  <si>
    <t>When we click
on District 
information the
 details like
 Eligiblity is missing</t>
  </si>
  <si>
    <t>MSB ACCT - BKK - [Regression] Invoice Item details does not fetch "Account" and "Authorized By" from referenced PO</t>
  </si>
  <si>
    <t>https://dev.azure.com/heartlandschools/Accounting/_git/MSBAccounting-NewSchoolBooks/pullrequest/47609</t>
  </si>
  <si>
    <t>Dev changes completed, will be doing POV with Pramod soon.</t>
  </si>
  <si>
    <t>Have completed writing Testcase</t>
  </si>
  <si>
    <t>Waiting for
 Review</t>
  </si>
  <si>
    <t>Have
 completed
 testing</t>
  </si>
  <si>
    <t>Have completed
 writing Testcase- Received the color scheme and image for completed applications that was originally missed and added it to the description above. so push bach to jeanette</t>
  </si>
  <si>
    <t>Waiting on
 POV commnent
 changes</t>
  </si>
  <si>
    <t>Waiting on Client Dev for changes</t>
  </si>
  <si>
    <t>MSB Accounting 26.3 Sprint 3 Stretch</t>
  </si>
  <si>
    <t>POV completed with Pramod. Waiting for approval from Client PO.</t>
  </si>
  <si>
    <t xml:space="preserve">Still trying to replicate the duplicate batches 
give user option to replace batch if amounts dont match up.  </t>
  </si>
  <si>
    <t xml:space="preserve">Able to replicate issue. Made fix. POV pending </t>
  </si>
  <si>
    <t xml:space="preserve">Ready for POV - Waiting on Pramod. </t>
  </si>
  <si>
    <t>SRX28794</t>
  </si>
  <si>
    <t>MSB ACCT - BKK - Remove Duplicate Adjustment Entries from Bank Rec Report Preview (Kingsport)</t>
  </si>
  <si>
    <t>Completed data fix script and shared with team for review. Also requested latest DB backup to verify the fix in local.</t>
  </si>
  <si>
    <t>Got Prod copy data.  need to verify there,</t>
  </si>
  <si>
    <t xml:space="preserve">PQuery Executed in PROD.  </t>
  </si>
  <si>
    <t xml:space="preserve">Issue with deploymnet,  missing web.config changes. </t>
  </si>
  <si>
    <t>web.config changes added.</t>
  </si>
  <si>
    <t>Dev Completed. POV pending</t>
  </si>
  <si>
    <t>POV completed. Print Group lisitng order.  Waiting on jeanette's approval.</t>
  </si>
  <si>
    <t>MSB Onboarding - Updating Fav Icon</t>
  </si>
  <si>
    <t>https://dev.azure.com/heartlandschools/Merchant/_git/Boarding/pullrequest/47689</t>
  </si>
  <si>
    <t xml:space="preserve">POV completed with Pramod.  </t>
  </si>
  <si>
    <t>Defect Being Tested</t>
  </si>
  <si>
    <t>Analysis in progress.</t>
  </si>
  <si>
    <t>Existing issue from the beginning when we got the project. It was reported and added in the back log long time back. Now we are clearing defects from backlog.</t>
  </si>
  <si>
    <t xml:space="preserve">Existing Issue. This was an edge case issue observed on PROD with the ordering of the report. Unable to replicate locally, however we've added code to make sure it sorts as expected. </t>
  </si>
  <si>
    <t>Existing issue. The 2 fields were not mapped correctly when creating an invoice by selecting a PO.</t>
  </si>
  <si>
    <t>Existing issue. Soft deleted bank accounts are causing duplicate entries in the report. We already have a defect for this in the backlog. For now, this issue has been fixed by hard deleting the soft deleted bank accounts in the database.</t>
  </si>
  <si>
    <t xml:space="preserve"> MSB ACCT - BKK - Trial Balance Header Line Only Shows on First Page</t>
  </si>
  <si>
    <t>It was reported and added in the back log long time back. But its not happening now and we have rejected it.</t>
  </si>
  <si>
    <t>MSB ACCT - BKK - Payments disappear for the other schools
 in a shared gateway batch if one school claims their payments</t>
  </si>
  <si>
    <t>Support tool for fixing the batch didn't work and we fixed the batch total with a data update query on production db.</t>
  </si>
  <si>
    <t>Production data issue. Fixed with  data update query on production db.</t>
  </si>
  <si>
    <t>MSB Accounting 26.2 Sprint 3</t>
  </si>
  <si>
    <t>MSB ACCT - BKK - (Follow up-SRX28641) Disable the data selector while editing notes in Bank Deposit entry</t>
  </si>
  <si>
    <t>https://dev.azure.com/heartlandschools/Accounting/_git/MSBAccounting-NewSchoolBooks/pullrequest/46629</t>
  </si>
  <si>
    <t xml:space="preserve">Deployed to DEV.  Testing in progress. </t>
  </si>
  <si>
    <t>Sowjanya on PTO.</t>
  </si>
  <si>
    <t>Completed/</t>
  </si>
  <si>
    <t xml:space="preserve">	MSB ACCT - BKK - AlpineNine-Deploy to QA environment and verify</t>
  </si>
  <si>
    <t xml:space="preserve">QA issues with SignalR. Trying to get that resolved.  </t>
  </si>
  <si>
    <t xml:space="preserve">Signal R issues resolved. Saw issues with the Migrations, Working on Fixing this. </t>
  </si>
  <si>
    <t>Qadir Holiday</t>
  </si>
  <si>
    <t xml:space="preserve">Database Been restored. Qadir to checkl </t>
  </si>
  <si>
    <t>Database Been restored.  Permissions granted.  Qadir to verify.</t>
  </si>
  <si>
    <t xml:space="preserve">Still issues with migrations.  Need to check </t>
  </si>
  <si>
    <t>SSO is now working.  Fixing minor issues with CSS.</t>
  </si>
  <si>
    <t xml:space="preserve">Issues with Migrations Fixed. </t>
  </si>
  <si>
    <t>MSB ACCT - Merge Alpine to Alpine 9</t>
  </si>
  <si>
    <t xml:space="preserve">Merged Alpine to AlpineNine. 
Found issues with the PDF's not working. 
</t>
  </si>
  <si>
    <t>Fixed isues with Hot Reload /  Fix for Issues Report Viewer.
fontAwesome reference fixes. Fixes for Files being updated in the wwwroot folder.</t>
  </si>
  <si>
    <t>Completed changes for report and other issues. Pushed changes till now.</t>
  </si>
  <si>
    <t>No Progress. Work on regression</t>
  </si>
  <si>
    <t>karthik PTO</t>
  </si>
  <si>
    <t xml:space="preserve">Purchase Order Entry - Issue found.New controller created. 
Found issues with Payment Gateway. 
Issues on invoice entry and manual check. 
Multiple issues found. Working on those fixes. </t>
  </si>
  <si>
    <t xml:space="preserve">Making PR for this. </t>
  </si>
  <si>
    <t>SRX28665</t>
  </si>
  <si>
    <t>MSB ACCT - BKK - Elk Grove (Pleasant Grove) - Issues with Import MSB Batch page settings for (Summarized/Itemized/Detailed)</t>
  </si>
  <si>
    <t>https://dev.azure.com/heartlandschools/Accounting/_git/MSBAccounting-NewSchoolBooks/pullrequest/46763</t>
  </si>
  <si>
    <t>Defect closed</t>
  </si>
  <si>
    <t xml:space="preserve">Code changes completed.  Find bigger batches to test. </t>
  </si>
  <si>
    <t>Pushed canges for the review. Waiting for Pramod for the POV since all are code changes.</t>
  </si>
  <si>
    <t>Changes pushed. review pending.</t>
  </si>
  <si>
    <t xml:space="preserve">Waiting deployment to DEV. </t>
  </si>
  <si>
    <t>SRX28681</t>
  </si>
  <si>
    <t xml:space="preserve">	MSB ACCT - BKK - Elk Grove - Pleasant Grove HS 1099 Report Issues	
</t>
  </si>
  <si>
    <t>No updates yet.</t>
  </si>
  <si>
    <t xml:space="preserve">Discussion with Pramod/ jeanette. Need to fix issue with 1099 report. </t>
  </si>
  <si>
    <t xml:space="preserve">Defect Created </t>
  </si>
  <si>
    <t>SRX28636</t>
  </si>
  <si>
    <t>MSB ACCT - BKK - June/First Balance Rec not Balancing (Thatcher)</t>
  </si>
  <si>
    <t>Defect Blocked</t>
  </si>
  <si>
    <t xml:space="preserve">jeanette still investigating.  </t>
  </si>
  <si>
    <t>In Progress by Jeanette</t>
  </si>
  <si>
    <t>MSB ACCT - BKK - [Regression] Unable to delete a GL Account with no MSB account mapping</t>
  </si>
  <si>
    <t>https://dev.azure.com/heartlandschools/Accounting/_git/MSBAccounting-NewSchoolBooks/pullrequest/46764</t>
  </si>
  <si>
    <t>Ready for testing</t>
  </si>
  <si>
    <t>Pushed canges for the review. Waiting for Pramod for the POV.</t>
  </si>
  <si>
    <t>POV completed. Waiting for code review.</t>
  </si>
  <si>
    <t xml:space="preserve">Waiting on deployment to DEV. </t>
  </si>
  <si>
    <t>Completed Testing</t>
  </si>
  <si>
    <t>Regression story - No dev changes and PR</t>
  </si>
  <si>
    <t>Rijo - Completed 5 entry screens.</t>
  </si>
  <si>
    <t>Completed all screens, found 1 issue with GL acc maintanance, created a defect. Story completed.</t>
  </si>
  <si>
    <t>Karthik - Started on GL analysis report.</t>
  </si>
  <si>
    <t>Karthik - GL Other / Financial/ Banking/ Vendor Reports completed. 
Rijo - PO Reports. PY Reports in progress.</t>
  </si>
  <si>
    <t>MSB ACCT - BKK - Regression - 26.2 Stories and Defects</t>
  </si>
  <si>
    <t>Update query ran on production db and escalation closed.</t>
  </si>
  <si>
    <t>1 defect pedning to be tested.  Shared Gateway.</t>
  </si>
  <si>
    <t xml:space="preserve">Waiting on transactions to be settled.  </t>
  </si>
  <si>
    <t xml:space="preserve">Found an issue. </t>
  </si>
  <si>
    <t xml:space="preserve">We can close this after creating a defect.  </t>
  </si>
  <si>
    <t xml:space="preserve">Creating a Defect 25869 - So closing this story </t>
  </si>
  <si>
    <t>MSB ACCT - BKK - [Regression] "Manual Open Check" entry record displayed in "Void Check Entry" UI</t>
  </si>
  <si>
    <t>https://dev.azure.com/heartlandschools/Accounting/_git/MSBAccounting-NewSchoolBooks/pullrequest/46762</t>
  </si>
  <si>
    <t xml:space="preserve">Completed Fix and POV with Pramod. 
</t>
  </si>
  <si>
    <t xml:space="preserve">Review compelted.  Waiting to be deployed.  </t>
  </si>
  <si>
    <t>MSB ACCT BKK - [Regression] Cash Disbursement Report shows same check date and void check date instead of retaining the actual check date</t>
  </si>
  <si>
    <t>https://dev.azure.com/heartlandschools/Accounting/_git/MSBAccounting-NewSchoolBooks/pullrequest/46786</t>
  </si>
  <si>
    <t xml:space="preserve">Completed the Fix. POV Approved. </t>
  </si>
  <si>
    <t xml:space="preserve">Completed 2 items from management. Working on Special functions.  </t>
  </si>
  <si>
    <t xml:space="preserve">Completed all except verifying support tool for MSB batches. Waiting on DBA to execute query on CERT DB. </t>
  </si>
  <si>
    <t>Karthik/ Rijo</t>
  </si>
  <si>
    <t>MSB ACCT - BKK - Regression - Period End Menu</t>
  </si>
  <si>
    <t>Completed bank Rec and 1099 report.  Found an issue with encryption</t>
  </si>
  <si>
    <t xml:space="preserve">Completed Month End and year End. </t>
  </si>
  <si>
    <t>MSB ACCT - BKK - Regression - Administration.</t>
  </si>
  <si>
    <t xml:space="preserve">Completed Regression Testing. </t>
  </si>
  <si>
    <t>SRX28687</t>
  </si>
  <si>
    <t>MSB ACCT - BKK - Add School Abbreviations to GL Codes for MSB Integration (Kingsport)</t>
  </si>
  <si>
    <t>The customer wanted help to change the gl account description from backend. The option is available on the UI, but it would take some time to update manually. No code changes and PR.</t>
  </si>
  <si>
    <t xml:space="preserve">Created a query for this. 
</t>
  </si>
  <si>
    <t xml:space="preserve">Review pending.  Request to be made. </t>
  </si>
  <si>
    <t>MSB Accounting 26.2 Sprint 3 Stretch</t>
  </si>
  <si>
    <t>MSB ACCT - BKK - Regression - Import MSB Batches.</t>
  </si>
  <si>
    <t>Story Being Tested. Stretch item.</t>
  </si>
  <si>
    <t>Have tested 45
 testcases- testing is
 in progress</t>
  </si>
  <si>
    <t>MSB ACCT - BKK - [Regression] Journaling a Bank Deposit Reversal is blocked with error message</t>
  </si>
  <si>
    <t>https://dev.azure.com/heartlandschools/Accounting/_git/MSBAccounting-NewSchoolBooks/pullrequest/46831</t>
  </si>
  <si>
    <t xml:space="preserve">PR Created.  </t>
  </si>
  <si>
    <t>Defect closed. No effort on this. We already completed dev changes and testing as part of original escalation SRX28665.</t>
  </si>
  <si>
    <t>MSB ACCT - BKK - Account Mask not Applying to Migrated GL Codes (Kingsport)</t>
  </si>
  <si>
    <t>Pulled into the sprint on sprint ending day. Analysis still in progress.</t>
  </si>
  <si>
    <t>SRX28641</t>
  </si>
  <si>
    <t xml:space="preserve">	MSB ACCT - BKK - Missing Deposit in Bank Rec Causing Variance (Twin Rivers)	
</t>
  </si>
  <si>
    <t>Got customer confirmation and closed escalation</t>
  </si>
  <si>
    <t>MSB Accounting 26.3 Sprint 1</t>
  </si>
  <si>
    <t>Issue reported schools completed the masking setup after the data was imported, so masking was not applied to those accounts. To prevent this issue, we will add a school settings completion validation check in the old data import UI as part of a new story. For now, masking has been applied to all affected schools by resetting the masking field in the School Settings UI as a workaround to resolve this.</t>
  </si>
  <si>
    <t>MSB ACCT - BKK - Elk Grove - Pleasant Grove HS 1099 Report Issues</t>
  </si>
  <si>
    <t xml:space="preserve">This was an existing issue in the application, which we were not aware of. This feature is used only once in the year to generate tax forms for vendors, and it is used by very few customers.  1 customer noticed the issue and let us know that the data showing in the report was off. </t>
  </si>
  <si>
    <t xml:space="preserve">26676	</t>
  </si>
  <si>
    <t>MSB ACCT - BKK - Fix shared gateway batches displayed with batch total 0.00 even after claimed by other school</t>
  </si>
  <si>
    <t>The issue happens when the user creates a shared batch with all transactions without setting GL accounts. We had to add extra checks to remove the batch from other schools if a school claim all transactions.</t>
  </si>
  <si>
    <t>MSB ACCT - BKK - Analyze Prod Error logs, Investigate Root Cause</t>
  </si>
  <si>
    <t>This defect is related to analysing PROD error logs. Completed the analysis of the recent PROD error logs and created a new defect for one of the issues identified.</t>
  </si>
  <si>
    <t>SRX28718</t>
  </si>
  <si>
    <t xml:space="preserve">	MSB ACCT - Remove checks from Bank Reconciliation Screen (Walnut Valley USD)</t>
  </si>
  <si>
    <t xml:space="preserve">This was an existing issue which we were aware of. 
We made a data fix so the customer could move forward and made the code fix to be pushed as part of our release.  </t>
  </si>
  <si>
    <t>Qadir /Jeanette</t>
  </si>
  <si>
    <t xml:space="preserve">	MSB ACCT - BKK - June/First Balance Rec not Balancing (Thatcher)</t>
  </si>
  <si>
    <t>Environment_Related</t>
  </si>
  <si>
    <t>The customer had entered wrong dates against their transactions , some being atleast 1 month in difference.  because of this, none of their reports matched bank records, and they were unable to complete bank rec.  Customer is working on sending us the data to fix. It's a data issue from the customer</t>
  </si>
  <si>
    <t>MSB Accounting 26.3 Sprint 1 Stretch</t>
  </si>
  <si>
    <t>MSB ACCT - BKK - [Prod Error Logs] Fix CSV export error in all reports</t>
  </si>
  <si>
    <t>Identified this issue from error logs. Fixed CSV export errors caused by report cache expiry and user session timeout by increasing cache duration to 20 minutes, adding a warning message for cache expiry, and redirecting to the login page on session timeout.</t>
  </si>
  <si>
    <t>MSB ACCT - BKK - Reversal entry is saved while it is edited and cancelled for Receipt and Transfer Entry</t>
  </si>
  <si>
    <t>The reversal entry was being created when confirming, before the reversal entry form was opened, instead of on form submission. This issue occurred in two places: receipt entries and transfer entries. Fixed this issue in both places by moving the reversal entry creation logic to the form submission.</t>
  </si>
  <si>
    <t>The vendor category was not pre-populating on purchase orders, invoices, and manual check entries based on the selected vendor. Made changes to ensure the category is now pre-populated automatically when a vendor is selected. Dev testing in progress.</t>
  </si>
  <si>
    <t>Add missing payment option from the Support page added the payment item amount twice to the total. Looks like the support team did that twice from 2 accounts together. Replace batch option works correctly, need a data fix for the batch which got messed up already.</t>
  </si>
  <si>
    <t>Estimated (sp)</t>
  </si>
  <si>
    <t>Actual (sp)</t>
  </si>
  <si>
    <t>Current Status</t>
  </si>
  <si>
    <t>Comments
[ Keep replacing this with daily incremental updates to save the most recent details]</t>
  </si>
  <si>
    <t>PROCESS STATUS</t>
  </si>
  <si>
    <t>Daily Activity Status</t>
  </si>
  <si>
    <t>Code Review Comments, if any</t>
  </si>
  <si>
    <t>Approved Date</t>
  </si>
  <si>
    <t>14.3 S2</t>
  </si>
  <si>
    <t xml:space="preserve">	MSB ACCT - BKK - Elk Grove / Laguna Creek - Import from MSB Batches Missing Payment Installments</t>
  </si>
  <si>
    <t>Inprogress</t>
  </si>
  <si>
    <t>Escalations been converted to Defects in new sprint</t>
  </si>
  <si>
    <t>TBD</t>
  </si>
  <si>
    <t xml:space="preserve">	MSB ACCT - BKK - Remove Failed Imports from MSB Import Screen (Clark Magnet)</t>
  </si>
  <si>
    <t>Escalations been converted to Defects in new sprint. 
Working Simultaneosly</t>
  </si>
  <si>
    <t>Delete queries Ready. Testing to be completed</t>
  </si>
  <si>
    <t xml:space="preserve">	MSB ACCT - BKK - (Forest Grove) Remove Failed Imports from MSB Import Screen.</t>
  </si>
  <si>
    <t xml:space="preserve">	MSB ACCT - Macroscope - Check &amp; Remediate Critical &amp; High Commit Items - (14.3 S2)</t>
  </si>
  <si>
    <t>Target : Complete 11/20 in this sprint.</t>
  </si>
  <si>
    <t>Having trouble importing the JS Library</t>
  </si>
  <si>
    <t xml:space="preserve">MSB ACCT - BKK - Assign MSB Gateways to Associated Schools	
</t>
  </si>
  <si>
    <t>Sushmitha</t>
  </si>
  <si>
    <t>Worked on by Onsite Dev (James)</t>
  </si>
  <si>
    <t>To be started</t>
  </si>
  <si>
    <t xml:space="preserve">14.3 S2 Stretch </t>
  </si>
  <si>
    <t xml:space="preserve">MSB ACCT - BKK - Modernize Import from MSB UI (14.3)	
</t>
  </si>
  <si>
    <t xml:space="preserve">Stored proc to get batches is completed.Work on  Clicking batch to be done. </t>
  </si>
  <si>
    <t>Pending regression story from last sprint's stretch</t>
  </si>
  <si>
    <t>I’ve tested all the test cases.
 A few are still in active status
 since the invoice related
 batches; once those 
are settled, testing can be completed.</t>
  </si>
  <si>
    <t>Have completed Testing and 
Picked up Automation for
 management menu</t>
  </si>
  <si>
    <t>Issue reported schools completed the masking setup after the data was imported, so masking was not applied to those accounts. To prevent this issue, we will add a school settings completion validation check in the old data import UI as part of a new story. For now, masking has been applied to all affected schools by resetting the masking field in the School Settings UI as a workaround to resolve this. No code changes and PR.</t>
  </si>
  <si>
    <t xml:space="preserve">Not able to replicate issue. </t>
  </si>
  <si>
    <t xml:space="preserve">Had a call with Nadia and confirmed that she could update the mask, and the details should show. </t>
  </si>
  <si>
    <t>RIjo</t>
  </si>
  <si>
    <t xml:space="preserve">Rijo </t>
  </si>
  <si>
    <t>https://dev.azure.com/heartlandschools/Accounting/_git/MSBAccounting-NewSchoolBooks/pullrequest/46934</t>
  </si>
  <si>
    <t xml:space="preserve">Made the request for the missing check data. Need to review it. </t>
  </si>
  <si>
    <t xml:space="preserve">POV Pending.  </t>
  </si>
  <si>
    <t>POV shared with Pramod</t>
  </si>
  <si>
    <t>Ready For Testing</t>
  </si>
  <si>
    <t xml:space="preserve">Being tested by Wes. </t>
  </si>
  <si>
    <t>MSB ACCT - BKK - Automation Smoke Tests - School Settings UI in Management</t>
  </si>
  <si>
    <t>Have completed the automation for the management
 menu. I will create a PR for it and then send it to
 Owen for review.</t>
  </si>
  <si>
    <t xml:space="preserve">Started today. </t>
  </si>
  <si>
    <t>Have Completed School 
Setting ,form template 
and working on system
 Startup</t>
  </si>
  <si>
    <t xml:space="preserve">Hardware and System Startup  Completed. </t>
  </si>
  <si>
    <t>No Progress</t>
  </si>
  <si>
    <t>Have started working on special functions in managenment and completed import old data and started working on modify categories</t>
  </si>
  <si>
    <t>Have completed 
Special Functions and
 started working on
 Support tools</t>
  </si>
  <si>
    <t xml:space="preserve">Have Completed the 
support Tools Need
 to create PR </t>
  </si>
  <si>
    <t>MSB ACCT - BKK - SNYK Crits and Highs [Timebox]</t>
  </si>
  <si>
    <t>https://dev.azure.com/heartlandschools/Accounting/_git/MSBAccounting-NewSchoolBooks/pullrequest/46949</t>
  </si>
  <si>
    <t xml:space="preserve">3 high issues.  
</t>
  </si>
  <si>
    <t xml:space="preserve">PR Made.  Verified
 changes in snyk. </t>
  </si>
  <si>
    <t>https://dev.azure.com/heartlandschools/Accounting/_git/MSBAccounting-NewSchoolBooks/pullrequest/46990</t>
  </si>
  <si>
    <t xml:space="preserve">2 issues. 
Issue with blinking of items is resolved
batch with 0 total shtill showing up. </t>
  </si>
  <si>
    <t xml:space="preserve">DEV Completed.  POV shared. 
PR to be made. </t>
  </si>
  <si>
    <t xml:space="preserve">
1.Blinking issue is fixed.
2. Sharedgateways batches
 still showing 0.0 in school
2 even after claimed in school 1.
Issues with the deployment. </t>
  </si>
  <si>
    <t>Issues with deployment.  Proc is updated on DEV.</t>
  </si>
  <si>
    <t>I tested the shared gateway
 in the Dev environment, but 
some scenarios were clarified 
today after discussing them 
with Rijo. I have recreated the
 batches, and I will confirm all 
scenarios tomorrow morning 
and close the defect.</t>
  </si>
  <si>
    <t xml:space="preserve">found issues on CERT. Fixes made to have proc run. Error message does not show up on CERT, however new batches are not flowing in. </t>
  </si>
  <si>
    <t>Closed the defect</t>
  </si>
  <si>
    <t>Completed the recent PROD error log analysis and created a new defect for one of the logs. Since this defect is related to analysis effort, no code changes are required.</t>
  </si>
  <si>
    <t xml:space="preserve">Identified Issue .
 It happens due to
 cache of the report expiring. </t>
  </si>
  <si>
    <t xml:space="preserve">Tried generating the report directly.  Got issues with passing of the data from the UI to the backend if we tried to refresh
</t>
  </si>
  <si>
    <t>POV pending</t>
  </si>
  <si>
    <t xml:space="preserve">Closed this defect.  Created new defect. </t>
  </si>
  <si>
    <t>Defect FIxed</t>
  </si>
  <si>
    <t>https://dev.azure.com/heartlandschools/Accounting/_git/MSBAccounting-NewSchoolBooks/pullrequest/46997</t>
  </si>
  <si>
    <t xml:space="preserve">NA </t>
  </si>
  <si>
    <t>Escalation was completed quickly to be part of the release</t>
  </si>
  <si>
    <t>Data Fix Made to PROD</t>
  </si>
  <si>
    <t xml:space="preserve">Data Fix Verified.  Code changes made and ready for POV. </t>
  </si>
  <si>
    <t>Sowjanya on PTO. Asked Wes to test</t>
  </si>
  <si>
    <t xml:space="preserve">We have been waiting on information from the customer since december.  Agfter receiving the info.
Verified the data, and their entries in beginning balances and checks are wrong with the wrong dates.  Customer needs to fix their data. </t>
  </si>
  <si>
    <t xml:space="preserve">Discussion with Jeanette on the issues and found out the issues with the date of the transactions.  </t>
  </si>
  <si>
    <t>Closed the escalation.  Customer taking time to respond.  Our analysis found that customer has a lot of entires with dates different to schoolBooks, The beginning balances were supposed to be as of 9/16.  However those balances dont match with the bank statement.  Customer needs to fix their data.</t>
  </si>
  <si>
    <t xml:space="preserve">Defect Closed as data issue is with the customer. </t>
  </si>
  <si>
    <t xml:space="preserve">51510	</t>
  </si>
  <si>
    <t>MSB ACCT - MSB Batches Documentation Creation to assist in outlining the QA test plans (26.3 SP 1)</t>
  </si>
  <si>
    <t>No code changes, No PR. Completed documentation and shared the document with the team.</t>
  </si>
  <si>
    <t xml:space="preserve">Some progress. 
Will be able to share by tomorrow. </t>
  </si>
  <si>
    <t xml:space="preserve">Documentation done by tomorrow.  Working on shared batch scenarios. Introduction of GL Account mappings made things complex </t>
  </si>
  <si>
    <t xml:space="preserve">Not completed.  Spent time on import issue.  </t>
  </si>
  <si>
    <t xml:space="preserve">Completed the Documentation.  </t>
  </si>
  <si>
    <t xml:space="preserve">	MSB ACCT - Improve DB Performance - Create / Drop Indexes</t>
  </si>
  <si>
    <t xml:space="preserve">This story is completed locally. POV and PR pending.  
</t>
  </si>
  <si>
    <t>Started working on this.  Found atleast 200 indexes need to be removed.</t>
  </si>
  <si>
    <t xml:space="preserve">Barely made any progress yesterday.  Still working on building out metrics to see what what the DB performance would look like before/ after.  </t>
  </si>
  <si>
    <t xml:space="preserve">Did a lot of admin work. No progress on this. </t>
  </si>
  <si>
    <t xml:space="preserve">Testing in progress.  </t>
  </si>
  <si>
    <t xml:space="preserve">Testing Completed. Code cleanup and will make the POV today. </t>
  </si>
  <si>
    <t>https://dev.azure.com/heartlandschools/Accounting/_git/MSBAccounting-NewSchoolBooks/pullrequest/47060</t>
  </si>
  <si>
    <t xml:space="preserve">Redirect to the login page on session timeout.  
</t>
  </si>
  <si>
    <t xml:space="preserve">ready for testing </t>
  </si>
  <si>
    <t>Being tested by Wes</t>
  </si>
  <si>
    <t>Christina School District - Beginning balance update verification in the latest database for 36 schools</t>
  </si>
  <si>
    <t>This is about beginning balance update verification in the latest database. No dev changes and PR.</t>
  </si>
  <si>
    <t xml:space="preserve">Completed 30 schools.  Completed 6 schools.  </t>
  </si>
  <si>
    <t>https://dev.azure.com/heartlandschools/Accounting/_git/MSBAccounting-NewSchoolBooks/pullrequest/47154</t>
  </si>
  <si>
    <t xml:space="preserve">Completed changes for Receipt entry. </t>
  </si>
  <si>
    <t>Completed fix for transfer entry page and dev testing in progress.</t>
  </si>
  <si>
    <t>Completed dev testing.
Completed POV . Found additional defects</t>
  </si>
  <si>
    <t xml:space="preserve">Ready for Testing. </t>
  </si>
  <si>
    <t>Dev changes are completed. Dev testing in progress.</t>
  </si>
  <si>
    <t>Escalation was reported on the 2nd last day of sprint. 
Data fix queries are ready. Waiting for production data to get the Ids. Made the data request on 2/9, but haven't got the data yet.</t>
  </si>
  <si>
    <t>MSB Accounting 26.01 Sprint 2</t>
  </si>
  <si>
    <t xml:space="preserve">Defect </t>
  </si>
  <si>
    <t>Defect Needs More Info</t>
  </si>
  <si>
    <t xml:space="preserve">This seems to be a user error with their beginning balances being entered at the time of onboarding.  We are waiting on the customer to send us the original balances to compare with what they have entered.  </t>
  </si>
  <si>
    <t>MSB ACCT - BKK - SSO - e-hps accounts in the super admin groups shouldn't be able to link to other MSB accounts</t>
  </si>
  <si>
    <t xml:space="preserve">This is an enhancement to the SSO functionality, where MSB Accounting Accounts were being linked with Internal user MSB Accounts.  
The linking process was meant for MSB User Accounts and not for internal HSS users ( who have a seperate login process.) . So this defect stopped internal MSB Accounts from being linked with MSB Accounting Accounts and would create a new MSB Accounting with SUPER ADMIN priveleges for the internal users. </t>
  </si>
  <si>
    <t>MSB ACCT - BKK - Shared gateway batches are displayed with batch total 0.0 even after claimed by other school</t>
  </si>
  <si>
    <t>Once we assign a batch to some schools, even after all payments claimed by some other school, the batch was showing up, we missed to remove it in this scenario. Long standing issue, but very low chance of happening.</t>
  </si>
  <si>
    <t>Qadir/Karthik</t>
  </si>
  <si>
    <t>MSB ACCT - BKK - Missing Deposit in Bank Rec Causing Variance (Twin Rivers)</t>
  </si>
  <si>
    <t>The customer updated the bank deposit date to a past date after it was journaled through the Edit notes UI, Which caused a variance in bank reconciliation. The bank deposit date should not be editable once it is journaled. A new defect has been created to disable the date selector in the Edit notes UI to prevent this issue in the future. We are also waiting for confirmation of the correct deposit date from the customer to create the production data fix.</t>
  </si>
  <si>
    <t>SRX28657</t>
  </si>
  <si>
    <t>MSB ACCT - BKK - Alameda - Encinal JR/SR High - Analyze and remove duplicate Open deposit appearing in Bank Rec.</t>
  </si>
  <si>
    <t>Deleted open deposit appearing in the bank reconciliation, which is an existing defect that needs to be fixed. Since the customer was blocked from closing the reconciliation, we made a data fix to resolve the issue temporarily.</t>
  </si>
  <si>
    <t>MSB ACCT - BKK - (Follow up-SRX28641) Disable the date selector while editing notes in Bank Deposit entry</t>
  </si>
  <si>
    <t>This defect was created from the escalation SRX28641 to disable the date selector while editing the bank deposit entry notes.</t>
  </si>
  <si>
    <t>We moved the entire import process to backend stored procedure. And the user selection on individual transactions were not passing to database.</t>
  </si>
  <si>
    <t>Existing issue with 1099 report.</t>
  </si>
  <si>
    <t>Existing issue with data entered in the application. Bank rec process.is affected by the bad data. Waiting for confirmation from customer.</t>
  </si>
  <si>
    <t>The gl account mapping was wrongly showing upon deletion process.</t>
  </si>
  <si>
    <t>Open check entries were displayed on the void check UI. This issue has been fixed by applying the void check filter.</t>
  </si>
  <si>
    <t>Significant 	Manual	Internal	Closed</t>
  </si>
  <si>
    <t>The actual check date was incorrectly set to the voided date for voided checks. This was fixed by adding appropriate conditional checks.</t>
  </si>
  <si>
    <t>Requirement</t>
  </si>
  <si>
    <t>Requirements</t>
  </si>
  <si>
    <t>It is not an issue at all. The customer wanted help to change the gl account description from backend. The option is available on the UI, but it would take some time to update manually.</t>
  </si>
  <si>
    <t>The bank deposit reversal has been moved to Stored procedure and it was taking the journal header wrongly.</t>
  </si>
  <si>
    <t>MSB ACCT - Bank Deposit Entry - Resolve Performance Issues (15.4)</t>
  </si>
  <si>
    <t>Story pulled in from previous sprint . testing in progress</t>
  </si>
  <si>
    <t>Pending- Need to verify the reversal,edit ,delete 
add new items in  Bank deposit entry. for large batches</t>
  </si>
  <si>
    <t xml:space="preserve">Need the status for this. </t>
  </si>
  <si>
    <t>MSB ACCT - BKK - Christina School District-Review the Bank Recs (3/3)</t>
  </si>
  <si>
    <t>Story pulled in from previous sprint. Testing in progress</t>
  </si>
  <si>
    <t>Have Completed 16 schools need to verify remanining schoo
l-Testing is in progress</t>
  </si>
  <si>
    <t xml:space="preserve">Found a 
mismatch in 1
 school.  Re-Checking.  </t>
  </si>
  <si>
    <t>Have verified 
in Dev 
environment
 and Closed
 the story with comments</t>
  </si>
  <si>
    <t>MSB ACCT - BKK - "Import Old Data" leaves the uploaded data files in server location after import</t>
  </si>
  <si>
    <t>https://dev.azure.com/heartlandschools/Accounting/_git/MSBAccounting-NewSchoolBooks/pullrequest/46383</t>
  </si>
  <si>
    <t>Additionally, we addressed performance issues related to large file uploads as part of this story.</t>
  </si>
  <si>
    <t xml:space="preserve">Completed code changes about saving the data. Working on moving code from Controller to Application Layer. 
Discussion with Pramod- He will share file detail.s.  Documentation needs to be made for the process. 
Currently we dont have access to remove files from the server.
</t>
  </si>
  <si>
    <t>Removed Code from Controller.  Moved to App Service.  
Facing performance issue with large files.</t>
  </si>
  <si>
    <t xml:space="preserve">Moved logic to Stored proc. 
Dev Testing pending/  Code Cleanup. 
POV Completed wityh minor changes. </t>
  </si>
  <si>
    <t xml:space="preserve">Completed changes. Code Cleanup.  
POV completed with Pramod. Changes mentioned completed. 
Second Round POV. </t>
  </si>
  <si>
    <t xml:space="preserve">POV Completed with comments.  Qadir to review. </t>
  </si>
  <si>
    <t xml:space="preserve">Qadir to review.  </t>
  </si>
  <si>
    <t xml:space="preserve">While testing, a data mismatch
 was observed while importing
 large data sets. The
 observations has been shared
 with Karthik, and he is working
 on it. 
After that, I started looking into the automation code to better understand how it was written.
</t>
  </si>
  <si>
    <t xml:space="preserve">WAF issues on DEV are resolved.  Issue with testing the wrong CSV file fixed. 
Found an issue 
Sowjanya - Testing in progress. </t>
  </si>
  <si>
    <t xml:space="preserve">Have Completed
 Testing and 
closed the story. Found another bug with the bank and account code. Added validation. PR made. </t>
  </si>
  <si>
    <t>Sowjanya to coordinate with Karthik on additional edge cases.</t>
  </si>
  <si>
    <t>Tested out the edge case with bank account CSV. Closed testing.</t>
  </si>
  <si>
    <t>This involved creating a build pipeline and setting up the Server for the site to be deployed.  We severly underestimated the work involved and the number of issues we found during release and deployment.</t>
  </si>
  <si>
    <t xml:space="preserve">No progress on this. </t>
  </si>
  <si>
    <t xml:space="preserve">Tested Deployment scripts locally. Worked. Need to deploy to QA. </t>
  </si>
  <si>
    <t>Started Testing this. Facing issues downloading package on QA Server.  Needs investigation.</t>
  </si>
  <si>
    <t>Tried deploying package to QA. Build Failed. Currently pipeline isnt completing the build. need to investigate</t>
  </si>
  <si>
    <t>Tested this out briefly. Issue is with the ABP Library not being imported into the build.  Need to investigate.</t>
  </si>
  <si>
    <t xml:space="preserve">Still stuck with getting ABP Repository on the AlpineNine build </t>
  </si>
  <si>
    <t>Qadir - PTO</t>
  </si>
  <si>
    <t xml:space="preserve">Still have errors with the build on this story. </t>
  </si>
  <si>
    <t xml:space="preserve">Pipeline working,Build package isnt created properly.  Need to see if there are issues on the pipeline to fix.  </t>
  </si>
  <si>
    <t xml:space="preserve">Deployment package still not working locally.  Figuring that out. </t>
  </si>
  <si>
    <t xml:space="preserve">Facing issues deplying to IIS. Deployment Package is good now.  </t>
  </si>
  <si>
    <t>Still trying to deploy to QA.</t>
  </si>
  <si>
    <t xml:space="preserve">Deployed To QA.
Need to talk to Platops to get it started. 
Need to check if the site is running. </t>
  </si>
  <si>
    <t xml:space="preserve">QA is working now.  There are some nuget packages missing in the Build , mostly from aspnetboilerplate.  need to check the pipeline why those arent coming in </t>
  </si>
  <si>
    <t>PR to be made to test on QA.</t>
  </si>
  <si>
    <t xml:space="preserve">PR made. Still issues with the QA deployment. The bundler was not creating the files.  Fixes made.  need to investigate other issues. </t>
  </si>
  <si>
    <t xml:space="preserve">jeanette has asked to hold off on the work because we are expecting some more info from Nadia </t>
  </si>
  <si>
    <t xml:space="preserve">Investigated the issue.  Found the transaction showing up in November on the Reports, because that's the day the transaction was journaled. Need clarification from Pramod on which date to be used. </t>
  </si>
  <si>
    <t xml:space="preserve">Investigated the issue. Their balances seem to be off.  They have added transactions from school books that dont need to be here.  </t>
  </si>
  <si>
    <t xml:space="preserve">jeanette asked to hold off until we have more info </t>
  </si>
  <si>
    <t>Waiting for the info from Nadia.</t>
  </si>
  <si>
    <t>Rijo/Qadir</t>
  </si>
  <si>
    <t>https://dev.azure.com/heartlandschools/Accounting/_git/MSBAccounting-NewSchoolBooks/pullrequest/46605</t>
  </si>
  <si>
    <t>Not Done</t>
  </si>
  <si>
    <t xml:space="preserve">Dev Completed -  Ready for Testing </t>
  </si>
  <si>
    <t>Analysis in progress. Have an issue with login to test MSB with hss credentials.</t>
  </si>
  <si>
    <t>Put this on hold after discussing with Pramod. SSO login to MSB need to work to proceed further. Pramod is currently checking the issue.</t>
  </si>
  <si>
    <t xml:space="preserve">RIjo doesnt have access to MSB Accounts. Blocked. </t>
  </si>
  <si>
    <t>RIjo doesnt have access to MSB Accounts. Blocked. Request Made.</t>
  </si>
  <si>
    <t>Rijo - PTO</t>
  </si>
  <si>
    <t xml:space="preserve">Dropped a message to Alan browsder about the access. </t>
  </si>
  <si>
    <t xml:space="preserve">Qadir to try to get tthe name of the AD group. </t>
  </si>
  <si>
    <t>Qadir to try to get tthe name of the AD group.</t>
  </si>
  <si>
    <t>Not able to login with MSB anywhere. Asking to Authenticate with MFA.</t>
  </si>
  <si>
    <t xml:space="preserve">Waiting on Callback from Support.  </t>
  </si>
  <si>
    <t xml:space="preserve">Pivot and Karthik to pick this up tomorrow.  </t>
  </si>
  <si>
    <t xml:space="preserve">To be picked up by Dev team. </t>
  </si>
  <si>
    <t>Dev completed. Testing in Progress</t>
  </si>
  <si>
    <t>https://dev.azure.com/heartlandschools/Accounting/_git/MSBAccounting-NewSchoolBooks/pullrequest/46403</t>
  </si>
  <si>
    <t>Defect fixed and item closed.</t>
  </si>
  <si>
    <t>Picked up and started today.
Made the fix, testing it out.
Will do the POV by tomorrow.</t>
  </si>
  <si>
    <t xml:space="preserve">DEV changes completed.  POV on monday </t>
  </si>
  <si>
    <t>Sowjanya :  Started writing test cases and created transactions for the story. 
Rijo :  Dev complete. Final round of testing.</t>
  </si>
  <si>
    <t>Shared POV recording.</t>
  </si>
  <si>
    <t>Waiting for POV approval.</t>
  </si>
  <si>
    <t>Waiting for POV approval. Qadir OK'd PR. 
Pramod / Jeanette can review later.</t>
  </si>
  <si>
    <t xml:space="preserve">Dev complete.  Ready for Review. </t>
  </si>
  <si>
    <t xml:space="preserve">Deployed to DEV. ready for Testing </t>
  </si>
  <si>
    <t>Testing is in progress</t>
  </si>
  <si>
    <t xml:space="preserve">Unable to link up district with MSB.  Blocked at the moment. </t>
  </si>
  <si>
    <t xml:space="preserve">unable to integrate district.  </t>
  </si>
  <si>
    <t xml:space="preserve">Setup of district completed.  Need to make transactions and products. </t>
  </si>
  <si>
    <t>Final Round of testing pending</t>
  </si>
  <si>
    <t xml:space="preserve">Investigated the issue, The missing transaction was journaled in Nov, It exists.  Need to still find the root cause of variance. </t>
  </si>
  <si>
    <t xml:space="preserve">No Progress on this. </t>
  </si>
  <si>
    <t xml:space="preserve">Issue is the deposit date and Journal Date. Jounral date is outside of the bank rec dates, but deposit date is within bank rec dates.  Not sure how to handle. </t>
  </si>
  <si>
    <t xml:space="preserve">Figured the issue, waiting on feedback.  </t>
  </si>
  <si>
    <t xml:space="preserve">Im still waiting on the feedback. </t>
  </si>
  <si>
    <t xml:space="preserve">Waiting on more infor from Pramod/ Jeanette. </t>
  </si>
  <si>
    <t>Qadir need to connect with Pramod for clarifications.</t>
  </si>
  <si>
    <t xml:space="preserve">Discussed with Pramod. Waiting on Pramod's feedback </t>
  </si>
  <si>
    <t>investigation on accounting rules required.  
Looking at solutions for the fix.</t>
  </si>
  <si>
    <t xml:space="preserve">Karthik discussed with Pramod, Work on the calculation. Qadir investigated data, looks like an issue on the bank deposit after release. </t>
  </si>
  <si>
    <t xml:space="preserve">Tried to replicate the issue. Entries working as expected. </t>
  </si>
  <si>
    <t xml:space="preserve">Audit Log Issues .Found issues with edit notes UI which allowed the date to be editable. </t>
  </si>
  <si>
    <t xml:space="preserve">Waiting on jeanette and Nadia on the date.  </t>
  </si>
  <si>
    <t>MSB ACCT - BKK - Block the users from changing the GL Account "Type"</t>
  </si>
  <si>
    <t>https://dev.azure.com/heartlandschools/Accounting/_git/MSBAccounting-NewSchoolBooks/pullrequest/46387</t>
  </si>
  <si>
    <t>Additional effort was spent on detailed open entries warning message.</t>
  </si>
  <si>
    <t xml:space="preserve">Disabling control completed. Doubt about warning message.  </t>
  </si>
  <si>
    <t xml:space="preserve">Completed DEV Changes.  DeV Testing in progress. 
Sowjanya -  Completed test cases. </t>
  </si>
  <si>
    <t>Found issues with check entries validation while dev testing. Made fix for that. Final round of testing in progress.</t>
  </si>
  <si>
    <t>Posted POV Recording. Will share branch details.</t>
  </si>
  <si>
    <t xml:space="preserve">Review comments made. 
PR to be made. </t>
  </si>
  <si>
    <t>Making tranactions for the
 previous year and testing
 the scenario. Testing 
 is in progress</t>
  </si>
  <si>
    <t>Testing in progress. Will be completed today.</t>
  </si>
  <si>
    <t xml:space="preserve">Testing completed in Dev environment </t>
  </si>
  <si>
    <t>49284	MSB ACCT - BKK - GL Accounts with transactions should not be allowed to be soft deleted</t>
  </si>
  <si>
    <t>https://dev.azure.com/heartlandschools/Accounting/_git/MSBAccounting-NewSchoolBooks/pullrequest/46402</t>
  </si>
  <si>
    <t>Story completed.</t>
  </si>
  <si>
    <t>Made code changes for including Import page in the check. Analysis going on for any other places to check for GL acc delete.</t>
  </si>
  <si>
    <t>Rijo - Dev testing in progress. 
Sowjanya - Completed 
test Cases</t>
  </si>
  <si>
    <t xml:space="preserve">POV posted on channel. Review to be completed. </t>
  </si>
  <si>
    <t>Pushed changes for review.</t>
  </si>
  <si>
    <t xml:space="preserve">Story Ready Testing </t>
  </si>
  <si>
    <t xml:space="preserve">Testing in progress. Working on edge cases.  </t>
  </si>
  <si>
    <t xml:space="preserve">Testing completed. </t>
  </si>
  <si>
    <t>MSB ACCT - BKK - Alpine - Upgrade School Settings Page to Alpine-Excluding Tab works</t>
  </si>
  <si>
    <t xml:space="preserve">Dev work and POV completed, but could not close it. 
Rijo was completely blocked from work for 3 days due to e-hps login blocker because of authenticator issue. </t>
  </si>
  <si>
    <t>Started development.</t>
  </si>
  <si>
    <t>Completed the contents from first 3 tabs in schools settings</t>
  </si>
  <si>
    <t>Completed all 4 tabs. Will work on tab view soon.</t>
  </si>
  <si>
    <t xml:space="preserve">UI is ok. Comparing with the normal page. once all done , POV is planned. </t>
  </si>
  <si>
    <t xml:space="preserve">No updates. Rijo is locked out. </t>
  </si>
  <si>
    <t xml:space="preserve">Rijo has found some minor changes. Is still locked out. </t>
  </si>
  <si>
    <t xml:space="preserve">Issue with loading.  Try to get POV done today.  </t>
  </si>
  <si>
    <t xml:space="preserve">Shared POV with jeanette . Waiting on Approval </t>
  </si>
  <si>
    <t>MSB ACCT - BKK - Add Encryption to Bank and Federal IDs</t>
  </si>
  <si>
    <t>https://dev.azure.com/heartlandschools/Accounting/_git/MSBAccounting-NewSchoolBooks/pullrequest/46557</t>
  </si>
  <si>
    <t xml:space="preserve">Started Development. </t>
  </si>
  <si>
    <t xml:space="preserve">No updates. </t>
  </si>
  <si>
    <t>Implemented encryption that James shared. Currently testing changes.</t>
  </si>
  <si>
    <t xml:space="preserve">Completed DEV changes. Also worked on the import Old Data.  Dev Testing in progress. </t>
  </si>
  <si>
    <t xml:space="preserve">Dev Testing completed. POV pending.  </t>
  </si>
  <si>
    <t xml:space="preserve">Internal POV pending </t>
  </si>
  <si>
    <t xml:space="preserve">Review pending.  </t>
  </si>
  <si>
    <t>Waiting on Deployment</t>
  </si>
  <si>
    <t xml:space="preserve">Testing Completed. </t>
  </si>
  <si>
    <t>Production data fix. No code changes and no PR.</t>
  </si>
  <si>
    <t xml:space="preserve">Reviewed. OK. </t>
  </si>
  <si>
    <t xml:space="preserve">Data fix query made. </t>
  </si>
  <si>
    <t xml:space="preserve">Data Fix completed. </t>
  </si>
  <si>
    <t>MSB Accounting 26.01 Sprint 2 Stretch</t>
  </si>
  <si>
    <t>This defect was created a day before the sprint end from the escalation SRX28641, so it was not estimated.</t>
  </si>
  <si>
    <t>Completed Fix. Currently testing</t>
  </si>
  <si>
    <t xml:space="preserve">POV posted for jeanette. </t>
  </si>
  <si>
    <t xml:space="preserve">51242	</t>
  </si>
  <si>
    <t>MSB ACCT - BKK - Alpine - Upgrade School Settings Page to Alpine-Tab works ONLY</t>
  </si>
  <si>
    <t>MSB Accounting 20.1 Sprint 1</t>
  </si>
  <si>
    <t xml:space="preserve">50917	</t>
  </si>
  <si>
    <t xml:space="preserve">50917	MSB ACCT - BKK - Regression - 15.3 Stories and Defects	
</t>
  </si>
  <si>
    <t>50516 - Still issues with large batches and will be completing the testing on small batches.</t>
  </si>
  <si>
    <t>50516-Have completed testing for small batches.</t>
  </si>
  <si>
    <t>MSB ACCT - BKK - Christina School District-Review and Enable Beginning Balance feature work (1/3) [timebox]</t>
  </si>
  <si>
    <t>Waiting for dev db restore to start testing.</t>
  </si>
  <si>
    <t xml:space="preserve">Waiting on Dev Deployment </t>
  </si>
  <si>
    <t>Testing in Progress. Tested by Client QA (Wes)</t>
  </si>
  <si>
    <t xml:space="preserve">Testing to be completed today. </t>
  </si>
  <si>
    <t>MSB ACCT - BKK - Christina School District-Review and Enable Beginning Balance feature work (2/3) [timebox]</t>
  </si>
  <si>
    <t>Completed verifications for 10 out of 18 schools.</t>
  </si>
  <si>
    <t xml:space="preserve">Dev complete. Completed POV with pramod.  </t>
  </si>
  <si>
    <t>Ready For Testing. Added test cases.</t>
  </si>
  <si>
    <t>Testing Completed</t>
  </si>
  <si>
    <t xml:space="preserve">26389	</t>
  </si>
  <si>
    <t>MSB ACCT BKK - Error in the Bank Rec. process, 4th step if the school created user id does not exist</t>
  </si>
  <si>
    <t>https://dev.azure.com/heartlandschools/Accounting/_git/MSBAccounting-NewSchoolBooks/pullrequest/46180</t>
  </si>
  <si>
    <t>Change the created by from Beg bal creator to current user</t>
  </si>
  <si>
    <t xml:space="preserve">Review in process.  </t>
  </si>
  <si>
    <t>Need discussion about changes with Qadir.</t>
  </si>
  <si>
    <t>Review completed.</t>
  </si>
  <si>
    <t xml:space="preserve">PR completed </t>
  </si>
  <si>
    <t xml:space="preserve">Waiting to be tested.  </t>
  </si>
  <si>
    <t>https://dev.azure.com/heartlandschools/Accounting/_git/MSBAccounting-NewSchoolBooks/pullrequest/46228</t>
  </si>
  <si>
    <t>Could not complete testing as we took a bit more time than expected to complete testing.</t>
  </si>
  <si>
    <t xml:space="preserve">Worked on this. Still in progress.  
SP's completed.  Going through the functionalities. 
</t>
  </si>
  <si>
    <t>Continued on the Story 50907. Will be pushing the changes tomorrow.</t>
  </si>
  <si>
    <t>No updates. Was working on Import issues on Cert.</t>
  </si>
  <si>
    <t>ready to have a POV with Pramod.</t>
  </si>
  <si>
    <t xml:space="preserve">POV with pramod.  Small changes to be made. 
Modification to send only the editied line items. </t>
  </si>
  <si>
    <t>Testing in Progress- Have tested for small bactches need to verify for large batches</t>
  </si>
  <si>
    <t>MSB ACCT - BKK - Regression 
- Import MSB Batches</t>
  </si>
  <si>
    <t xml:space="preserve">Testing on CERT in progress.  migration issue resolved.  </t>
  </si>
  <si>
    <t xml:space="preserve">Rijo- Issues found on CERT with Payment Items being highlighted in the wrong instance. 
Sowjanya - Still working on it . batches created on MSB. Still waiting on import on Accounting side. 
</t>
  </si>
  <si>
    <t xml:space="preserve">Stil working on Import from MSB few test
 case are pending and batches are 
created need to veriy it in import from MSB </t>
  </si>
  <si>
    <t>Testing is inprogres In cert environment ,large batches for Adams Elementary 3rd Party Fees Test school is not working getting
 an internal error .Batch-1047msbcert14,
964msbcert14</t>
  </si>
  <si>
    <t>Currently waiting for large batches to setteled on CERT to complete the verification.</t>
  </si>
  <si>
    <t>Made a fix for large batch issue and red highlight UI issues found on Cert - Rijo.</t>
  </si>
  <si>
    <t xml:space="preserve">Closing this story as the fixes for this are completed and tested.  </t>
  </si>
  <si>
    <t>SRX28579</t>
  </si>
  <si>
    <t xml:space="preserve">	MSB ACCT - BKK - 'Use Deposit Date' selected while Importing MSB Batch changes to current date in the imported bank deposit record</t>
  </si>
  <si>
    <t xml:space="preserve">No changes to be done here. Fix has already been made in the current release. Unable to replicate on DEV. 
Was able to replicate locally with the old code and old dB.  </t>
  </si>
  <si>
    <t xml:space="preserve">	MSB ACCT - PlatOps/DBA KT for 49897 (Prerequisite) 20.1 SP 1</t>
  </si>
  <si>
    <t xml:space="preserve">Build pipeline completed for Alpine. need to deploy to QA to verify the build is good. Pipeline has run succesffulyy.  </t>
  </si>
  <si>
    <t xml:space="preserve">Build pipeline in testing.  Needs some changes. </t>
  </si>
  <si>
    <t>Qadir PTO</t>
  </si>
  <si>
    <t xml:space="preserve">Will continue working on this today.  
Tested locally.  Need to test deployment scripts.  </t>
  </si>
  <si>
    <t>Close this</t>
  </si>
  <si>
    <t>MSB ACCT - BKK - AlpineNine-SSO login works fine in the AlpineNine version (Prerequisite)</t>
  </si>
  <si>
    <t>Story completed. No PR and testing as these will be covered as a part of upcoming story.</t>
  </si>
  <si>
    <t xml:space="preserve">No progress today. Work on building pipeline took priortiy as Moose was only goign to be in office until today. </t>
  </si>
  <si>
    <t xml:space="preserve">Code cleanup.
Ready POV
</t>
  </si>
  <si>
    <t xml:space="preserve">found a bug in logout process on MSB Side </t>
  </si>
  <si>
    <t xml:space="preserve">Logout process bug fixed. Fixing registration. </t>
  </si>
  <si>
    <t>POV waiting approval .</t>
  </si>
  <si>
    <t>Testing in progress. 
Could not complete testing as we took a bit more time than expected to complete testing.</t>
  </si>
  <si>
    <t xml:space="preserve">No issues with Bank Rec </t>
  </si>
  <si>
    <t>POV completed, Data fix queries needs to be executed on Dev environment to start testing.</t>
  </si>
  <si>
    <t>Qadir needs to execute datafix query after review.</t>
  </si>
  <si>
    <t xml:space="preserve">Data Fix query executed.
Waiting on testing. </t>
  </si>
  <si>
    <t xml:space="preserve">Have completed for 6 schools remaining  30 schools need to test -Testing in progress. </t>
  </si>
  <si>
    <t>MSB Accounting 20.1 Sprint 1 Stretch</t>
  </si>
  <si>
    <t>MSB ACCT - BKK - [Analysis Only] Beginning Balance Doubled on Cash GL (Pleasant Grove HS)</t>
  </si>
  <si>
    <t>Analysis completed and no beginning balance doubling issues are observed while the regular year end process were verified for the current and previous year. So no code changes and PR.  Defect closed.</t>
  </si>
  <si>
    <t>Started analysing, Trying to replicate the issue in local.</t>
  </si>
  <si>
    <t>Will be closing this and will be creating new defects for the other related issues. 
The current defect is not replicating.</t>
  </si>
  <si>
    <t>MSB ACCT - BKK - BouncyCastle.Crypto - Missing reference fixes</t>
  </si>
  <si>
    <t>https://dev.azure.com/heartlandschools/Accounting/_git/MSBAccounting-NewSchoolBooks/pullrequest/46183</t>
  </si>
  <si>
    <t>Another package has a dependency. (iTextSharp)</t>
  </si>
  <si>
    <t>PR completed.</t>
  </si>
  <si>
    <t>Ready for Testing in DEV.</t>
  </si>
  <si>
    <t>MSB ACCT - BKK - Change PO Item Amounts to Negative for Credits (Thatcher USD)</t>
  </si>
  <si>
    <t>Got new request from customer as re-enabling the printed computer checks. Completed the changes and waiting for customer confirmation.</t>
  </si>
  <si>
    <t xml:space="preserve">Created a data Fix query.  
Verified locally.  
Qadir to run query on DEV. </t>
  </si>
  <si>
    <t>Prod DB request made. Waiting on completion</t>
  </si>
  <si>
    <t>Scripts have been run on PROD . Waiting on Custopmer confirmation</t>
  </si>
  <si>
    <t>MSB ACCT - BKK - [Regression] Duplicate sequence numbers on MSB Batches and blinking payment item rows after clicking on "needs review" items</t>
  </si>
  <si>
    <t>https://dev.azure.com/heartlandschools/Accounting/_git/MSBAccounting-NewSchoolBooks/pullrequest/46182</t>
  </si>
  <si>
    <t>Testing completed and defect closed.</t>
  </si>
  <si>
    <t xml:space="preserve">24838	</t>
  </si>
  <si>
    <t>Added to stretch and started working on last day.</t>
  </si>
  <si>
    <t xml:space="preserve">Just started analysis.  </t>
  </si>
  <si>
    <t xml:space="preserve">Started anlaysing this.  Started analysis.  </t>
  </si>
  <si>
    <t>Escalation reported and added to stretch and started working on last day.</t>
  </si>
  <si>
    <t>MSB ACCT - BKK - [Regression] Duplicate sequence
 numbers on MSB Batches and blinking payment item
 rows after clicking on "needs review" items</t>
  </si>
  <si>
    <t>Due to high load of batches, sequence number was running into concurrency issue, which cause returning same sequence number for more than 1 batch.</t>
  </si>
  <si>
    <t xml:space="preserve">This was an existing issue in the application and was resolved in the last sprint during development.  This issue will be fixed with the current release. </t>
  </si>
  <si>
    <t>This is about analysis only. No beginning balance doubling issues are observed while the regular year end process were verified for the current and previous year.</t>
  </si>
  <si>
    <t xml:space="preserve">This was added on the last day of the sprint. We've not been able to look into it completely since we're waiting on PROD data. </t>
  </si>
  <si>
    <t>We were showing the beg balance creator name in the UI. And during bank rec, if the creator user is deleted, it was throwing an error.</t>
  </si>
  <si>
    <t>Identified iTextSharp is having dependency on old BouncyCastle.Crypto package. After updating the iTextSharp version to 5.5.13.4, the compatible BouncyCastle.Cryptography dependency got automatically included and these updates fixed the reference issue.</t>
  </si>
  <si>
    <t xml:space="preserve">MSB Accounting 15.3 Sprint 3
</t>
  </si>
  <si>
    <t>Rijo/ Sushmitha</t>
  </si>
  <si>
    <t>MSB ACCT - Import From MSB - Performance Issues (Testing &amp; Resolving Test Issues Found Only)</t>
  </si>
  <si>
    <t>https://dev.azure.com/heartlandschools/Accounting/_git/MSBAccounting-NewSchoolBooks/pullrequest/45855</t>
  </si>
  <si>
    <t>Couldn't finish it, found more performance issue on UI as well as mapping when the data keeps growing. Worked on other areas to improve performance, which wasn't expected at the start.</t>
  </si>
  <si>
    <t xml:space="preserve">Rijo : Waiting on Pramod for POV
Sushmitha :  Setup Data on MSB for Testing.  </t>
  </si>
  <si>
    <t xml:space="preserve">Rijo: Shared POV on dev channel, waiting for approval from Jeanette.
Sushmitha:  Transactions made on DEV for Testing.  </t>
  </si>
  <si>
    <t xml:space="preserve">Started testing, import issue still exist. Not able to import larger batches. </t>
  </si>
  <si>
    <t xml:space="preserve">Both Sushmitha and Rijo on PTO. </t>
  </si>
  <si>
    <t>Need to check about the dev deployment.</t>
  </si>
  <si>
    <t xml:space="preserve">Change on the JS file to remove the line items being sent over. </t>
  </si>
  <si>
    <t>Found 1 issue with Mapping MSB gl accounts. Working on the bounce back.</t>
  </si>
  <si>
    <t xml:space="preserve">Still Taking time with Mapping. Got issues on CERT. </t>
  </si>
  <si>
    <t xml:space="preserve">Issues with Casting on the Account Id to string. 
</t>
  </si>
  <si>
    <t xml:space="preserve">Still being tested on DEV. </t>
  </si>
  <si>
    <t>SRX28472</t>
  </si>
  <si>
    <t>MSB ACCT - BKK - Duplicate Check Showing on Bank Rec Preview (East Hartford)</t>
  </si>
  <si>
    <t xml:space="preserve">Dupe check entries. 
Feature flag needs to be set.  </t>
  </si>
  <si>
    <t>Qadir to review the queries</t>
  </si>
  <si>
    <t>Data fix queries executed on prod db. Waiting for Pramod's confirmation on the changes.</t>
  </si>
  <si>
    <t xml:space="preserve">Waiting on Customer Confirmation. </t>
  </si>
  <si>
    <t xml:space="preserve">Closed out because we havent received any feedback </t>
  </si>
  <si>
    <t xml:space="preserve">	SRX28445</t>
  </si>
  <si>
    <t>MSB Accounting - Syncs Not Running Properly</t>
  </si>
  <si>
    <t>Closed escalation. No changes in this sprint, was waiting to see the logs for a few days.</t>
  </si>
  <si>
    <t xml:space="preserve">No progress on this.  </t>
  </si>
  <si>
    <t xml:space="preserve">Switched the jobs back to a01. </t>
  </si>
  <si>
    <t>Need to check job status on prod, get a confirmation from RJ and close it.</t>
  </si>
  <si>
    <t xml:space="preserve">MSB Accounting 15.3 Sprint 3 Stretch
</t>
  </si>
  <si>
    <t xml:space="preserve">	MSB ACCT - Bank Deposit Entry - Resolve Performance Issues (15.4)</t>
  </si>
  <si>
    <t>Didn't get enough time to work on this item. Was focusing on Import page performance issue and regression.</t>
  </si>
  <si>
    <t xml:space="preserve">Looking for a different approach rather than a SP.  </t>
  </si>
  <si>
    <t>Rijo: Tried the indexes, made it faster, but not even close enough. Started moving operations to SPs.</t>
  </si>
  <si>
    <t>Moved functinalities to SP. Will be done by monday.</t>
  </si>
  <si>
    <t>Rijo on PTO.</t>
  </si>
  <si>
    <t>No Progress.  Performance on Import MSB was being worked on.</t>
  </si>
  <si>
    <t>No Progress.  Performance on Import MSB and regression test was being worked on.</t>
  </si>
  <si>
    <t xml:space="preserve">	MSB ACCT - BKK - AlpineNine-SSO login works fine in the AlpineNine version (Prerequisite)</t>
  </si>
  <si>
    <t xml:space="preserve">
This story involves the application calling API's on MSB which were blocked by the WAF.  WAF blocking was shared with the MSB team, and it was resolved by the Platops team. We've also had escalations and stories on higher priority to handle than this.  </t>
  </si>
  <si>
    <t>No Progress.</t>
  </si>
  <si>
    <t xml:space="preserve">Got the WAF blocking cleared.  
URL is currently not redirecting back to Accounting.  Investigating it. </t>
  </si>
  <si>
    <t>Redirect url is same. Still investigating the issue.</t>
  </si>
  <si>
    <t xml:space="preserve">Again facing WAF issues. Posted on the Sheet. </t>
  </si>
  <si>
    <t xml:space="preserve">WAF issue was resolved. Need to test further. </t>
  </si>
  <si>
    <t xml:space="preserve">started working on this from scratch again. Got the flow working till getting the user claims from the user API.  </t>
  </si>
  <si>
    <t xml:space="preserve">All blocks cleared working on the functionality to link existing users with the SSO. </t>
  </si>
  <si>
    <t xml:space="preserve">	MSB ACCT - BKK - Christina School District-Review and Enable Beginning Balance feature work (1/3) </t>
  </si>
  <si>
    <t>This is about beginning balance update verifications. No code changes and no PR. Dev testing completed and waiting for latest db restore to start QA testing.</t>
  </si>
  <si>
    <t>Qadir : Worked on getting the PROD DB copy for verifications</t>
  </si>
  <si>
    <t xml:space="preserve">No Progress on this today. </t>
  </si>
  <si>
    <t>Completed verifications for all schools. Will be connecting with Pramod for the POV.</t>
  </si>
  <si>
    <t xml:space="preserve">POV completed. Waiting on Deployment.  </t>
  </si>
  <si>
    <t xml:space="preserve">Waiting on DB Restore. </t>
  </si>
  <si>
    <t>Qadir to restore on DEV. Should be ready for Testing.</t>
  </si>
  <si>
    <t xml:space="preserve">Database ready on DEV. Holding off on swithcing DB on DEV due ot testing on Import MSB Batch. </t>
  </si>
  <si>
    <t>Still holding off for testing Import From MSB</t>
  </si>
  <si>
    <t>Pramod</t>
  </si>
  <si>
    <t>SRX27933</t>
  </si>
  <si>
    <t xml:space="preserve">	MSB ACCT - BKK - Change PO Item Amounts to Negative for Credits (Thatcher USD)</t>
  </si>
  <si>
    <t xml:space="preserve">Total 3 POs that needed Invoices and checks to be created with negative credits.
Pramod has got confirmation from customer-closed 2 of 3 POs - setup on CERT with negative credits, 
Also got the third and final scan set of PO, Invoices,Credits
Pramod has completed the analysis and dataset breakdown for the PO, invoices and checks-waiting on Customer for answers on few questions to proceed creating the PO, Invoices and checks with credits on CERT Accounting </t>
  </si>
  <si>
    <t xml:space="preserve">Still waiting on customer </t>
  </si>
  <si>
    <t xml:space="preserve">Jeanette let us know that we are going to put this on hold. </t>
  </si>
  <si>
    <t>Closed the escalation and created a defect.</t>
  </si>
  <si>
    <t>MSB ACCT - BKK - Beginning balance data fix query verification</t>
  </si>
  <si>
    <t>This is a task.
It is about beginning balance update verifications. No code changes and no PR. Sheldon school verification is pending.</t>
  </si>
  <si>
    <t xml:space="preserve">Reviewed Beginning balances that need to be run. </t>
  </si>
  <si>
    <t>Total of 5 tenants in this district. We already ran 1 query on prod.
 Found 1 more issue on 1 of the school and fixed it, waiting for Qadir's review.</t>
  </si>
  <si>
    <t xml:space="preserve">Shared Document with Qadir. 2/5 schools review completed. . </t>
  </si>
  <si>
    <t>Tenant 334 and 337 data fix queries needs to be execute on PROD.</t>
  </si>
  <si>
    <t xml:space="preserve">Verified the schools 
Sheldon is still pending. 
Other schools have been verified.  </t>
  </si>
  <si>
    <t>MSB ACCT - BKK - Automation Smoke Tests - Entry Screen - Cash Transfer Entry</t>
  </si>
  <si>
    <t>https://dev.azure.com/heartlandschools/Accounting/_git/AccountingAutomation/pullrequests?_a=completed</t>
  </si>
  <si>
    <t>Test scripts not running in Browserstack and no issues found while running in Local browser - owen(Client QA manager). PR not completed.</t>
  </si>
  <si>
    <t>PR approved and story closed.
Issue was with captcha on MSB side, needed to disable it to run the tests.</t>
  </si>
  <si>
    <t xml:space="preserve">26348	</t>
  </si>
  <si>
    <t>Waiting on Customer feedback. Defect was created from escalation. Our part is completed and waiting for feedback from customer.</t>
  </si>
  <si>
    <t>Customer cancelled 3rd PO. Created the 2 POs received from customer on Prod. Waiting for the customer to create checks for the 5 invoices from these 2 Pos.</t>
  </si>
  <si>
    <t xml:space="preserve">Waiting on Customer feedback </t>
  </si>
  <si>
    <t>MSB ACCT - BKK - Review Snyk Scanning Findings [Timebox]</t>
  </si>
  <si>
    <t>https://dev.azure.com/heartlandschools/Accounting/_git/MSBAccounting-NewSchoolBooks/pullrequest/46001</t>
  </si>
  <si>
    <t xml:space="preserve">Created PR. 
Time box item, closed. </t>
  </si>
  <si>
    <t xml:space="preserve">Completed snyk setup on IDE.  
2 issues needed to be completed.  
</t>
  </si>
  <si>
    <t>Completed fix for code analysis issues and will share the branch details for internal code review.
Need to discuss with James about iTextSharp, BouncyCastle libraries version issues.</t>
  </si>
  <si>
    <t xml:space="preserve">Removed unused bouncy castle package.
Completed POV with Pramod. </t>
  </si>
  <si>
    <t>Got an update on itextSharp. We need to remove it from the application.</t>
  </si>
  <si>
    <t xml:space="preserve">PR to be made. </t>
  </si>
  <si>
    <t xml:space="preserve">Waiting on POV from jeanette. </t>
  </si>
  <si>
    <t xml:space="preserve">PR Created. needs to be deployed to DEV. </t>
  </si>
  <si>
    <t>Regression test story. No code changes and PR.</t>
  </si>
  <si>
    <t>Completed all menu items and closed the story.</t>
  </si>
  <si>
    <t>Completed GL Analysis Reports, GL Reports - Others and Financial Reports menu items.</t>
  </si>
  <si>
    <t>Completed banking / Vendor/ Purchase Order Reports.  Issue found on Cash disbursement Report with Void Checks</t>
  </si>
  <si>
    <t>50911	MSB ACCT - BKK - Regression - Entry Menu (Not Import MSB Batches)</t>
  </si>
  <si>
    <t>Rijo - Completed 7 items from entries. Story completed.
sushmitha - completed 4 entry items Bank Deposit Entry , Adjustment , Transfer , Cash Transfer</t>
  </si>
  <si>
    <t xml:space="preserve">Started working on this.  </t>
  </si>
  <si>
    <t>Sowjanya/ Pramod</t>
  </si>
  <si>
    <t>SB ACCT - BKK - Regression - Configuration Menu</t>
  </si>
  <si>
    <t>Regression test story. No code changes and PR. Story closed</t>
  </si>
  <si>
    <t xml:space="preserve">Districts and Schools Menu completed.  </t>
  </si>
  <si>
    <t>We had a migration issue on Cert. Could not complete 2 stories related to Import Msb batch page.</t>
  </si>
  <si>
    <t>Have completed
 50705,5050515 MSB ACCT
 - BKK - Feature
 Flag to clear out
 PY Transactions
 from Void Check
 Entry UI
50514-Is in progress</t>
  </si>
  <si>
    <t xml:space="preserve">50514/ 50515/50705-Completed testing 
Import from MSB changes pending to be tested. </t>
  </si>
  <si>
    <t xml:space="preserve">	MSB ACCT - BKK - Regression - Administration Menu</t>
  </si>
  <si>
    <t>Completed -MSB
 ACCT - BKK - 
Regression - 
Administration 
Menu</t>
  </si>
  <si>
    <t>MSB ACCT - BKK - Regression - Import MSB Batches</t>
  </si>
  <si>
    <t>Couldn't start this item as the import msb batch page was not loading due to the migration issue on cert.</t>
  </si>
  <si>
    <t>Bounceback/Sub-Defect</t>
  </si>
  <si>
    <t>When Importing Batch with 1000+ Payment line items , getting "Error detail not sent by server." error message and Batches are not imported</t>
  </si>
  <si>
    <t>Significant</t>
  </si>
  <si>
    <t>Open</t>
  </si>
  <si>
    <t>Performance issue when passing data from UI to C# code. Fixed and verified.</t>
  </si>
  <si>
    <t>Team</t>
  </si>
  <si>
    <t>Closed/Rejected</t>
  </si>
  <si>
    <t>Its a new requirement from the customer. Currently we don't allow adding any negative amounts.</t>
  </si>
  <si>
    <t>SRX28445</t>
  </si>
  <si>
    <t>Carried from last sprint. Issue was already resolved. Kept it in open state to see the logs for few days to make sure server is not getting any issues.</t>
  </si>
  <si>
    <t>Deleted checks are appearing in the bank reconciliation, which is an existing defect that needs to be fixed. We made a data fix to resolve the issue temporarily.</t>
  </si>
  <si>
    <t>SRX28490</t>
  </si>
  <si>
    <t>MSB ACCT - BKK - [Walnut Valley / Diamond Bar HS] - MSB Batch Import Error for 11/4 (864 payments)</t>
  </si>
  <si>
    <t>It is a known issue.The stories are already in progress to fix the performance issue for large batches. Created it as a place holder for specific customer issue.</t>
  </si>
  <si>
    <t xml:space="preserve">MSB Accounting 15.3 Sprint 2
</t>
  </si>
  <si>
    <t>MSB ACCT - BKK - Tenant337-Sheldon HS-Fix Beginning balance issues</t>
  </si>
  <si>
    <t>Only testing scope in this sprint.
No PR Required. Script to Deploy to DEV</t>
  </si>
  <si>
    <t xml:space="preserve">Made updates on DEV. Completed the verifications.  Closing the stroy in Axosoft. </t>
  </si>
  <si>
    <t>MSB ACCT - BKK - [Regression] No access to existing District Admin users to "School Groups" menu</t>
  </si>
  <si>
    <t>Handle permission insertion via sql insert queries instead of adding code logics.</t>
  </si>
  <si>
    <t>https://dev.azure.com/heartlandschools/Accounting/_git/MSBAccounting-NewSchoolBooks/pullrequest/45457</t>
  </si>
  <si>
    <t>Story closed.</t>
  </si>
  <si>
    <t xml:space="preserve">Reproduced the issue. After the fix , school Groups was able to test. Closing the defect.  </t>
  </si>
  <si>
    <t>MSB Accounting 15.3 Sprint 2</t>
  </si>
  <si>
    <t>Rijo/ Karthik</t>
  </si>
  <si>
    <t xml:space="preserve">50704	</t>
  </si>
  <si>
    <t>MSB ACCT - Import From MSB - RCA for Performance Issues [Timebox]</t>
  </si>
  <si>
    <t>Its a timebox story to fix the performance issue while importing large batches from MSB. Moved all functinalities from C# code to Stored procedures on DB. Will be closing it at the end of sprint. Dev completed for Import MSB page. Closed it since it is a timebox story. Will be covering PR, review, testing, work on other pages in the upcoming new stories.</t>
  </si>
  <si>
    <t xml:space="preserve">Got the data requested. There are duplicate seq numbers. 
Issue with processing large batches.  
Issue with processing large batches.  </t>
  </si>
  <si>
    <t>Karthik : Working on for converting import from MSB front end logics into SP.
Rijo: Tried bulk insert but didn't work, Currently working on documenting the existing logics.</t>
  </si>
  <si>
    <t xml:space="preserve">Kartik completed code changes. 
Got batch with 2500. 
</t>
  </si>
  <si>
    <t>Karthik - Made changes to the SPs, removed cursor, improving performance now.
Rijo - Testing out changes, and finding differences. 
Fixed issue with picking up mappings, setting bank code, category code, userId. Still analysis going on between current and new process.</t>
  </si>
  <si>
    <t xml:space="preserve">Rijo - Completed Stored Proc Conversion.  
Couldnt Import batches. 
Fixed issues for one of the schools
Creating bank Deposits takes 17 seconds. 
Mapping takes time. </t>
  </si>
  <si>
    <t xml:space="preserve">
Qadir - shared a new migration with Rijo to clear indexes and add indexes on batches table 
Still got an issue with the items showing in Red. </t>
  </si>
  <si>
    <t xml:space="preserve">Implemented changes on friday. 
Working faster.  
PR to be made for dev branch. </t>
  </si>
  <si>
    <t>MSB ACCT - BKK - Feature Flag to clear out PY Transactions from Purchase Order Entry UI</t>
  </si>
  <si>
    <t>https://dev.azure.com/heartlandschools/Accounting/_git/MSBAccounting-NewSchoolBooks/pullrequest/45437</t>
  </si>
  <si>
    <t>Testing completed and story closed.</t>
  </si>
  <si>
    <t>PR completed and waiting for dev deployment to start testing.</t>
  </si>
  <si>
    <t>Started Testing.
 Cannot see older PO's whne flag is flipped back</t>
  </si>
  <si>
    <t>Bounceback created. Karthik will work on this.</t>
  </si>
  <si>
    <t xml:space="preserve">Completed the changes. Qadir to Review. </t>
  </si>
  <si>
    <t>Data is being staged on DEV</t>
  </si>
  <si>
    <t>Verified Bouncebacks , Testing completed</t>
  </si>
  <si>
    <t>MSB ACCT - BKK - Feature Flag to clear out PY Transactions from Void Check Entry UI</t>
  </si>
  <si>
    <t>https://dev.azure.com/heartlandschools/Accounting/_git/MSBAccounting-NewSchoolBooks/pullrequest/45608</t>
  </si>
  <si>
    <t xml:space="preserve">Completed POV with Pramod. Posted Recording on the channel  </t>
  </si>
  <si>
    <t>POV approved by Jeanatte and waiting for internal peer review.</t>
  </si>
  <si>
    <t xml:space="preserve">Peer Review pending </t>
  </si>
  <si>
    <t>Peer review completed, no code changes required. Will be creating PR today.</t>
  </si>
  <si>
    <t>Started Testing.
 Cannot see older Void Checks whne flag is flipped back</t>
  </si>
  <si>
    <t>MSB Accounting 15.3 Sprint 2
Stretch</t>
  </si>
  <si>
    <t>MSB ACCT - BKK - Feature Flag to clear out PY Transactions from Import MSB Batches UI</t>
  </si>
  <si>
    <t>https://dev.azure.com/heartlandschools/Accounting/_git/MSBAccounting-NewSchoolBooks/pullrequest/45609</t>
  </si>
  <si>
    <t>Started working on this. Changes on the stored proc.</t>
  </si>
  <si>
    <t>Completed POV with Pramod and also got approval from Jeanatte. Shared branch details with team for internal peer review.</t>
  </si>
  <si>
    <t>Peer Review Pending.</t>
  </si>
  <si>
    <t>MSBDistrictId updated for Elk Grove district on Dev db, Sushmitha will start testing.</t>
  </si>
  <si>
    <t xml:space="preserve">Qadir to revert deployment so Sushmitha can finalize testing </t>
  </si>
  <si>
    <t xml:space="preserve">MSB Accounting 15.3 Sprint 2 Stretch
</t>
  </si>
  <si>
    <t>Sushmitha4</t>
  </si>
  <si>
    <t>Completed Add Functionality</t>
  </si>
  <si>
    <t>Completed Edit/ Delete/ Journal Functionality. Reversal Scenario pending</t>
  </si>
  <si>
    <t>Completed Edit Notes , View Cash Transfer entry functionalities. Reversal scenario is in progress.</t>
  </si>
  <si>
    <t>Completed Reversal scenario's. Added Test script for creating Computer checks</t>
  </si>
  <si>
    <t xml:space="preserve">Dev Complete.  Peer Review in progress. </t>
  </si>
  <si>
    <t>Peer testing completed. Sushmitha will create a PR.</t>
  </si>
  <si>
    <t xml:space="preserve">PR created. Qadir to reveiw.  </t>
  </si>
  <si>
    <t xml:space="preserve">Qadir to review? </t>
  </si>
  <si>
    <t xml:space="preserve">Issues with BrowserStack. </t>
  </si>
  <si>
    <t>SRX28406</t>
  </si>
  <si>
    <t>MSB ACCT - BKK - Walnut Valley Unified School District, CA (Diamond Bar High School) - Update GL Type for 2 GL Codes</t>
  </si>
  <si>
    <t>Data fix query executed on PROD and closed.</t>
  </si>
  <si>
    <t xml:space="preserve">Closed. </t>
  </si>
  <si>
    <t>SRX28412</t>
  </si>
  <si>
    <t>MSB Acct - Alameda - Encinal JR/SR High - Dup Open Check</t>
  </si>
  <si>
    <t>Found the root cause and created a data-fix query. Also discussed the fix with the Pramod, and he mentioned that before applying the fix, we need clarification from the customer regarding the soft-deleted entries, as this is the second time we are seeing this issue. Currently waiting for customer clarification.</t>
  </si>
  <si>
    <t xml:space="preserve">Waiting for Customer Verification. </t>
  </si>
  <si>
    <t>Customer verification done and closed</t>
  </si>
  <si>
    <t>MSB ACCT - BKK - Bank Req Wizard (Back/Next) Buttons Gray Out with Soft Deleted Opening Check</t>
  </si>
  <si>
    <t>https://dev.azure.com/heartlandschools/Accounting/_git/MSBAccounting-NewSchoolBooks/pullrequest/45703</t>
  </si>
  <si>
    <t>Completed dev changes and POV. Will create a PR to 15.2 release branch.</t>
  </si>
  <si>
    <t>PR created. 
Deployment pending</t>
  </si>
  <si>
    <t xml:space="preserve">	MSB Accounting - Syncs Not Running Properly</t>
  </si>
  <si>
    <t xml:space="preserve">Issue with production server(A01) where the background jobs are enabled.  Its not getting much traffic. Resolved the jobs issue by moving it to 2nd server. Still investigating issue with the server with PlatOps team. </t>
  </si>
  <si>
    <t xml:space="preserve">Saw the logs.  Seems like a01 is not running.  Need to verify with platops. </t>
  </si>
  <si>
    <t xml:space="preserve">Jobs were started on a02, shut down on a01.  
Still trying to figure out why the PROD server isnt logging anything. </t>
  </si>
  <si>
    <t xml:space="preserve">Pramod has gotten second PO setup on CERT, and we need the third PO. Waiting on Customer. </t>
  </si>
  <si>
    <t xml:space="preserve">Pramod got 3rd PO and is setting it up on CERT. </t>
  </si>
  <si>
    <t>SRX28260</t>
  </si>
  <si>
    <t xml:space="preserve">	MSB ACCT - BKK - Check Variance - Incorrect Check Date on Imported Data (East Hartford HS)</t>
  </si>
  <si>
    <t>Closed-  Recieved Feedback from the customer</t>
  </si>
  <si>
    <t xml:space="preserve">	MSB ACCT - BKK - Batch Import Pagination</t>
  </si>
  <si>
    <t>https://dev.azure.com/heartlandschools/Accounting/_git/MSBAccounting-NewSchoolBooks/pullrequest/45781</t>
  </si>
  <si>
    <t xml:space="preserve">Dev Completed - Waiting on the performance issue to be fixed. </t>
  </si>
  <si>
    <t xml:space="preserve">No progress. </t>
  </si>
  <si>
    <t>SSO login blocked due to WAF issue on MSB.</t>
  </si>
  <si>
    <t>Completed verifications for 14 schools out of 18. Will be continued to verify the remaining schools in the next sprint.</t>
  </si>
  <si>
    <t xml:space="preserve">18 Schools mentioned. 
7 Schools completed. 
3 schools not completed Year End. </t>
  </si>
  <si>
    <t xml:space="preserve">8 Schools completed today.  
 1 School pending in the list
</t>
  </si>
  <si>
    <t>SRX28442</t>
  </si>
  <si>
    <t>MSB Acct - BKK - Walnut Valley - Diamond Bar HS - Remove Deleted Opening Check from Database</t>
  </si>
  <si>
    <t>Created ticket to get duplicate check details from PROD db.</t>
  </si>
  <si>
    <t xml:space="preserve">Update completed. 
Waiting for verification.  </t>
  </si>
  <si>
    <t xml:space="preserve">Added "School Groups" menu permission for existing district admin roles via SQL insert queries and moved this defect to the next sprint to complete testing. </t>
  </si>
  <si>
    <t>MSB ACCT - BKK - Check Variance - Incorrect Check Date on Imported Data (East Hartford HS)</t>
  </si>
  <si>
    <t xml:space="preserve">This was a User Error, and we had to spend time investigating the cause of the variance in bank rec because of a check that was entered by them as an Opening check instead of a manual check. </t>
  </si>
  <si>
    <t xml:space="preserve">MSB ACCT - BKK - "Next" button in Bank Rec Wizard remains disabled if navigated to previous steps from items clearing wizard step	
</t>
  </si>
  <si>
    <t xml:space="preserve">If there is any variance in the Bank Reconciliation, the Next button should be disabled. However, it was not getting enabled again when navigating back to the previous steps. So, I fixed it by ensuring the Next button is always enabled for steps 1 and 2.
</t>
  </si>
  <si>
    <t>With the new year End process where the feature flag is set to v1 , when Hide Prior Year Transactions in Entry UI is set to False prior year entries should reappear in void check entry screen</t>
  </si>
  <si>
    <t>The IsMonthEnd filter was applied in the existing design, so the previous year entries were not showing even when the flag was set to false. Removed the IsMonthEnd filter to fix this issue.</t>
  </si>
  <si>
    <t>With the new year End process where the feature flag is set to v1 , when Hide Prior Year Transactions in Entry UI is set to False prior year entries should reappear in Purchase Order screen</t>
  </si>
  <si>
    <t>With the new year-end process, the previous year transactions are soft deleted. Because of this, the previous year entries were not showing even when the feature flag was set to false. Disabled the soft-delete filter to fix this issue.</t>
  </si>
  <si>
    <t xml:space="preserve">Root cause yet to be identified. This is an issue on PROD.For now issue has been mitigated by making the other server handle the load. </t>
  </si>
  <si>
    <t>Deleted checks are appearing in the bank reconciliation, which is an existing defect that needs to be fixed. Since the customer was blocked from closing the reconciliation, we made a data fix to resolve the issue temporarily.</t>
  </si>
  <si>
    <t xml:space="preserve">MSB Acct - Alameda - Encinal JR/SR High - Dupe Open Check	
</t>
  </si>
  <si>
    <t>The customer accidentally deleted an open check. So we applied a data fix to resolve the variance issue in the bank reconciliation.</t>
  </si>
  <si>
    <t>We received a request from the customer to change the account type for 2 accounts. So, we made a data fix to update the account types as requested.</t>
  </si>
  <si>
    <t xml:space="preserve">MSB Accounting 15.3 Sprint 1 </t>
  </si>
  <si>
    <t>SRX28027</t>
  </si>
  <si>
    <t>MSB Accounting - Receipting - Anderson W Clark Magnet - Closeout 204</t>
  </si>
  <si>
    <t>Data fix queries exected on PROD.</t>
  </si>
  <si>
    <t xml:space="preserve">Invesitgation into curent prod data. </t>
  </si>
  <si>
    <t xml:space="preserve">Queries to be run on PROD. 
Will make the request today. </t>
  </si>
  <si>
    <t>Request made. Waiting on DBA team to execute.</t>
  </si>
  <si>
    <t xml:space="preserve">Queries run on PROD. Pramod to verify </t>
  </si>
  <si>
    <t>MSB ACCT - BKK - Tenant210 - Amount difference of $0.20 in CY report</t>
  </si>
  <si>
    <t>Only testing scope in this sprint.</t>
  </si>
  <si>
    <t>Sushmitha is testing on DEV.
Working as expected. Final round of testing.</t>
  </si>
  <si>
    <t xml:space="preserve">On Hold because of issues on MSB </t>
  </si>
  <si>
    <t>SRX28194</t>
  </si>
  <si>
    <t>MSB ACCT - BKK - Elk Grove - Batch Import Error</t>
  </si>
  <si>
    <t>https://dev.azure.com/heartlandschools/Accounting/_git/MSBAccounting-NewSchoolBooks/pullrequest/45269</t>
  </si>
  <si>
    <t>Closed the escalation and created a Defect and a Story to handle the performance issues.</t>
  </si>
  <si>
    <t xml:space="preserve">Identified root cause.  Data is a lot. </t>
  </si>
  <si>
    <t xml:space="preserve">Removed the reference for Import From MSB Headers and Lines.  Code Review/  PR Pending.  </t>
  </si>
  <si>
    <t xml:space="preserve">Ready for Testing. Need to stage a large amount of data.  </t>
  </si>
  <si>
    <t xml:space="preserve">Jobs not running. Not been able to test. </t>
  </si>
  <si>
    <t>On Hold because of issues on MSB. Issues with Migration ,</t>
  </si>
  <si>
    <t xml:space="preserve">Made Transactions 
Unable to import. Found an issue.  
</t>
  </si>
  <si>
    <t xml:space="preserve">Got batches - Facing issues with timeout locally. Facing issue s with the large size of the data.  
</t>
  </si>
  <si>
    <t>Tried PK change to a new index from the GUID, but no visible diffrence in insertion time. Trying bulk insertion now. 
Pagination is possible, but we need to move our complex mapping logic and calculations to SP and use it from DB.</t>
  </si>
  <si>
    <t xml:space="preserve">Still working on this . Unable to replicate the issue.  </t>
  </si>
  <si>
    <t>Testing scope only in this sprint. Had to restore dev db to match the current production db state and took some time to get it in.</t>
  </si>
  <si>
    <t>Havent heard back from DBA team about DEV Restore.</t>
  </si>
  <si>
    <t xml:space="preserve">Still Waiting on the DB from the DBA team. </t>
  </si>
  <si>
    <t xml:space="preserve">DB Team has restored DB. Need to run scripts for verification. </t>
  </si>
  <si>
    <t xml:space="preserve">Qadir to coordinate with Sushmitha on this.  </t>
  </si>
  <si>
    <t xml:space="preserve">DBA team did not provide access to newly restored DB. We now have access. </t>
  </si>
  <si>
    <t xml:space="preserve">Sushmitha verified data before fix. Qadir to run scripts on DEV to test. </t>
  </si>
  <si>
    <t xml:space="preserve">Qadir Tested locally and no issues found. 
Qadir to investigate DEV DB. </t>
  </si>
  <si>
    <t xml:space="preserve">Still need to check the DEV DB.  Not looked into it today. </t>
  </si>
  <si>
    <t>DEV DB been updated. Waiting on testing.</t>
  </si>
  <si>
    <t xml:space="preserve">Queries did not work . Issue with the beginning balance. </t>
  </si>
  <si>
    <t>SRX28142</t>
  </si>
  <si>
    <t xml:space="preserve">	MSB ACCT - BKK - Duplicate Opening Check Entries Post Implementation (Longwood)</t>
  </si>
  <si>
    <t>Queries run on PROD. Waiting on verification</t>
  </si>
  <si>
    <t xml:space="preserve">Asked Nadia to verify. Havent heard back . </t>
  </si>
  <si>
    <t xml:space="preserve">Nadia verified and is still seeing the issue with Variance. 
Will have to look at it again.  </t>
  </si>
  <si>
    <t xml:space="preserve">Followed up and customer confirmed things were good. </t>
  </si>
  <si>
    <t>Wes(Client QA)</t>
  </si>
  <si>
    <t>MSB ACCT - BKK - Regression - Sync Settings / Background Jobs</t>
  </si>
  <si>
    <t xml:space="preserve">Regression Story. Only Testing </t>
  </si>
  <si>
    <t xml:space="preserve">sushmitha - Receipt entry / Checks/  Void Checks completed. 
karthik- PO /  Invoice / Manual Check Entry.  Completed. </t>
  </si>
  <si>
    <t xml:space="preserve">Karthik - Completed. 
Found one observation on Invoice screen when using the PO, It missed getting the account number/ Authorized by  </t>
  </si>
  <si>
    <t>Rijo/Sushmitha</t>
  </si>
  <si>
    <t>Completed verifying GL Analysis / Other  reports in progress.</t>
  </si>
  <si>
    <t xml:space="preserve">Rijo - Completed GL Reports Other. PO Reports. Working on PY Reports. 
Sushmitha - Financial / Banking Reports.  
Observation - Receipt Entry Reports not seeing reversals. 
</t>
  </si>
  <si>
    <t xml:space="preserve">Sushmitha - Completed Vendor Reports.  
</t>
  </si>
  <si>
    <t xml:space="preserve">Karthik - Started working on this. </t>
  </si>
  <si>
    <t xml:space="preserve">Karthik - Completed testing period end menu. </t>
  </si>
  <si>
    <t>Sushmitha - Testing in progress.</t>
  </si>
  <si>
    <t>MSB ACCT - BKK - Regression - Configuration Menu</t>
  </si>
  <si>
    <t>Districts/School Testing Completed.</t>
  </si>
  <si>
    <t>MSB ACCT - BKK - Regression - 15.2 Stories and Defects</t>
  </si>
  <si>
    <t xml:space="preserve">Unable to continue testing. Facing issue with testing. </t>
  </si>
  <si>
    <t>On Hold, Sushmitha is on PTO.</t>
  </si>
  <si>
    <t xml:space="preserve">Testing completed.  Defect found . Being documented on Axosoft now. </t>
  </si>
  <si>
    <t>MSB Accounting 15.3 Sprint 1 Stretch</t>
  </si>
  <si>
    <t>PR completed and waiting for Dev deployment.</t>
  </si>
  <si>
    <t xml:space="preserve">Completed Dev changes. Dev Testing in progress. Need a clarification from Pramod. </t>
  </si>
  <si>
    <t>Completed POV with Pramod and Shared video for client POV's</t>
  </si>
  <si>
    <t>Got approval from Jeanette. Need to seperate out current release branch before creating PR. Waiting for Qadir.</t>
  </si>
  <si>
    <t xml:space="preserve">PR created. Waiting on deployment. </t>
  </si>
  <si>
    <t xml:space="preserve">SRX27933	</t>
  </si>
  <si>
    <t>Got confirmation from the customer for comleted POs. Received the rest of PO s on sprint end day, will test out those on the next sprint.</t>
  </si>
  <si>
    <t>Was waiting on Nadia's confirmation on Sample reports.</t>
  </si>
  <si>
    <t xml:space="preserve">Still waiting on an update from the customer.  </t>
  </si>
  <si>
    <t>SRX28070</t>
  </si>
  <si>
    <t xml:space="preserve">	MSB ACCT - BKK - Fix Beginning/Ending Balances (Elk Grove)</t>
  </si>
  <si>
    <t>Escalation was split into 8 small stories for 8 schools with issues. Completed 6 and 2 are waiting for info from customer.Closed escalation with those stories.</t>
  </si>
  <si>
    <t xml:space="preserve">Waiting on Eddy  and Franklin to get back </t>
  </si>
  <si>
    <t>SRX28211</t>
  </si>
  <si>
    <t xml:space="preserve">	MSB ACCT - BKK - Walnut Valley Unified School District, CA - BB SchoolBooks files cannot be imported into MSB Accounting</t>
  </si>
  <si>
    <t>WAF issue, resolved and user is able to import now. No code changes and PR.</t>
  </si>
  <si>
    <t xml:space="preserve">Completed - WAF issues. </t>
  </si>
  <si>
    <t xml:space="preserve">Qadir to Connect with Pramod. </t>
  </si>
  <si>
    <t>Root Cause</t>
  </si>
  <si>
    <t xml:space="preserve">Had a discussion with Jeanette. Shared details about balances entered on the bank rec and the opening check to be deleted. </t>
  </si>
  <si>
    <t>Jeanette reached out to the customer. Waiting on response.</t>
  </si>
  <si>
    <t xml:space="preserve">Moved this to the next sprint to complete testing. </t>
  </si>
  <si>
    <t>Dev testing in progress.</t>
  </si>
  <si>
    <t>Made changes for review comments. POV completed with Pramod and shared recording.</t>
  </si>
  <si>
    <t>Dev changes are completed and moved this to the next sprint to complete POV, Peer review and testing.</t>
  </si>
  <si>
    <t>Completed dev changes, currently doing dev testing.</t>
  </si>
  <si>
    <t xml:space="preserve">Completed DEV Testing Changes. </t>
  </si>
  <si>
    <t>Couldn't complete since the focus was on other high priority client escalations.</t>
  </si>
  <si>
    <t>MSB ACCT - BKK - Regression - Receipting Smoke Test</t>
  </si>
  <si>
    <t>MSB Accounting 15.3 Sprint 1</t>
  </si>
  <si>
    <t>MSB ACCT - BKK - Duplicate Batch ID with different Gateway names and same Deposit amount (intermittent)</t>
  </si>
  <si>
    <t>Analysis still going on. Seems like related to performance issue related to Large batch import from MSB(2500 transactions in a single batch)</t>
  </si>
  <si>
    <t>The issue was identified on receipting application side. We found route cause about in the database and created data fix queries. We are currently waiting for customer confirmation on the DB data fixes.</t>
  </si>
  <si>
    <t>MSB ACCT - BKK - Fix Beginning/Ending Balances (Elk Grove)</t>
  </si>
  <si>
    <t>Completed verifications for 6 schools as part of other epic stories  and 2 schools are remaining. Will continue in the next sprint after getting response from the customer.</t>
  </si>
  <si>
    <t>MSB ACCT - BKK - Duplicate Opening Check Entries Post Implementation (Longwood)</t>
  </si>
  <si>
    <t xml:space="preserve">During implementation, Deleted opening checks show up as duplicates on the bank Rec. This is a defect which needs fixing. Data fix to move customer forward will be made.  </t>
  </si>
  <si>
    <t>MSB ACCT - BKK - Walnut Valley Unified School District, CA - BB SchoolBooks files cannot be imported into MSB Accounting</t>
  </si>
  <si>
    <t>Waf issue blocking the import. Resolved and closed escalation.</t>
  </si>
  <si>
    <t>SRX28273</t>
  </si>
  <si>
    <t>MSB ACCT - BKK - Walnut Valley Unified School District, CA (Diamond Bar High School) - Remove MSB Batches with before 10/11/2025</t>
  </si>
  <si>
    <t>Not really a defect. It was a request to remove few batches from UI since they already made those entries manually.</t>
  </si>
  <si>
    <t xml:space="preserve">MSB ACCT - BKK - Elk Grove - Batch Import Errors	
</t>
  </si>
  <si>
    <t>Performance issue due to large batches. They have a batch with 270 transactions and getting db timeout in the import process. Made a story to improve db operations performance and another 1 for pagination in UI to handle UI load time.</t>
  </si>
  <si>
    <t xml:space="preserve">MSB Accounting 15.2 Sprint 3 </t>
  </si>
  <si>
    <t>Rijo/ Qadir</t>
  </si>
  <si>
    <t>SRX28005</t>
  </si>
  <si>
    <t xml:space="preserve">	MSB ACCT - BKK - Unable to Assign GL for Import MSB Batches (Thatcher USD)</t>
  </si>
  <si>
    <t>https://dev.azure.com/heartlandschools/Accounting/_git/MSBAccounting-NewSchoolBooks/pullrequest/45119</t>
  </si>
  <si>
    <t>Escalation closed.</t>
  </si>
  <si>
    <t xml:space="preserve">Query to insert mappings shared with DBA team.  
Migration created for the new proc.
Sushmitha -  Staging data.   </t>
  </si>
  <si>
    <t xml:space="preserve">Deployed to PROD. Waiting on Customer Feedback. Testing on PROC Changes pending.  </t>
  </si>
  <si>
    <t xml:space="preserve">Reviewed with Customer. They seem to have a different idea about how the GL's need to be mapped.  Need to speak with Nadia </t>
  </si>
  <si>
    <t xml:space="preserve">Figured out the issue.  
Data issue from 3rd party!  
Immediate HotIfx. 
</t>
  </si>
  <si>
    <t xml:space="preserve">Made the changes. PR to be made. 
testing in progress on the performance of the mapping.   
</t>
  </si>
  <si>
    <t>In Testing. 
Issues found on DEv with mapping GL's</t>
  </si>
  <si>
    <t>Completed testing.</t>
  </si>
  <si>
    <t>deployed to PROD. 
Waiting on Customer Feedback</t>
  </si>
  <si>
    <t>Holiday/ Qadir PTO</t>
  </si>
  <si>
    <t>MSB ACCT - BKK - SchoolGroups page with 100% browser zoom distorts the control positions</t>
  </si>
  <si>
    <t>https://dev.azure.com/heartlandschools/Accounting/_git/MSBAccounting-NewSchoolBooks/pullrequest/45033</t>
  </si>
  <si>
    <t xml:space="preserve">Fix created and POV Completed.  </t>
  </si>
  <si>
    <t xml:space="preserve">deployed to DEV. 
</t>
  </si>
  <si>
    <t xml:space="preserve">Sushmitha found observations.  
Karthik unable to replicate. </t>
  </si>
  <si>
    <t xml:space="preserve">Completed. Unable to repro minor UI issue. </t>
  </si>
  <si>
    <t>Qadir / Pramod</t>
  </si>
  <si>
    <t>Qadir to get Amounts updated ASAP.</t>
  </si>
  <si>
    <t xml:space="preserve">Completed Verififcations. 
Working as expected.
 </t>
  </si>
  <si>
    <t xml:space="preserve">Pramod working on replicating and checking. </t>
  </si>
  <si>
    <t xml:space="preserve">No Progress on this yest. 
</t>
  </si>
  <si>
    <t>No update on this yet.</t>
  </si>
  <si>
    <t xml:space="preserve">Waiting on Nadia on customer details about how many invoices they need. </t>
  </si>
  <si>
    <t>Data fix query is ready and waiting for customer confirmation about the data fix.</t>
  </si>
  <si>
    <t xml:space="preserve">Investigation started. </t>
  </si>
  <si>
    <t>Waiting on Nadia's Update. 
Tried to run Receipting Locally.</t>
  </si>
  <si>
    <t xml:space="preserve">Got the closeout iem details from Nadia.  cannot replicate  the issue.  Make a PROD DB request for Closeout info from Receipting. </t>
  </si>
  <si>
    <t xml:space="preserve">Got data from DBA team. Still not sure what needs to be done.  We see one closeout as pending.  with the same amount as the one highlighted. </t>
  </si>
  <si>
    <t xml:space="preserve">Merge Pending Closeout with Existing Closeout. 
</t>
  </si>
  <si>
    <t xml:space="preserve">Completed Data Fix. 
Concerned about calculations. Qadir to review queries.
</t>
  </si>
  <si>
    <t xml:space="preserve">Waiting on customer confirmation. </t>
  </si>
  <si>
    <t>Completed verifications for 6 schools as part of other epic stories  and 1 school is remaining. Will finish it and close this in the next sprint.</t>
  </si>
  <si>
    <t xml:space="preserve">Completed 6 schools Verifications.  </t>
  </si>
  <si>
    <t>Data updated for 6 schools. 
3 Schools already have data updated. 
2 schools are pending because we need additional info/  Confirmation from customers.  
We need to do renumber merge for 1 school</t>
  </si>
  <si>
    <t xml:space="preserve">Database </t>
  </si>
  <si>
    <t>Harris MS should be fixed.</t>
  </si>
  <si>
    <t xml:space="preserve">Harris MS -  PY snapshot report is affected.
Eddy - Still waiting on the beginning balances as of last year. 
Franklin MS -  Waiting on Customer feedback </t>
  </si>
  <si>
    <t>Qadir to follow up with Jeanette/ Red</t>
  </si>
  <si>
    <t>Qadir to follow up on harris /  Franklin / Eddy</t>
  </si>
  <si>
    <t xml:space="preserve">50381	</t>
  </si>
  <si>
    <t>MSB ACCT - BKK - Tenant335-Laguna Creek HS-Fix Beginning balance issues</t>
  </si>
  <si>
    <t>This solution is a Data Fix. No PR required.</t>
  </si>
  <si>
    <t>Completed BB update verifications and data fix on local environment.</t>
  </si>
  <si>
    <t xml:space="preserve">Data Fix is in </t>
  </si>
  <si>
    <t>MSB ACCT - BKK - Tenant321-Albiani MS-Fix Beginning balance issues</t>
  </si>
  <si>
    <t>MSB ACCT - BKK - Tenant323-Harris MS-Fix Beginning balance issues</t>
  </si>
  <si>
    <t xml:space="preserve">PROD Data Fix is pending.  </t>
  </si>
  <si>
    <t>MSB ACCT - BKK - Tenant324-Jackman MS-Fix Beginning balance issues</t>
  </si>
  <si>
    <t>MSB ACCT - BKK - Tenant326-Kerr MS-Fix Beginning balance issues</t>
  </si>
  <si>
    <t>MSB ACCT - BKK - Tenant329-Rutter MS-Fix Beginning balance issues</t>
  </si>
  <si>
    <t>MSB ACCT - BKK - Elk Grove-Sheldon HS: Tenant337-Provide option to record the Bank deposit reversal date</t>
  </si>
  <si>
    <t>https://dev.azure.com/heartlandschools/Accounting/_git/MSBAccounting-NewSchoolBooks/pullrequest/45112</t>
  </si>
  <si>
    <t>POV with Pramod completed.  PR to be made.</t>
  </si>
  <si>
    <t>Still waiting for the approval from Jeanette</t>
  </si>
  <si>
    <t>2 Bouncebacks
Dev Completed on the bouncebacks</t>
  </si>
  <si>
    <t>MSB ACCT - BKK - Tenant327-Elizabeth Pinkerton MS-Fix Beginning balance issues</t>
  </si>
  <si>
    <t xml:space="preserve">SRX27946	</t>
  </si>
  <si>
    <t>MSB ACCT - BKK - Migration Data Import Timeout (Walnut Valley)</t>
  </si>
  <si>
    <t xml:space="preserve">Closed as a defect. </t>
  </si>
  <si>
    <t>SRX28099</t>
  </si>
  <si>
    <t xml:space="preserve">	MSB ACCT - BKK - Incorrect Check Date on Imported Data (East Hartford HS)</t>
  </si>
  <si>
    <t xml:space="preserve">made a Data Request for the information. </t>
  </si>
  <si>
    <t>Received partial data. Made another request</t>
  </si>
  <si>
    <t xml:space="preserve">Shared info with nadia about duplicate check entries with different dates.  </t>
  </si>
  <si>
    <t>Waiting for confirmation from customer through Nadia.</t>
  </si>
  <si>
    <t xml:space="preserve">Fix made/  Closed Story. </t>
  </si>
  <si>
    <t>Rijo /Qadir</t>
  </si>
  <si>
    <t>We couldn't test this out since we don't have the latest prod db backup on dev server. Need to restore it on dev to proceed with testing.</t>
  </si>
  <si>
    <t xml:space="preserve">Still working on this. 
Reviewed the code for renumber merge.  
We need to make a similar fix.  </t>
  </si>
  <si>
    <t xml:space="preserve">Need to deploy to DEV. </t>
  </si>
  <si>
    <t xml:space="preserve">Issues with YE on DEV. need to replicate same setup as PROD. </t>
  </si>
  <si>
    <t xml:space="preserve">Unable to complete Year End.  Issues with Trial Balance Report.
Qadir to Coordinatet with DBA team on restoring DB on DEV. </t>
  </si>
  <si>
    <t>MSB Accounting 15.2 Sprint 3 Stretch</t>
  </si>
  <si>
    <t xml:space="preserve">25786	</t>
  </si>
  <si>
    <t xml:space="preserve">made the data fix for .2 cent.  
trying to replicate YE. </t>
  </si>
  <si>
    <t xml:space="preserve">POV with Pramod. Posted in channel. </t>
  </si>
  <si>
    <t xml:space="preserve">SRX28142	</t>
  </si>
  <si>
    <t xml:space="preserve">Queries ready. Need to make a data request. </t>
  </si>
  <si>
    <t>MSB Accounting 15.2 Sprint 2</t>
  </si>
  <si>
    <t>MSB ACCT - BKK - Alpine - Upgrade Purchase Order Entry Page to Alpine</t>
  </si>
  <si>
    <t>karthik</t>
  </si>
  <si>
    <t>pass</t>
  </si>
  <si>
    <t>https://dev.azure.com/heartlandschools/Accounting/_git/MSBAccounting-NewSchoolBooks/pullrequest/44826</t>
  </si>
  <si>
    <t xml:space="preserve">New AC points completed. Discusion with Pramod Pending.
POV for tomorrow.  </t>
  </si>
  <si>
    <t>Waiting on POV.</t>
  </si>
  <si>
    <t xml:space="preserve">Review Completed. 
POV Posted 
POV approved. </t>
  </si>
  <si>
    <t xml:space="preserve">Qadir to Review.  </t>
  </si>
  <si>
    <t xml:space="preserve">Found a few observations. Bounceback created.  </t>
  </si>
  <si>
    <t xml:space="preserve">Changes pushed.  Waiting for review.  </t>
  </si>
  <si>
    <t xml:space="preserve">PR made on friday.  Just deployed. Ready for Testing. </t>
  </si>
  <si>
    <t>MSB ACCT - BKK - School Groups - Add System School Groups on Creation of New District</t>
  </si>
  <si>
    <t>https://dev.azure.com/heartlandschools/Accounting/_git/MSBAccounting-NewSchoolBooks/pullrequest/44790</t>
  </si>
  <si>
    <t xml:space="preserve">Completed POV with Pramod. 
</t>
  </si>
  <si>
    <t xml:space="preserve">Qadir - Deployed to DEV.
Testing in progress.  </t>
  </si>
  <si>
    <t>MSB ACCT - BKK - School Groups - Permissions</t>
  </si>
  <si>
    <t>https://dev.azure.com/heartlandschools/Accounting/_git/MSBAccounting-NewSchoolBooks/pullrequest/44895</t>
  </si>
  <si>
    <t>Incluede additional AC points about enable/delete school scenarios.</t>
  </si>
  <si>
    <t>Additional changes were requested during the internal POV discussion, so it exceeded the expected scope.</t>
  </si>
  <si>
    <t>Exceeds Expectation</t>
  </si>
  <si>
    <t xml:space="preserve">Completed DEV Changes. 
Need clarification on AC points.  </t>
  </si>
  <si>
    <t>Dev changes completed. 
Discussion about enable/ Disable school. Clarifications required. 
If DA doesnt have access to schools, need a popup to inform user.</t>
  </si>
  <si>
    <t>Completed POV comment changes. 
Going to create another POV with Pramod.</t>
  </si>
  <si>
    <t xml:space="preserve">Completed Dev Testing and Code Cleanup.  
Shared branch.
Qadir to review. </t>
  </si>
  <si>
    <t xml:space="preserve">PR Made and approved. Qadir to completed deployment. </t>
  </si>
  <si>
    <t xml:space="preserve">One Observation.  -  Fix made.
Testing in progress. </t>
  </si>
  <si>
    <t xml:space="preserve">bounceBacks completed. - PR to be made. </t>
  </si>
  <si>
    <t xml:space="preserve">Need the confirmation from customer. 
Nadia(Customer support lead) needs to get confirmation from Customer.  
1 -  move from Old to new account.  
2-  begining balance dates set as 7/31 instead to 6/30. </t>
  </si>
  <si>
    <t>Discussion with karthik.  
Issue with current DB - Space. Qadir to give Rijo a new BAK file</t>
  </si>
  <si>
    <t>Got DB setup locally. Report verifications pending.</t>
  </si>
  <si>
    <t xml:space="preserve">verifications completed. found an issue with the account.  
Restoring the DB. </t>
  </si>
  <si>
    <t xml:space="preserve">They have a lot of deleted accounts. 
Re-number merge not working. 
Issue with account deleted and re-created again.  Difference between total cash accounts and total other accounts 
</t>
  </si>
  <si>
    <t xml:space="preserve">Discussion withy pramod.  
Discussion to be had with Nadia.  
Nadia needs to get confirmation from Customer.  
1 -  move from Old to new account.  
2-  begining balance dates set as 7/31 instead to 6/30. </t>
  </si>
  <si>
    <t xml:space="preserve">Waiting on Support/  Customer Feedback </t>
  </si>
  <si>
    <t xml:space="preserve">MSB Accounting 15.2 Sprint 2 </t>
  </si>
  <si>
    <t xml:space="preserve">We had escalations on this sprint which took up time to address.  
Could tno make progress on this in the sprint.  This story will not affect the release since it's being worked on in a feature branch.  </t>
  </si>
  <si>
    <t xml:space="preserve">No Progress on this right now.  
Investigating the issues with Walnut Valley.  </t>
  </si>
  <si>
    <t xml:space="preserve">No progress. Worked on identifying root causes for issues with Walnut Valley.   </t>
  </si>
  <si>
    <t>No progress . Escalations in review.</t>
  </si>
  <si>
    <t>Qadir/ RIjo</t>
  </si>
  <si>
    <t xml:space="preserve">Discussion With nadia and the team.  </t>
  </si>
  <si>
    <t xml:space="preserve">Dry Run Testing completed. 
need to write the update queries. </t>
  </si>
  <si>
    <t>Manual checks to be made.  We need to create Manual checks and PO's. Flow would be same.</t>
  </si>
  <si>
    <t>Got data from PROD to insert into DEV.</t>
  </si>
  <si>
    <t xml:space="preserve">Got PO data again from PROD.  Will check to see if new PO was added.  </t>
  </si>
  <si>
    <t xml:space="preserve">Made entries in DEV Database.  Sushmitha has created manual checks and invoices.  
Qadir to run query for update to test.  </t>
  </si>
  <si>
    <t xml:space="preserve">Queries ready. Testing in progress.  Clarififcations required on negative amounts with checks. </t>
  </si>
  <si>
    <t>SRX27946</t>
  </si>
  <si>
    <t xml:space="preserve">Identified all indexes thatg need fixing.  Will be creating a migration to fix indexes. </t>
  </si>
  <si>
    <t xml:space="preserve">Cleared ABP Audit Logs.  
After clearing data , there are still issues with the import. </t>
  </si>
  <si>
    <t xml:space="preserve">Reviewed Accounts and  Timeout Logs.  
The file that needs to be uploaded takes a long time to upload.  Processing does get complleted, so Support should not be blocked.  </t>
  </si>
  <si>
    <t xml:space="preserve">Keith did an import. Faced the same issue with the timeout, however the data was completely imported.  We should create a defect out of this.  </t>
  </si>
  <si>
    <t xml:space="preserve">both Insert and SP are ready. 
Insert query to run on PROD. </t>
  </si>
  <si>
    <t xml:space="preserve">Rijo Completed the query. Qadir Reviewed. </t>
  </si>
  <si>
    <t>MSB Accounting 15.2 Sprint 2 Stretch</t>
  </si>
  <si>
    <t>MSB ACCT - BKK - Tenant338-Valley HS-Fix Beginning balance issues</t>
  </si>
  <si>
    <t>This is only about beginning balance update verifications. No PR required.</t>
  </si>
  <si>
    <t xml:space="preserve">Started working on this. 
Feature flag is already updated 
Prev Year. Cash account and Other Accounts dont match up.
Diff = 129 </t>
  </si>
  <si>
    <t xml:space="preserve">Found root cause of issue. 
Discsusion with pramod pending on issue. </t>
  </si>
  <si>
    <t xml:space="preserve">Call with Pramod about deleted account issue.  
New story for this issue. 
Created a POV and shared on the channel. 
No data Fix required.  </t>
  </si>
  <si>
    <t xml:space="preserve">Waiting on client POV approval. </t>
  </si>
  <si>
    <t xml:space="preserve">Testing is completed. </t>
  </si>
  <si>
    <t xml:space="preserve">MSB Accounting 15.2 Sprint 2 Stretch
</t>
  </si>
  <si>
    <t>sushmitha</t>
  </si>
  <si>
    <t>MSB ACCT - BKK - Automation Smoke Tests - Add / Edit / Delete / Journal / Perform reversal - Transfer Entry</t>
  </si>
  <si>
    <t>https://dev.azure.com/heartlandschools/Accounting/_git/AccountingAutomation/pullrequest/44866</t>
  </si>
  <si>
    <t>09/30/20205</t>
  </si>
  <si>
    <t xml:space="preserve">Worked on Add/ EDit Transfer entry Scenarios.  
</t>
  </si>
  <si>
    <t xml:space="preserve">Completing by EOD today. </t>
  </si>
  <si>
    <t xml:space="preserve">owen approved. Completed. </t>
  </si>
  <si>
    <t>MSB ACCT - BKK - Tenant322-Harriet G. Eddy MS-Fix Beginning balance issues</t>
  </si>
  <si>
    <t xml:space="preserve">Waiting on Customer Feedback.  </t>
  </si>
  <si>
    <t xml:space="preserve">Completed verification.  
Data Fix query created.  
Issues with Initial beg Balance and Cash account. Customer needs to fix data.  </t>
  </si>
  <si>
    <t xml:space="preserve">Completed discussion with Pramod. 
After beg balance. - Getting an issue with difference between cash and Other account. 
Ask Support/ICON to veirfy begining balances during onboarding. </t>
  </si>
  <si>
    <t>MSB ACCT - BKK - Analyze variance in Bank Rec.for Tenant 392 (Thatcher USD)</t>
  </si>
  <si>
    <t xml:space="preserve">Analysis on the variance. 
Trying to do recon. </t>
  </si>
  <si>
    <t>MSB Accounting 15.2 Sprint 3</t>
  </si>
  <si>
    <t>The import process failed due to high volume of records.</t>
  </si>
  <si>
    <t>MSB ACCT - BKK - Unable to Assign GL for Import MSB Batches (Thatcher USD)</t>
  </si>
  <si>
    <t>The SP to handle mappings is getting a timeout due to high number of records to handle. Rewriting the SP to avoid timeouts. The district also had same product Id s for different fees from 3rd party. We made code changes to handle this new scenario and did a hotfix deployment with the changes as well.</t>
  </si>
  <si>
    <t>MSB ACCT - BKK - Incorrect Check Date on Imported Data (East Hartford HS)</t>
  </si>
  <si>
    <t>Documentation</t>
  </si>
  <si>
    <t>User had to void the check which was a duplicate entryon the UI to get bank Rec in shape. This was a training issue which support could have helped the customer directly.</t>
  </si>
  <si>
    <t xml:space="preserve">UI issue - Transfer school panels were misaligned when the browser width was 100%. The route cause was identified in the CSS and the issue has been fixed. </t>
  </si>
  <si>
    <t>Existing issue after fixing the beg bal earlier. One gl account beg bal didn't updated as deleted since it is deactivated now.</t>
  </si>
  <si>
    <t>1. When the "Show School Group Options" setting is disabled, both Super Admin and District Admin users are still able to access the School Maintenance screen by directly entering the URL
2. Super Admin receives a warning when attempting to create a school group from Test School 1, stating they do not have access to all schools. However, after navigating to the Change School screen and returning to School Groups, the warning disappears and group creation is allowed</t>
  </si>
  <si>
    <t>1. Restricted school group access by direct URL when system feature is disabled.
2. Skipped user tenant mapping validation for SuperAdmin user roles.</t>
  </si>
  <si>
    <t>1.The date picker is partially visible for the Date Required and Cancel Date fields.
2.Clicking the Print button or clicking Print PO from the Actions menu does not trigger or display the next Purchase Order screen.
3.The Received field in the Add Item screen should be disabled and set to read-only
4.Mandatory field errors are displayed while navigating through text fields using the Tab key. These validations should only appear upon form submission.
5.A Purchase Order created with item type 'Item' is incorrectly updated to Received status after saving, instead of Open. Additionally, the Amount field is set to 0.00
6.After creating an invoice, the flyout message appears at the bottom of the grid
7.After creating an invoice for a Purchase Order, attempting to create an invoice for a second PO results in the first PO’s data being displayed in the Purchase Invoice Header screen
8.After saving the Item , the Item field in the grid appears empty, even though a valid value was entered and exists in the record.
9.After adding two items to a Purchase Order entry, editing and updating the second item from the grid causes the first item to also be updated with the second item's values.
10.In the Edit Item screen, the GL Account dropdown is disabled, preventing users from updating or selecting a different GL account.
11.Flyout message not appearing for Print &gt; Preview action after completing the confirmation
12.While creating invoice from Create Invoice menu , Received Amount missing total cost, Unit Cost shows 0.00, and Original Qty not updated for line item
13.The issue occurs when editing and updating the amount for an "Amount" type item in a Purchase Order (PO), the change doesn't automatically reflect in the invoice during creation.</t>
  </si>
  <si>
    <t>1. Common issue with date picker styling.
2. The print popup was not aligned correctly in html.
3. Was disabled, but style wasn't applied to show it in grey.
4. Followed design pattern from other entry screen.
6-9 Form reset issue with alpine.
10. Missed to enable.
11. Not an issue, same as in current page.
12-13. The footer was outside alpine's reactive grid, replaced footer with a div.</t>
  </si>
  <si>
    <t>The SP to handle mappings is getting a timeout due to high number of records to handle. Rewriting the SP to avoid timeouts.</t>
  </si>
  <si>
    <t>Not much details on why its happening. We haven't made any changes with receipting site for a long time, still in analysis.</t>
  </si>
  <si>
    <t>MSB Accounting 15.2 Sprint 1</t>
  </si>
  <si>
    <t>Development took more time than expected. And there were some analysis done late by the POs, added new AC points as well.</t>
  </si>
  <si>
    <t>Needs improvements</t>
  </si>
  <si>
    <t xml:space="preserve">Continued on this.  Most of the issues.  Expect POV by tomorrow.  </t>
  </si>
  <si>
    <t xml:space="preserve">Still working on this. 2 issues pending. Prompt overdraft message. Table alignment.  </t>
  </si>
  <si>
    <t>Ready for POV. Waiting on Pramod.</t>
  </si>
  <si>
    <t>POV to be completed.</t>
  </si>
  <si>
    <t>POV to be completed .  Rijo on leave.</t>
  </si>
  <si>
    <t xml:space="preserve">Found Additional issues. 
</t>
  </si>
  <si>
    <t>POV with Pramod to be done today</t>
  </si>
  <si>
    <t xml:space="preserve">Connected with Pramod. Additional AC points made. </t>
  </si>
  <si>
    <t>Made additional changes for enhancements. Still need clarification/confirmation from Pramod and client PO.</t>
  </si>
  <si>
    <t xml:space="preserve">Pramod added AC points. Working on those additional AC points. </t>
  </si>
  <si>
    <t>MSB ACCT - BKK - Automation Smoke Tests - Add / Edit / Delete / Journal / Perform reversal Bank Deposit Entry</t>
  </si>
  <si>
    <t>https://dev.azure.com/heartlandschools/Accounting/_git/AccountingAutomation/pullrequest/44625</t>
  </si>
  <si>
    <t xml:space="preserve">Edit /delete entries in progress.  </t>
  </si>
  <si>
    <t>No progress on this.</t>
  </si>
  <si>
    <t xml:space="preserve">Completed Edit/ Delete functionality. 
Continuing with Reversal and Edit Notes. </t>
  </si>
  <si>
    <t xml:space="preserve">Completed Reversal on bank Deposits.  Need to run all tests.  </t>
  </si>
  <si>
    <t xml:space="preserve">Blocked because super admin user doesnt have permissions. </t>
  </si>
  <si>
    <t xml:space="preserve">Qadir to review. </t>
  </si>
  <si>
    <t xml:space="preserve">PR Completed.
Owen found some   issues. Push made again </t>
  </si>
  <si>
    <t>Owen to still review.</t>
  </si>
  <si>
    <t>Owen approved . 
Completed</t>
  </si>
  <si>
    <t>MSB ACCT - BKK - Tenant334-Franklin HS-Fix Beginning balance issues</t>
  </si>
  <si>
    <t xml:space="preserve">Verified changes after merging accounts. 
Data fix </t>
  </si>
  <si>
    <t xml:space="preserve">Testing in progress.  Issue found... Shared with Karthik. </t>
  </si>
  <si>
    <t xml:space="preserve">Dev testing in porgress. </t>
  </si>
  <si>
    <t>Laptop issues.</t>
  </si>
  <si>
    <t xml:space="preserve">Still got issues with laptop.  Testing in progress.  On hold till escalations are closed. </t>
  </si>
  <si>
    <t xml:space="preserve">On Hold. need to find root cause of dupes in beg balances. </t>
  </si>
  <si>
    <t xml:space="preserve">On Hold . Looking for the root cause of duplicate entires.  </t>
  </si>
  <si>
    <t xml:space="preserve">Dev testing in progress.  </t>
  </si>
  <si>
    <t xml:space="preserve">Dev Testing still in progress. </t>
  </si>
  <si>
    <t>HSS Login not working. Still getting that to work.</t>
  </si>
  <si>
    <t>MSB ACCT - BKK - School Groups - Page UI</t>
  </si>
  <si>
    <t>https://dev.azure.com/heartlandschools/Accounting/_git/MSBAccounting-NewSchoolBooks/pullrequest/44682</t>
  </si>
  <si>
    <t>Add an option on feature page to edit the system level feature settings flag</t>
  </si>
  <si>
    <t>Add sorting option on status column.</t>
  </si>
  <si>
    <t xml:space="preserve">Analysis in progress. Started. </t>
  </si>
  <si>
    <t xml:space="preserve">No Progress.   </t>
  </si>
  <si>
    <t>Completed Create/ Edit UI Changes.</t>
  </si>
  <si>
    <t xml:space="preserve">Grid Changes. </t>
  </si>
  <si>
    <t xml:space="preserve">Completed DEV Changes.  Waiting on Pramod for POV. Dev testing in progress.  </t>
  </si>
  <si>
    <t xml:space="preserve">Completed POV with Pramod. POV to be shared with Tino. </t>
  </si>
  <si>
    <t xml:space="preserve">POV posted for Tino. </t>
  </si>
  <si>
    <t>Completed POV changes, will post in the channel for approval.</t>
  </si>
  <si>
    <t xml:space="preserve">Closed testing.  </t>
  </si>
  <si>
    <t>MSB ACCT - BKK - Tenant135 - Mismatch between Cash Accounts and Other Accounts Ending balances</t>
  </si>
  <si>
    <t xml:space="preserve">Completed testing. Closed story in axosoft.  </t>
  </si>
  <si>
    <t>No progress.  Need additional clarifitcations on AC.</t>
  </si>
  <si>
    <t>SRX27793</t>
  </si>
  <si>
    <t>MSB ACCT - BKK - Duplicated Balances on Reports (South Colonie)</t>
  </si>
  <si>
    <t xml:space="preserve">Duplicate Beg Balances. 
</t>
  </si>
  <si>
    <t>Verification in Progress</t>
  </si>
  <si>
    <t xml:space="preserve">Closed the escalation. Cannot get customer verification </t>
  </si>
  <si>
    <t>SRX27792</t>
  </si>
  <si>
    <t>MSB ACCT - BKK - Ending Balances Fix - Incorrect GL Account Balance Amounts (Hart Middle)</t>
  </si>
  <si>
    <t xml:space="preserve">Validate beg Balances needs to be run.  Team will take care. </t>
  </si>
  <si>
    <t xml:space="preserve">Verifications Completed. </t>
  </si>
  <si>
    <t xml:space="preserve">Closed the escalation.Cannot get customer verification </t>
  </si>
  <si>
    <t>SRX27778</t>
  </si>
  <si>
    <t>MSB ACCT - BKK - Beginning Balance Doubled on Cash GL</t>
  </si>
  <si>
    <t xml:space="preserve">9/16/2025
</t>
  </si>
  <si>
    <t xml:space="preserve">MSB ACCT - BKK - Beginning Balance Doubled on Cash GL (Pleasant Grove HS)	
</t>
  </si>
  <si>
    <t xml:space="preserve">This is a lower priority defect to be fixed and we will not take it up in the next sprint.  </t>
  </si>
  <si>
    <t>Unable to replicate, with different scenarios. Investigation in process.</t>
  </si>
  <si>
    <t xml:space="preserve">received the Logs. Need to analyse. </t>
  </si>
  <si>
    <t xml:space="preserve">MSB Accounting 15.2 Sprint 1 Stretch
</t>
  </si>
  <si>
    <t>MSB ACCT - BKK - Automation Smoke Tests - Add / Edit / Delete / Journal / Perform reversal Adjustment Entry</t>
  </si>
  <si>
    <t>https://dev.azure.com/heartlandschools/Accounting/_git/AccountingAutomation/pullrequest/44686</t>
  </si>
  <si>
    <t xml:space="preserve">Adding Adjustment Entry scenarios.  In progress. </t>
  </si>
  <si>
    <t>Completed Add Scenarios. Reversals pending.</t>
  </si>
  <si>
    <t xml:space="preserve">Completing the testing by EOD. </t>
  </si>
  <si>
    <t>Completed dev and shared branch for peer testing.</t>
  </si>
  <si>
    <t>PR approved. 
Completed.</t>
  </si>
  <si>
    <t xml:space="preserve">MSB Accounting 15.2 Sprint 1 Stretch 
</t>
  </si>
  <si>
    <t>SRX27829/25966</t>
  </si>
  <si>
    <t>MSB ACCT - BKK - Walnut Valley - 504 Gateway Timeout Error while importing old data for the new school</t>
  </si>
  <si>
    <t xml:space="preserve">Investigating issues with Load balancer timeout.
Pramod Verified data is in good shape. </t>
  </si>
  <si>
    <t xml:space="preserve">reviewed Logs with Platops. Couldnt find the logs on the server for this. Will reach out again to see if we can find more info. </t>
  </si>
  <si>
    <t>Not Received the logs.Still need to make another request for this.</t>
  </si>
  <si>
    <t xml:space="preserve">MSB Accounting 15.2 Sprint 1 
</t>
  </si>
  <si>
    <t xml:space="preserve">Started working on this.
Dev changes are completed and dev testing in progress.
</t>
  </si>
  <si>
    <t>Picked it up when the alpine story was on hold due to analysis for AC points. And put it back to story approved soon.</t>
  </si>
  <si>
    <t>Duplicate beginning balance entries were created for the current year. To fix the issue, created the data-fix queries to delete the duplicate entries and created a new defect to analyse the root causes of the duplicate entries creation.</t>
  </si>
  <si>
    <t>The beginning balances were not updated for this school. To fix the issue, we updated them from the Validate Beginning Balances page.</t>
  </si>
  <si>
    <t>Two transactions were missed in the Bank Deposit Lines and General Ledger Lines tables when using the old MSB import functionality. We later fixed this issue in our application with the new changes. To correct the data, we have created data-fix queries to insert the missed lines into the respective tables.</t>
  </si>
  <si>
    <t>SRX27829</t>
  </si>
  <si>
    <t xml:space="preserve">This is a one off issue at the infrastructure level.  </t>
  </si>
  <si>
    <t xml:space="preserve">SRX27778, SRX27793 - Finding the root cause.Cannot replicate the issue locally. </t>
  </si>
  <si>
    <t xml:space="preserve">MSB ACCT - BKK - BackgroundJobManager fails when trying to update last Try time	
</t>
  </si>
  <si>
    <t xml:space="preserve">Issue Identified in the logs.  Caused when updating jobsettings table with a query and with EF. Doesnt affect any functionality so it's a low priority fix. </t>
  </si>
  <si>
    <t>MSB Accounting 15.1 Sprint 3</t>
  </si>
  <si>
    <t xml:space="preserve">SRX27374	</t>
  </si>
  <si>
    <t>MSB ACCT - BKK - Trust Accounts Changed to Income Account Type During Year-End Process (Pleasanton)</t>
  </si>
  <si>
    <t xml:space="preserve">Escalation pulled in from previous sprint.  
Waiting on Customer Confitrmation. Closed escalation, no PR as there were no code changes. </t>
  </si>
  <si>
    <t xml:space="preserve">Discusion with nadia yesterday. Qadir/ Pramod to see if we can make an adjustment entry and reversal for it between the 2 years to make it work for this customer. </t>
  </si>
  <si>
    <t xml:space="preserve">Need to discuss with Pramod.  </t>
  </si>
  <si>
    <t xml:space="preserve">Got updates. We can go ahead with the code changes. 
Testing has been completed.  
</t>
  </si>
  <si>
    <t>Completed beg balance fixes on PROD. Waiting for customer confirmation.</t>
  </si>
  <si>
    <t>Waiting on Customer Confirmation</t>
  </si>
  <si>
    <t>SRX27394</t>
  </si>
  <si>
    <t xml:space="preserve">	MSB ACCT - BKK - Bad URL Requests on PROD</t>
  </si>
  <si>
    <t>Escalation pulled in from previous sprint. 
We worked with platops to have exceptions to the WAF blocking for CERT. This was tested and verified
No PR for this, this was an escalation that required coordination between DEV and platops Teams</t>
  </si>
  <si>
    <t xml:space="preserve">WAF deployed on CERT. Features still not working.  
</t>
  </si>
  <si>
    <t xml:space="preserve">CERT is working now.  Final round of testing pending.  </t>
  </si>
  <si>
    <t xml:space="preserve">Closed now. 
Waf is deployed to CERT. After regression we will give the go ahead to deploy WAF. </t>
  </si>
  <si>
    <t xml:space="preserve">Closing this as we now have the WAF deployed on CERT. These bad requests were being observed on DEV/QA / CERT, and we have observed the logs with the bad URLs arent being logged (hence blocked.) . We've seen the URL's being blocked on google console as well. 
We had asked for exceptions to be made for some pages on the applications and those have been applied to CERT.  
We have completed testing the  exceptions requested on the WAF, and those are working as expected.  </t>
  </si>
  <si>
    <t xml:space="preserve">25817	</t>
  </si>
  <si>
    <t>MSB ACCT - BKK - New Imports not Showing in Import MSB Batches Since 7/21 (Elk Grove) [HotFix]</t>
  </si>
  <si>
    <t>Escalation turned into defect, since we have completed the fix, and need to test/deploy.
Hotfix scheduled for 8/27</t>
  </si>
  <si>
    <t>Testing on CERT Completed - Qadir</t>
  </si>
  <si>
    <t xml:space="preserve">	MSB ACCT - BKK - Tenant334-Franklin HS-Fix Beginning balance issues</t>
  </si>
  <si>
    <t>Got updates from customer the day before planning, Based on the given feedback will create a data fix query on upcoming sprint.</t>
  </si>
  <si>
    <t>Qadir to complete Review. 
Still wating on customer feedback on Duplicate account Number.</t>
  </si>
  <si>
    <t>Still waiting on customer confirmation on duplicate account numbers issue.</t>
  </si>
  <si>
    <t>Got updates from the customer today. Karthik on PTO today.</t>
  </si>
  <si>
    <t xml:space="preserve">MSB Accounting 15.1 Sprint 3 Stretch </t>
  </si>
  <si>
    <t>MSB ACCT - BKK - Page crash while loading PY Account Analysis Details Report for Tenant 331 and Tenant325</t>
  </si>
  <si>
    <t>https://dev.azure.com/heartlandschools/Accounting/_git/MSBAccounting-NewSchoolBooks/pullrequest/44412</t>
  </si>
  <si>
    <t>Testing completed. And closed the defect.</t>
  </si>
  <si>
    <t xml:space="preserve">Analysing the RDLC Expression Changes. Cannot Move all the Changes to SP. </t>
  </si>
  <si>
    <t>Moved YE fund transfer's conditional logics into SP. Now report is loading with in 2 to 3 mins. Earlier it was taken around 12 mins to load. Continuing to work on making data fetching faster.</t>
  </si>
  <si>
    <t>On hold since we started regression today.</t>
  </si>
  <si>
    <t xml:space="preserve">On hold since we started regression. </t>
  </si>
  <si>
    <t xml:space="preserve">Dev Completed. Pending Review.  </t>
  </si>
  <si>
    <t xml:space="preserve">Waiting on client POV. </t>
  </si>
  <si>
    <t xml:space="preserve">Need to deploy on DEV.  </t>
  </si>
  <si>
    <t xml:space="preserve">	MSB ACCT - BKK - GL Mapping is not saved for MSB GLs for schools with shared gateways (15.1)</t>
  </si>
  <si>
    <t>https://dev.azure.com/heartlandschools/Accounting/_git/MSBAccounting-NewSchoolBooks/pullrequest/44245</t>
  </si>
  <si>
    <t xml:space="preserve">Comments addressed. 
Need to make a PR. </t>
  </si>
  <si>
    <t>Starting testing, transactions appeared under multiple schools as single gateway mapping due to incorrect gateway mapping. . Made some new transactions for testing</t>
  </si>
  <si>
    <t>Test cases completed, no issues found, will be closing the defect soon.</t>
  </si>
  <si>
    <t>On hold since we started regression.
Started again on 9/8</t>
  </si>
  <si>
    <t xml:space="preserve">On hold since we started regression </t>
  </si>
  <si>
    <t xml:space="preserve">This is now in progress again.  </t>
  </si>
  <si>
    <t>Rijo is on PTO today</t>
  </si>
  <si>
    <t>Still in progress. Still fixing issues. Referrring other entry pages as a reference</t>
  </si>
  <si>
    <t>Development still in progress, trying to fix UI issues.</t>
  </si>
  <si>
    <t>2 entry screens remaining, will be closing the story today.</t>
  </si>
  <si>
    <t>Completed testing, will  be closing the story soon.</t>
  </si>
  <si>
    <t>Pramod/Karthik/ Rijo</t>
  </si>
  <si>
    <t>Karthik - completed gl reports other, working on financial reports.</t>
  </si>
  <si>
    <t xml:space="preserve">Rijo - Vendor Reports. 
karthik - PY Reports.  Completed banking and PO Reports.  
</t>
  </si>
  <si>
    <t xml:space="preserve">MSB ACCT - BKK - Regression - Import MSB Batches	
</t>
  </si>
  <si>
    <t>Made some transactions on Fri. Verifications currently in progress.</t>
  </si>
  <si>
    <t>Completed verififcations</t>
  </si>
  <si>
    <t xml:space="preserve">	MSB ACCT - BKK - Regression - Management Menu</t>
  </si>
  <si>
    <t xml:space="preserve">Rijo - Support tools 2/3 completed. 
</t>
  </si>
  <si>
    <t>Sushmitha - Testing Management - Special function  [Sub menu]
Rijo - Completed 3 items</t>
  </si>
  <si>
    <t>Tested Special fucntions. Rijo Completed Support Tools 
Story Completed.</t>
  </si>
  <si>
    <t>MSB ACCT - BKK - Regression - 15.1 Stories and Defects</t>
  </si>
  <si>
    <t xml:space="preserve">Sushmitha - Testing Auto Locking trigger. 
</t>
  </si>
  <si>
    <t>Completed testing the story 48122 in CERT</t>
  </si>
  <si>
    <t>Completed testing period end menu all the pages and also completed Post Year End entry menus and bank reconcilation verification test cases.</t>
  </si>
  <si>
    <t>Completed 2 items</t>
  </si>
  <si>
    <t>Sushtmitha - Verified Features and Payments Gateways. 
Closed Story.</t>
  </si>
  <si>
    <t>POV completed, peer review and testing will be continued on next sprint.</t>
  </si>
  <si>
    <t xml:space="preserve">Created a data fix query. 
Connecting with Pramod on POV. </t>
  </si>
  <si>
    <t>POV completed and shared recording in the channel. Waiting for Tino's approval.</t>
  </si>
  <si>
    <t xml:space="preserve">Creating Test Case for Add Bank Deposit Entry. 
Staged data in DEV Env. </t>
  </si>
  <si>
    <t>No progress as defect testing was in progress today.</t>
  </si>
  <si>
    <t xml:space="preserve">Completed the work on regular login working. SSO Login is still in progress. </t>
  </si>
  <si>
    <t>Still working on SSO login part, haven't completed but made good progress.</t>
  </si>
  <si>
    <t>We noticed that there was a lot of data for a single year for these clients. The reports generates over 350 pages on a SSRS report on the web. Working on improving performance of the stored procedure and rdlc file, so the page loads properly.</t>
  </si>
  <si>
    <t>MSB ACCT - BKK - GL Mapping is not saved for MSB GLs for schools with shared gateways</t>
  </si>
  <si>
    <t xml:space="preserve">We had noticed this issue during development,However since it was an edge case whcih would not affect current customers PO had ok'd deployment.  
We are working on fixing this now, so that it wont affect future customers. </t>
  </si>
  <si>
    <t>There were more than 1000 payments pending which the background job was trying to process together. And it had same MSB GL s spread across, when we try to insert all together, it was violating a unique key constraint.</t>
  </si>
  <si>
    <t>SRX27374</t>
  </si>
  <si>
    <t>MSB ACCT - BKK - Trust Accounts Changed to Income Account Type During Year-End Process</t>
  </si>
  <si>
    <t>The School’s account type was updated by mistake, and the year-end process was also performed. The customer now wants to revert the account type changes and have the new year’s beginning balances reflect the old account type. We created a data fix to undo the account type changes and shared the updated reports with the customer for confirmation. We are currently waiting for the customer’s feedback on this.</t>
  </si>
  <si>
    <t xml:space="preserve">	MSB ACCT -BKK - Bad URL Requests on PROD.</t>
  </si>
  <si>
    <t xml:space="preserve">We have noticed a lot of Bad URL Requests to the application as if some one was trying to find a vulnerability with the application.  
We found out the the firewall was on transparent mode rather than blocking mode. 
We are currently testing blocking mode with the WAF Ops team on CERT.  </t>
  </si>
  <si>
    <t>SRX27436</t>
  </si>
  <si>
    <t>james</t>
  </si>
  <si>
    <t>MSB ACCT - BKK - Check Form Customization (Thatcher)</t>
  </si>
  <si>
    <t>Worked by client dev</t>
  </si>
  <si>
    <t>MSB Accounting 15.1 Sprint 2</t>
  </si>
  <si>
    <t>MSB ACCT - BKK - [Group2] Pleasanton Unified School District-Review and Enable Beginning Balance feature work Final School</t>
  </si>
  <si>
    <t xml:space="preserve">Testing was Stuck due to WAF blocking the reports. 
This is a data fix so no PR. </t>
  </si>
  <si>
    <t xml:space="preserve">Tenant 135 - Testing in progress. 
PY Report issues found.
</t>
  </si>
  <si>
    <t xml:space="preserve">Completed for 209 /  210.  
209 - there are issues with balance difference. 
Tenant 210.
-  CY issue found with 0.20. </t>
  </si>
  <si>
    <t xml:space="preserve">Stuck due to WAF blocking the reports. </t>
  </si>
  <si>
    <t xml:space="preserve">WAF issues unblocked. Testing completed.  </t>
  </si>
  <si>
    <t>James</t>
  </si>
  <si>
    <t>MSB ACCT - BKK - Alpine - Upgrade Invoice Entry Page to Alpine</t>
  </si>
  <si>
    <t>No entries to be made since dev and testing was done by Client QA and Client Dev</t>
  </si>
  <si>
    <t xml:space="preserve">No Progress on this yet.  </t>
  </si>
  <si>
    <t xml:space="preserve">Wes will pick this for testing . </t>
  </si>
  <si>
    <t>being tested by Client QA</t>
  </si>
  <si>
    <t>MSB ACCT - BKK - Alpine - Upgrade Manual Check Entry Page to Alpine</t>
  </si>
  <si>
    <t xml:space="preserve">Reported 1 issue. Up/ Down Arrow. </t>
  </si>
  <si>
    <t xml:space="preserve">Created Bouncebacks for the issue. </t>
  </si>
  <si>
    <t xml:space="preserve">Still waiting to be picked up.  </t>
  </si>
  <si>
    <t xml:space="preserve">Waiting on Deployment ? </t>
  </si>
  <si>
    <t xml:space="preserve">Verified the Bouncebacks. Closed Story.  </t>
  </si>
  <si>
    <t>https://dev.azure.com/heartlandschools/Accounting/_git/MSBAccounting-NewSchoolBooks/pullrequest/44095</t>
  </si>
  <si>
    <t>Rewrite completed and sql connection time out issue got resolved, But getting timeout issue on RDLC data fetching. So will need fixes on RDLC and carried for next sprint.</t>
  </si>
  <si>
    <t xml:space="preserve">Started analysing.
Issue with Stored Proc. 
need to rewrite procedure. </t>
  </si>
  <si>
    <t xml:space="preserve">Re-written stored proc.
Much faster. 
</t>
  </si>
  <si>
    <t xml:space="preserve">Validated newly created SP with UI.  
Slowness issue in the UI.  </t>
  </si>
  <si>
    <t xml:space="preserve">Completed changes on page break report. Verified on 331 and 325.  </t>
  </si>
  <si>
    <t xml:space="preserve">Still facing issues with tenant 331. </t>
  </si>
  <si>
    <t xml:space="preserve">Found the root cause.
year  fund transfer logic causing issue. Looking for a workaround. </t>
  </si>
  <si>
    <t>SRX27301</t>
  </si>
  <si>
    <t>https://dev.azure.com/heartlandschools/Accounting/_git/MSBAccounting-NewSchoolBooks/pullrequest/44119</t>
  </si>
  <si>
    <t xml:space="preserve">Fix is identified.  Dev testing in progress. </t>
  </si>
  <si>
    <t xml:space="preserve">HotFix Made.  We are still not receiving batches.  Needs further investigation, </t>
  </si>
  <si>
    <t xml:space="preserve">Issue with the unique Key Constraint blocking the jobs from inserting Data. Need to investigate further.  
Getting real data. </t>
  </si>
  <si>
    <t xml:space="preserve">Made data requests for MSB Gl Accounts and  District info. </t>
  </si>
  <si>
    <t xml:space="preserve">Found the root cause.  Found the fix, and the data fix.  
Potential data fix in as well. </t>
  </si>
  <si>
    <t xml:space="preserve">Jobs still havent run.  Fix didnt work, because there were other MSB GL Accounts causing an issue.  </t>
  </si>
  <si>
    <t xml:space="preserve">Dev completed.  PR to be made. </t>
  </si>
  <si>
    <t xml:space="preserve">Deployment pending. Tried to replicate on DEV. Payments job ran and we received all the transactions. need to check payments on DEV DB. </t>
  </si>
  <si>
    <t xml:space="preserve">Need to deploy to CERT to verify. </t>
  </si>
  <si>
    <t>Karthik/ Qadir</t>
  </si>
  <si>
    <t xml:space="preserve">Waiting on Customer Confirmation </t>
  </si>
  <si>
    <t xml:space="preserve">Waiting on Customer Feedback </t>
  </si>
  <si>
    <t xml:space="preserve">Currently in discussion with Nadia.  </t>
  </si>
  <si>
    <t xml:space="preserve">Nadia not available. 
Will try yo connect before standup . </t>
  </si>
  <si>
    <t>got the latest DB.
Shared with Karthik,  
Verified the report. Almost matches. 
1 account is off by 0.03 cents.  2 accounts have transactions missed. Report shared with nadia</t>
  </si>
  <si>
    <t>No Update on this Waiting on Customer confirmation</t>
  </si>
  <si>
    <t xml:space="preserve">information Sent to customer. </t>
  </si>
  <si>
    <t xml:space="preserve">Waiting on Customer confirmation. </t>
  </si>
  <si>
    <t>MSB ACCT -BKK - Bad URL Requests on PROD.</t>
  </si>
  <si>
    <t xml:space="preserve">Currently waiting on PlatoPs team to remove blockers on DEV/QA. </t>
  </si>
  <si>
    <t xml:space="preserve">CERT Testing Done. -  We have a meeting scheduled with platops about the plan. </t>
  </si>
  <si>
    <t xml:space="preserve">We've got WAF implemented on DEV/QA. 
Currently both are not accessible. I've raised a ticket for it, however we are waiting on support to get back.  </t>
  </si>
  <si>
    <t xml:space="preserve">Managed to work with Nick and get DEV/QA up yesterday.  </t>
  </si>
  <si>
    <t xml:space="preserve">Made requests again to remove Blocking with Wafops Team.  Call setup today with platops to resolve the issue.  </t>
  </si>
  <si>
    <t xml:space="preserve">Had call with Platops team yest .  I've submitted the requests for unblocking URLs. Waiting for them to unblock. </t>
  </si>
  <si>
    <t xml:space="preserve">Waiting on platops team to complete unblocking. </t>
  </si>
  <si>
    <t xml:space="preserve">WAF setup on DEV/ QA.  
Still needs to be implemented on CERT/ PROD.  Follow up with PlatOps. </t>
  </si>
  <si>
    <t xml:space="preserve">CERT WAF changes are in. Qadir to verify. 
</t>
  </si>
  <si>
    <t xml:space="preserve">	MSB ACCT - BKK - Auto Locking Trigger for Beginning Balance Screen	
</t>
  </si>
  <si>
    <t>Move the messages from js file to common xml file.</t>
  </si>
  <si>
    <t>https://dev.azure.com/heartlandschools/Accounting/_git/MSBAccounting-NewSchoolBooks/pullrequest/44035</t>
  </si>
  <si>
    <t>POV pending with Pramod.</t>
  </si>
  <si>
    <t xml:space="preserve">POV Completed.  Code pushed for Review.  
</t>
  </si>
  <si>
    <t xml:space="preserve">Started Testing </t>
  </si>
  <si>
    <t xml:space="preserve">Bounce Back on this. Issue with figuring out the last year end date </t>
  </si>
  <si>
    <t xml:space="preserve">3 bouncebacks on this story. </t>
  </si>
  <si>
    <t xml:space="preserve">Finding it dificult to duplicate the scenatio </t>
  </si>
  <si>
    <t xml:space="preserve">Started analysis.  
Finding it difficult to replicate. </t>
  </si>
  <si>
    <t>No progress on this .</t>
  </si>
  <si>
    <t xml:space="preserve">No progress.  Working on Escalation.  </t>
  </si>
  <si>
    <t xml:space="preserve">Got the data from the district. Unable to replicate the scenario. </t>
  </si>
  <si>
    <t xml:space="preserve">Stil working on it. Managed to replicate the issue. Still figuring out the root cause. 
</t>
  </si>
  <si>
    <t xml:space="preserve">Dev completed. 
POV Completed. </t>
  </si>
  <si>
    <t>MSB ACCT - BKK - TECH DEBT - Update Regression Test Cases for Updates Within Latest 15.1 Release</t>
  </si>
  <si>
    <t xml:space="preserve">This is a story to update the regression test case suite. </t>
  </si>
  <si>
    <t xml:space="preserve">14.5-15.0 stories added to regression suite.  
working on 14.4 </t>
  </si>
  <si>
    <t>Completed updated test cases from 14.4-14.1 
Bkk Regression suite is completed. Closed</t>
  </si>
  <si>
    <t>MSB ACCT - BKK - Alpine - Financial Reports to Alpine</t>
  </si>
  <si>
    <t>https://dev.azure.com/heartlandschools/Accounting/_git/MSBAccounting-NewSchoolBooks/pullrequest/44144</t>
  </si>
  <si>
    <t xml:space="preserve">Dev Completed. Dev Testing in Progress. </t>
  </si>
  <si>
    <t xml:space="preserve">Completed Dev changes. Dev testing in progress. </t>
  </si>
  <si>
    <t xml:space="preserve">Completed dev testing. 
Found some UI issues. 
</t>
  </si>
  <si>
    <t xml:space="preserve">Tino Approved. PR created. </t>
  </si>
  <si>
    <t xml:space="preserve">Completed Testing.
</t>
  </si>
  <si>
    <t>MSB Accounting 15.1 Sprint 2 Stretch</t>
  </si>
  <si>
    <t>POV completed and raised one clarification with customer about duplicate account numbers.</t>
  </si>
  <si>
    <t xml:space="preserve">Completed the verifications. Completed the dat afix query.  
Duplicate Account Id.  Use renumber merge to merge accounts. Need some additional info from Customer.
</t>
  </si>
  <si>
    <t xml:space="preserve">Data Fix shared for Review.  
Pov shared with Tino. </t>
  </si>
  <si>
    <t>MSB ACCT - BKK - New Imports not Showing in Import MSB Batches Since 7/21 (Elk Grove)</t>
  </si>
  <si>
    <t>We had initially found a fix for this and completed a Hotfix last sprint, but uncovered another issue, post deployment. Fix is ready now, and we are ready to deploy to CERT to verify</t>
  </si>
  <si>
    <t>1. The "Clear" and "Today" actions are only partially visible when clicking the Date field in the Manual Check Entry screen.
2. Whenever a user clicks anywhere on the screen and then presses the up or down arrow key, the page should scroll accordingly—based on the current selection</t>
  </si>
  <si>
    <t>1. Bank Reconciliation process successfully completed with following error : An internal error occurred during your request!
2. After completing the Year End process, the Beginning Balance date was automatically updated to 06/30/2024. Unlocked the Beginning Balance and manually changed the date to 08/01/2024, which was saved successfully. However, when attempting to revert the Beginning Balance date to 06/30/2024, 07/31/2024, or any date prior to 08/01/2024, getting error and blocked from saving the settings.
3. When the school performs its first bank reconciliation, the Beginning Balance gets auto-locked. However, this action does not create an entry in the Lock/Unlock Balances history, making it difficult to track when and how the balance was locked.</t>
  </si>
  <si>
    <t>1. When there was no record of unlock for beg.bal, bank rec was getting created, throwing a error. 
2. We changed the approach in the end since we don't have a record to determine last year end date definitevily. 
3. New requirement/ enhancement.</t>
  </si>
  <si>
    <t xml:space="preserve">Closed SRX27301 and created a new defect, since we have the fix ready, and only testing and deployment were pending. </t>
  </si>
  <si>
    <t xml:space="preserve">MSB Accounting 15.1 Sprint 1 </t>
  </si>
  <si>
    <t>Regression testing story carried over from previous sprint.</t>
  </si>
  <si>
    <t xml:space="preserve">Started Testing.  Transactions made yest Got settled.  </t>
  </si>
  <si>
    <t xml:space="preserve">Completed testing.  Found some observation on the Auto Mapping. 
</t>
  </si>
  <si>
    <t>Completed.  Observations on shared gateway. 
Defect created for the future. 
Difficult to replicate.</t>
  </si>
  <si>
    <t>MSB ACCT - BKK - [Regression] "Support tools" menu should not be accessible to District Admin users (15.0)</t>
  </si>
  <si>
    <t>https://dev.azure.com/heartlandschools/Accounting/_git/MSBAccounting-NewSchoolBooks/pullrequest/43681</t>
  </si>
  <si>
    <t xml:space="preserve">Regression Defect Testing </t>
  </si>
  <si>
    <t xml:space="preserve">Dev Complete.  Waiting on Review/ POV. </t>
  </si>
  <si>
    <t>Issue found with a schooladmin having access to the menu.</t>
  </si>
  <si>
    <t xml:space="preserve">Testing in Progress. 
DEV Deployment fixed issue found. 
Still in progress.  
</t>
  </si>
  <si>
    <t xml:space="preserve">25684	</t>
  </si>
  <si>
    <t>MSB ACCT - BKK - [Regression] Incorrect "Missing Transactions Total" calculation upon clicking multiple Batches in "Get Missing Batch Payments" (15.0)</t>
  </si>
  <si>
    <t>https://dev.azure.com/heartlandschools/Accounting/_git/MSBAccounting-NewSchoolBooks/pullrequest/43678</t>
  </si>
  <si>
    <t>testing almost completed. Final round pending</t>
  </si>
  <si>
    <t>MSB ACCT - BKK - Tenant325</t>
  </si>
  <si>
    <t xml:space="preserve">Blocked by DBA team. Tehy need to provide access to the newly created DB.
Completed verifications after deployment. 
 </t>
  </si>
  <si>
    <t>Data Fix Query -&gt; discussion to be had on issues.</t>
  </si>
  <si>
    <t xml:space="preserve">Completed POV with Pramod.  </t>
  </si>
  <si>
    <t xml:space="preserve">Review is Complete
Karthik is on PTO. </t>
  </si>
  <si>
    <t>Waiting for deoloyment, and we need the latest prod db to be restored on dev to verify this.</t>
  </si>
  <si>
    <t xml:space="preserve">DEV DB to be restored.  Qadir to work on it. </t>
  </si>
  <si>
    <t xml:space="preserve">Waiting on Deployment. Waiting on Customer on Account Type change. </t>
  </si>
  <si>
    <t xml:space="preserve">Deployed to DEV. </t>
  </si>
  <si>
    <t>Completed.  Found a defect with the PY Account detail Report.</t>
  </si>
  <si>
    <t>MSB ACCT - BKK - [Group2] Pleasanton Unified School District-Review and Enable Beginning Balance feature work [timebox]</t>
  </si>
  <si>
    <t xml:space="preserve">Pulled from prev Sprint.  Dev Completed Previously.
Blocked by DBA team. Tehy need to provide access to the newly created DB. We also need confirmation from Customer on Change of Account Type. 
we have completed the work assuming the change in account type was intentional </t>
  </si>
  <si>
    <t>Review in Progress by Qadir.</t>
  </si>
  <si>
    <t xml:space="preserve">Waiting for Qadir's review.  </t>
  </si>
  <si>
    <t xml:space="preserve">Review is Completed
Karthik is on PTO. </t>
  </si>
  <si>
    <t>Waiting for deoloyment, and we need the latest prod db to be restored on dev to verify this. Need to discuss about income account data fix with the customer.</t>
  </si>
  <si>
    <t xml:space="preserve">DEV DB to be restored.  Qadir to work on it. 
Issue found where account type was cahnged from trust to income.  Question :  Can we change account types after transactions have been made on that account  ? </t>
  </si>
  <si>
    <t>Waiting on Deployment.</t>
  </si>
  <si>
    <t xml:space="preserve">Deployed to DEV.
Cause of the escalation. We need to discuss on the dev channel </t>
  </si>
  <si>
    <t xml:space="preserve">Not yet deployed.  
we have issues with  tenant 210 . Escalation created for that one. We can test the rest of the tenants.  </t>
  </si>
  <si>
    <t xml:space="preserve">	MSB ACCT - BKK - Year End Fiscal Year Dates not Rolled Over (Marsing)</t>
  </si>
  <si>
    <t>Customer given go ahead to complete Year End again since they had not run year end in 2021 . 
No dev. only investigation into their data</t>
  </si>
  <si>
    <t>Found issues with some transactions showing up before the selected dates in the account detail report.  Needs further investigation</t>
  </si>
  <si>
    <t xml:space="preserve">No progress yesterday.  Will review today morning before standup. </t>
  </si>
  <si>
    <t>Analysis Completed. Discussion / POV with Pramod.</t>
  </si>
  <si>
    <t xml:space="preserve">POV Pending still </t>
  </si>
  <si>
    <t xml:space="preserve">POV completed with Pramod. </t>
  </si>
  <si>
    <t>waiting on POV.</t>
  </si>
  <si>
    <t>POV Approved. 
needs to be discussed with Nadia</t>
  </si>
  <si>
    <t xml:space="preserve">Discussed with Nadia.  
Ready for Tesitng 
</t>
  </si>
  <si>
    <t xml:space="preserve">SRX27224	</t>
  </si>
  <si>
    <t>MSB ACCT - BKK - Cannot Record a Credit Amount on Invoice (Thatcher)</t>
  </si>
  <si>
    <t>This was converted to a story since this was a new requirement rather than an Escalation.  - 49549</t>
  </si>
  <si>
    <t>Analysis in progress. Created both PO and invoice with negative amount for items. No issues found yet, went upto reports and everything matching. Will have a call with Pramod.</t>
  </si>
  <si>
    <t>Created few invoices and changed its sign from db. No issues on UI if it directly start from invoice without PO.</t>
  </si>
  <si>
    <t xml:space="preserve">We will make a data fix.
we will simulate the testing on DEV. 
</t>
  </si>
  <si>
    <t>The issue found with vendor analysis report is an existing issue, Pramod will be creating a defect. New update query is ready to update the check amounts as well. Sushmitha is verifying reports.</t>
  </si>
  <si>
    <t xml:space="preserve">Testing in progress.  
After queries reviewed. 
No issues found , except vendor analysis reports. 
All other reports were working fine. 
Completed Bank Rec/ YE/ PY Reports.  
</t>
  </si>
  <si>
    <t xml:space="preserve">No Updates.  Waiting for the data from the customer.  </t>
  </si>
  <si>
    <t>MSB Accounting 15.1 Sprint 1 Stretch</t>
  </si>
  <si>
    <t>MSB ACCT - BKK - Tenant331-Cosumnes Oaks HS-Fix Beginning balance issues</t>
  </si>
  <si>
    <t xml:space="preserve">Spent some additional time to analysis about MSB batches 
Issues with $20 difference.
Issue with $20 tenant still exists.  Tha's been created as a new defect, and we have closed this story as testing on the other 4 tenants has been completed successfully. </t>
  </si>
  <si>
    <t xml:space="preserve">Started working on this. 
Debit/Credit Amount.  
Sep. bank Deposit.
</t>
  </si>
  <si>
    <t xml:space="preserve">Karthik is on PTO </t>
  </si>
  <si>
    <t>Completed data fix query changes, completed POV with Pramod, will post recording on the channel.</t>
  </si>
  <si>
    <t xml:space="preserve">POV Completed.  Waiting on Qadir to Review.  </t>
  </si>
  <si>
    <t>Review completed. Need few more analysis with import msb data.</t>
  </si>
  <si>
    <t xml:space="preserve">Analysis with MSB batches. 
Issues with $20. 
</t>
  </si>
  <si>
    <t xml:space="preserve">Analysis with MSB batches. 
Issues with $20. 
Waiting on Nadia. </t>
  </si>
  <si>
    <t xml:space="preserve">Deployed To DEV. 
need to make the fix on reconcilliation
</t>
  </si>
  <si>
    <t xml:space="preserve">48385	</t>
  </si>
  <si>
    <t>Worked on by Cllient DEV.</t>
  </si>
  <si>
    <t>Testing still in progress.
Found 1 issue - Fly out messages not appearing when we add or edit line items. Will be creating a bounce back</t>
  </si>
  <si>
    <t xml:space="preserve">Tested and observations found. 
QA update for   out of balance account, </t>
  </si>
  <si>
    <t xml:space="preserve">shared observations with james. 
Created Bounceback. 
Overdraw prompt. </t>
  </si>
  <si>
    <t xml:space="preserve">waiting for the dev. </t>
  </si>
  <si>
    <t>Waiting for fix/ Deployment</t>
  </si>
  <si>
    <t>MSB ACCT - BKK - Tenant332-Florin HS-Fix Beginning balance issues</t>
  </si>
  <si>
    <t>Completed verifications.  Closed</t>
  </si>
  <si>
    <t xml:space="preserve">Completed verifications and data Query fix.  </t>
  </si>
  <si>
    <t xml:space="preserve">Waiting on POV from Pramod. </t>
  </si>
  <si>
    <t xml:space="preserve">Waiting on POV with Tino. </t>
  </si>
  <si>
    <t xml:space="preserve">Ready for Review. </t>
  </si>
  <si>
    <t>deployed to DEV.</t>
  </si>
  <si>
    <t xml:space="preserve">48122	</t>
  </si>
  <si>
    <t>MSB ACCT - BKK - Auto Locking Trigger for Beginning Balance Screen</t>
  </si>
  <si>
    <t xml:space="preserve">2 AC Points completed.
Blocking the bank rec in progress. </t>
  </si>
  <si>
    <t xml:space="preserve">Dev changes completed. Going through unit testing.  </t>
  </si>
  <si>
    <t>Waiting on Pramod for POV.</t>
  </si>
  <si>
    <t xml:space="preserve">	MSB ACCT - BKK - New Imports not Showing in Import MSB Batches Since 7/21 (Elk Grove)</t>
  </si>
  <si>
    <t>https://dev.azure.com/heartlandschools/Accounting/_git/MSBAccounting-NewSchoolBooks/pullrequest/43876</t>
  </si>
  <si>
    <t>Completd</t>
  </si>
  <si>
    <t xml:space="preserve">Fix for escaltion is deployed. 
We need to complete testing on this.  </t>
  </si>
  <si>
    <t>Increasing Value field in PaymentItemProperties. 
from 512 to varchar (MAX)</t>
  </si>
  <si>
    <t xml:space="preserve">Dev completed and tested.  
</t>
  </si>
  <si>
    <t>PR Made</t>
  </si>
  <si>
    <t xml:space="preserve">Testing in progress. </t>
  </si>
  <si>
    <t>https://dev.azure.com/heartlandschools/Accounting/_git/MSBAccounting-NewSchoolBooks/pullrequest/43875</t>
  </si>
  <si>
    <t xml:space="preserve">This was the story created from the escalation on Thatcher. 
A lot of discussiions and workarounds proposed till we came to to the final solution.  </t>
  </si>
  <si>
    <t>Dev Completed 
POV with pramod pending</t>
  </si>
  <si>
    <t>Karthik/Qadir</t>
  </si>
  <si>
    <t xml:space="preserve">Shared report with Nadia.
Waiting for customer to get back to us. </t>
  </si>
  <si>
    <t xml:space="preserve">Reviewed year end. 
Converted income Accounts back to trust accounts, and managed to fix balances.  
Due to Student Body account needs a data fix  </t>
  </si>
  <si>
    <t xml:space="preserve"> Qadir</t>
  </si>
  <si>
    <t xml:space="preserve">	MSB ACCT -BKK - Bad URL Requests on PROD.	
</t>
  </si>
  <si>
    <t>Found reports are bgeing blocked. Raised ticket with Waf Ops.</t>
  </si>
  <si>
    <t xml:space="preserve">
49013	MSB ACCT - BKK - Alpine - Financial Reports to Alpine</t>
  </si>
  <si>
    <t xml:space="preserve">No Progress on this.  </t>
  </si>
  <si>
    <t>MSB Accounting 15.1 Sprint 1</t>
  </si>
  <si>
    <t>SRX27224</t>
  </si>
  <si>
    <t xml:space="preserve">This is a new requirement and not an escalation. We are working on a workaround and a proper fix for this.  </t>
  </si>
  <si>
    <t>1. Flyout message not appearing when we try to Add/Edit/Delete Invoice Items
2. A validation error message for the Date field is currently displaying as "Date is required and cannot be blank1." It should be "Date is required and cannot be blank." This issue was observed in both the Invoice Date and Date fields within the Manual Check section.
3. Default Bank Codes are configured in School Settings. In the Add Manual Check screen, the Bank Code is correctly selected by default. However, after adding an invoice and switching back to Add Manual Check, a validation error is thrown for the Bank Code field
4. The "Clear" and "Today" actions are only partially visible when clicking the Date field in the Manual Check Entry screen.</t>
  </si>
  <si>
    <t>worked by Client dev</t>
  </si>
  <si>
    <t xml:space="preserve">There is data that is coming from the API where the data is larger than the column size in our DB.  
This was unexpected and causing the jobs to fail on PROD. </t>
  </si>
  <si>
    <t xml:space="preserve">MSB Accounting 15.0 Sprint 3 </t>
  </si>
  <si>
    <t xml:space="preserve">47891	</t>
  </si>
  <si>
    <t>MSB ACCT - BKK - Add Support Tool to Lock Beginning Balances</t>
  </si>
  <si>
    <t>https://dev.azure.com/heartlandschools/Accounting/_git/MSBAccounting-NewSchoolBooks/pullrequest/43527</t>
  </si>
  <si>
    <t>I think I heard mention that the 7 day limit value is in the database should we decided to change it to a different value later.  If we did that, would the "6 days" message in the pop-up also update dynamically or would it need to be manually changed and go out with a release?</t>
  </si>
  <si>
    <t>Unit Testing in progress. 
Found some bugs.</t>
  </si>
  <si>
    <t>Dev and unit testing completed. Waiting for Pramod for the POV.</t>
  </si>
  <si>
    <t>POV with Pramod still pending.</t>
  </si>
  <si>
    <t>Waiting for Tino's approval.
Did POV and posted recording on Fri.
In Review</t>
  </si>
  <si>
    <t>Made changes got from POV. POV is approved now, will be making a PR soon.</t>
  </si>
  <si>
    <t>Started Testing, In Progress</t>
  </si>
  <si>
    <t xml:space="preserve">Issues observed in DEV.
Tool Accessible by Role management.  That shouldnt be there. 
Unpost Bank Rec Tool. 
Permissions of Unpost bank Rec are vailable as well. </t>
  </si>
  <si>
    <t xml:space="preserve">Fixed all 3 issues. 
PR Created and Dev deployed. 
Testing in Progress. 
</t>
  </si>
  <si>
    <t xml:space="preserve">	MSB ACCT - BKK - Remove Batches from Import MSB Batches (Oneida)</t>
  </si>
  <si>
    <t>Data fix script was executed on Prod and older batches prior to 2023 are no more observed for the schools while verification completed. We need client to confirm and close.</t>
  </si>
  <si>
    <t xml:space="preserve">We have only 4 Batches from the old ones journalled.
The ones which are not deposited, we can soft delete those.   </t>
  </si>
  <si>
    <t>Had a discussion with Pramod. Made fix queries, need confirmation from customers to remove or hide those old batches.</t>
  </si>
  <si>
    <t>Waiting for the customer confirmation.</t>
  </si>
  <si>
    <t xml:space="preserve">Got Confirmation about clearing the batches. Data Fix query created.  
In Review. </t>
  </si>
  <si>
    <t xml:space="preserve">Data fix query reviewed and run in prod.  
Verification is pending from Client </t>
  </si>
  <si>
    <t>MSB ACCT - BKK - Create "Get MSB Batch Payments" page for support - replace whole batch</t>
  </si>
  <si>
    <t>https://dev.azure.com/heartlandschools/Accounting/_git/MSBAccounting-NewSchoolBooks/pullrequest/43501</t>
  </si>
  <si>
    <t xml:space="preserve">Made some transactions on Test MSB. We are good to test scenarios. </t>
  </si>
  <si>
    <t>Got batches. Made changes in the dev db to make missing payment scenarios.</t>
  </si>
  <si>
    <t>Waiting for Qadir's availability to make changes to dev db to continue testing.</t>
  </si>
  <si>
    <t xml:space="preserve">Pushed changes for bounce back fixes - will create PR after the review.
Karthik - Worked on Form Validation Changes. </t>
  </si>
  <si>
    <t>Bounce back points are fixed. Still test cases remaining to be completed. Need to make changes on Dev db.</t>
  </si>
  <si>
    <t xml:space="preserve">Still 7under testing. 
Fix made to clear the details table on change in selection </t>
  </si>
  <si>
    <t>MSB ACCT - BKK - Create "Get MSB Batch Payments" page for support - get only missing payments</t>
  </si>
  <si>
    <t>Made some transactions on Test MSB. We are good to test scenarios.  Created a bounce back on UI issues.</t>
  </si>
  <si>
    <t>Pushed changes for bounce back fixes - will create PR after the review.</t>
  </si>
  <si>
    <t>SRX27031</t>
  </si>
  <si>
    <t xml:space="preserve">MSB ACCT - BKK - Batch Details Unavailable/Unable to Edit in Import from MSB (Elk Grove)	
</t>
  </si>
  <si>
    <t>Data fix script was executed in the production and verification is completed. MSB Batch details are now available for Edit and Import. We need client to confirm and close this.</t>
  </si>
  <si>
    <t>Completed analysis, shared details and data fix approach with client team. Waiting for the customer confirmation to proceed with data fix on prod db.</t>
  </si>
  <si>
    <t xml:space="preserve">Waiting on more info from the customer.  </t>
  </si>
  <si>
    <t xml:space="preserve">Got confirmation from the client.  
Going ahead and making the changes. </t>
  </si>
  <si>
    <t>Regression Story</t>
  </si>
  <si>
    <t xml:space="preserve">Completed Manual Check Entry.  Working on Computer Check Entry.  </t>
  </si>
  <si>
    <t xml:space="preserve">Karthik- Completed Void Check / Receipt Entry .
Qadir - Bank Deposit Entry 
Sushmitha - Transfer /Cash Transfer /  Adjustment entry 
</t>
  </si>
  <si>
    <t>MSB ACCT - BKK - Regression - 15.0 Stories and Defects</t>
  </si>
  <si>
    <t xml:space="preserve">Smoke testing on batches.  </t>
  </si>
  <si>
    <t xml:space="preserve">testing Default School Settings story in CERT.  </t>
  </si>
  <si>
    <t xml:space="preserve">Blocked by CERT Queries to delete entries in batches.
Issue observed for overdraw account. 
</t>
  </si>
  <si>
    <t xml:space="preserve">Regrssion Defect for batches
Add Support Tool.  -  Normal users should not have access. </t>
  </si>
  <si>
    <t xml:space="preserve">MSB ACCT - BKK - Regression - Management Menu	
</t>
  </si>
  <si>
    <t>Karthik - Started working on this 1099 
Reporting.
Sushmitha - bank Reconcilliation. Observed an issue, with default settings.</t>
  </si>
  <si>
    <t>Completed YE page.  
3 test cases. 
Closed</t>
  </si>
  <si>
    <t>Rijo/sushmitha</t>
  </si>
  <si>
    <t xml:space="preserve">GL Account Maintainence completed.  </t>
  </si>
  <si>
    <t xml:space="preserve">Working on PO reports. -  
Completed
Pramod - GL Analysis
Sushmitha - GL Other reports. </t>
  </si>
  <si>
    <t xml:space="preserve">Sushmitha - banking Reports.
Rijo - Vendor Reports  
</t>
  </si>
  <si>
    <t>We were unable to initiate testing for the "Import from MSB" functionality due to a delay in the CERT environment deployment. Additionally, we were testing stories 48811 and 48541 in CERT, which introduce new functionality that depends on the "Import from MSB" feature.
To proceed with testing these stories, we need to disable the "Test Only" mode in MSB and to test normal import testing we need to Enabled test only mode for validating the tests</t>
  </si>
  <si>
    <t>MSB Accounting 15.0 Sprint 3 Stretch</t>
  </si>
  <si>
    <t>MSB ACCT - BKK - Automation Smoke Tests - Create / Edit / Delete / Journal / Perform reversal on Receipt Entry / Verify Receipt Entry in Bank Deposit</t>
  </si>
  <si>
    <t>https://dev.azure.com/heartlandschools/Accounting/_git/AccountingAutomation/pullrequest/43467</t>
  </si>
  <si>
    <t xml:space="preserve">Completed Createing Reversal/ Preview and need to run the tests to finalize testing. </t>
  </si>
  <si>
    <t>Completed reversal receipt entry. After verifying everything, will be moving to peer review.</t>
  </si>
  <si>
    <t>PR created.</t>
  </si>
  <si>
    <t>MSB ACCT - BKK - Alpine - Upgrade GL Analysis Report to Alpine</t>
  </si>
  <si>
    <t>https://dev.azure.com/heartlandschools/Accounting/_git/MSBAccounting-NewSchoolBooks/pullrequest/43510</t>
  </si>
  <si>
    <t xml:space="preserve">Story Completed. </t>
  </si>
  <si>
    <t>Working on the bug fixes.
Category Detail Report is pending. need to apply changes to rest of the reports</t>
  </si>
  <si>
    <t>Will make the PR today. Final round of testing in progress.</t>
  </si>
  <si>
    <t>Bounce back points are fixed. Still have 1 minor observation on summary report. Will create a bounce back if required after discussion.</t>
  </si>
  <si>
    <t xml:space="preserve">Minor Bounceback on Account Summary page. Will fix with the financial reports.  </t>
  </si>
  <si>
    <t>Bounceback fixed locally. Will make a PR again today.</t>
  </si>
  <si>
    <t>MSB ACCT - BKK - Alpine - Upgrade GL Reports - Others to Alpine</t>
  </si>
  <si>
    <t>1) Add loading template in all reports. 2) Any code we can re-use , lets try to put it in the main.js file.</t>
  </si>
  <si>
    <t>https://dev.azure.com/heartlandschools/Accounting/_git/MSBAccounting-NewSchoolBooks/pullrequest/43469</t>
  </si>
  <si>
    <t>Approved</t>
  </si>
  <si>
    <t>Putting the testing on hold to focus on regression/  Escalations</t>
  </si>
  <si>
    <t>Got code review comments from Qadir and working on those now.</t>
  </si>
  <si>
    <t>Completed code review comments, found 1 issue in dev testing, working on that.</t>
  </si>
  <si>
    <t xml:space="preserve">Waiting on Deployment. </t>
  </si>
  <si>
    <t>Testing not started yet.</t>
  </si>
  <si>
    <t xml:space="preserve">Testing on Hold </t>
  </si>
  <si>
    <t>Data fix queries ready for review</t>
  </si>
  <si>
    <t>Total 5 schools. Beginning balances matching for all schools. But some other observations for 3 schools, working on those.</t>
  </si>
  <si>
    <t xml:space="preserve">Completed Data fix query for all schools. 
Testing in progress. </t>
  </si>
  <si>
    <t xml:space="preserve">Completed POV with Pramod. </t>
  </si>
  <si>
    <t xml:space="preserve">Waiting on Tino's approval . </t>
  </si>
  <si>
    <t xml:space="preserve">Queries Ready for Review.  </t>
  </si>
  <si>
    <t xml:space="preserve">MSB ACCT - BKK - Alpine - Financial Reports to Alpine	
Parent item:  46565 - MSB ACCT - BKK - EPIC - Replace Vue.js with Alpine </t>
  </si>
  <si>
    <t xml:space="preserve">Stopping work on this story to focus on escalations/ Regression </t>
  </si>
  <si>
    <t xml:space="preserve">Built out the reports using Co Pilot. Manual changes pending </t>
  </si>
  <si>
    <t xml:space="preserve">completed Trial Balance and Balance Sheet Reports.  
2 more to go.  </t>
  </si>
  <si>
    <t xml:space="preserve">1. Validation error messages are not displayed for Batch ID and Batch Date when 'Get MSB Batch' is clicked without input. and Today's settled batches are not displayed in the grid when today's date is selected in the Batch Date filter.
2. After fixing the missing transaction and completing the import and journal process, the batch appears in the 'Get MSB Payments' screen, but its payment items are listed under 'Missing Payment Items in Accounting Batch
3. Without refreshing the screen when retrieving GET MSB BATCH for different batch id's , Missing transaction total getting addded from previous results </t>
  </si>
  <si>
    <t>1. Few validations were missing for selections, time was not considering when selecting a batch date and time was calculated as 12 AM and transactions were missing from last day.
2. Bug - Journaled payments wre not getting considered for comparison.
3. List for display was not resetting without an action or refresh of the page.</t>
  </si>
  <si>
    <t>1. An error message should be displayed when the Starting and Ending dates are not selected before previewing the report. 
   Similarly, an error message should be shown if the Starting and Ending accounts are not selected prior to report preview. Error message should be displayed below the field
2. When Account # is checkbox is selected Starting and Ending accounts dropdown should be empty . Similarly when unchecked Starting and Ending accounts should be displayed
3. Category Detail Report &gt; When Category Range is checkbox is selected Starting and Ending category dropdown should be empty . Similarly when unchecked Starting and Ending accounts should be displayed
4. UI Issue - Report panel width not aligned with search panel</t>
  </si>
  <si>
    <t xml:space="preserve">1. -  Bug.
2. /3 .We had initially built out controls.  We found issues when combining 2 of the same controls on the page. #2 /#3 
UI Panel issue was a layout issue, which we need to address.  
</t>
  </si>
  <si>
    <t>1. For the new schools , Beginning Balance page should remain in unlocked state.
2. we should restrict 'Support tool' from being assignable through Role Management
3. Able to access Unpost Bank Reconciliation screen by directly hitting the URL with non super admin access . where user don't have access to menu but still able to access URL</t>
  </si>
  <si>
    <t xml:space="preserve">1. Changed the approach for new schools and that was covering 2 additional ACs from a different story, made enhancements to the AC points to cover it.
2. Bug
3. This was an existing page and earlier users who had access continued to have it.
</t>
  </si>
  <si>
    <t>MSB ACCT - BKK - [Regression] Incorrect "Missing Transactions Total" calculation upon clicking multiple Batches in "Get Missing Batch Payments"</t>
  </si>
  <si>
    <t>List for display was not resetting without an action or refresh of the page. Missed this scenario during dev and QA testing but found in regression.</t>
  </si>
  <si>
    <t>MSB ACCT - BKK - [Regression] "Support tools" menu should not be accessible to District Admin users</t>
  </si>
  <si>
    <t>We are not assigning it by default for district admins. But getting added for them when creating new district admin users.</t>
  </si>
  <si>
    <t>MSB Accounting 15.0 Sprint 2</t>
  </si>
  <si>
    <t>Move the newly created metods to a new support service to reduce complexity and size of the current MSB service.</t>
  </si>
  <si>
    <t>https://dev.azure.com/heartlandschools/Accounting/_git/MSBAccounting-NewSchoolBooks/pullrequest/43265</t>
  </si>
  <si>
    <t>Added 2 new Story points - 1 to handle the null tenants, changed few fields in both the tables in the UI.</t>
  </si>
  <si>
    <t xml:space="preserve">Testing is blocked due to not getting real batch Ids from MSB. Reported the issue with client 6 days before sprint end and created a defect with MSB team as well to resolve the issue. </t>
  </si>
  <si>
    <t xml:space="preserve">Completed Changes discussed with Pramod. Changed the below table from payments, to payment Items. 
Goign through the AC points. </t>
  </si>
  <si>
    <t>Dev changes and unit testing completed. Waiting for Pramod for the POV.</t>
  </si>
  <si>
    <t>Completed POV with Pramod and shared recording in the channel. Working on UI changes suggested by Pramod.</t>
  </si>
  <si>
    <t xml:space="preserve">Waiting on POV and Code Review.  </t>
  </si>
  <si>
    <t>Waiting on Code Review</t>
  </si>
  <si>
    <t>Code Review Changes.
implemented Additional Scenario for Null tenant id.</t>
  </si>
  <si>
    <t xml:space="preserve">Blocker due to issue on the MSB Side. </t>
  </si>
  <si>
    <t xml:space="preserve">Got the batchid for 1 transactions.  
product set up and transactions required for additional testing  
</t>
  </si>
  <si>
    <t xml:space="preserve">Had not received batchid's from DEV in the morning. received them later in the day. 
Created products/ transactions on new gateways setup </t>
  </si>
  <si>
    <t xml:space="preserve">MSB Accounting 15.0 Sprint 2 </t>
  </si>
  <si>
    <t>MSB ACCT - BKK - [Group2] West Covina School District-Review and Enable Beginning Balance feature work [timebox]</t>
  </si>
  <si>
    <t xml:space="preserve">Beginning Balance Fixes -  These will be done with a data fix query. </t>
  </si>
  <si>
    <t xml:space="preserve">Completed Verifications. Due to student Body account not matching.  
Data Fix Created to fix beginning balances.  Ready for POV . Waiting for Pramod. </t>
  </si>
  <si>
    <t>Completed POV and posted the recording for the client PO approval.</t>
  </si>
  <si>
    <t>Waiting for PO approval.</t>
  </si>
  <si>
    <t xml:space="preserve">POV Approved. Need to deploy to DEV. </t>
  </si>
  <si>
    <t>Need to deploy on DEV</t>
  </si>
  <si>
    <t xml:space="preserve">49014	</t>
  </si>
  <si>
    <t>MSB ACCT - BKK - Automation Smoke Tests - Entry Menu - PO &gt; Invoice &gt; Comp Check Flow, Void Check Entry</t>
  </si>
  <si>
    <t>https://dev.azure.com/heartlandschools/Accounting/_git/AccountingAutomation/pullrequest/43219</t>
  </si>
  <si>
    <t xml:space="preserve">Cmpleted Scripts for Print and Journalling Computer Checks. Other features in progress. </t>
  </si>
  <si>
    <t>Completed scripts for void check section. Working on execution.</t>
  </si>
  <si>
    <t>Void check entry changes completd, going through verifications. Will create PR after that.</t>
  </si>
  <si>
    <t xml:space="preserve">Completed all functionality.  Code Review Pending. </t>
  </si>
  <si>
    <t xml:space="preserve">PR Created. Waiting on Owen </t>
  </si>
  <si>
    <t>MSB ACCT - BKK - Automation Smoke Tests - Entry Menu - PO &gt; Invoice &gt; Manual Check Flow</t>
  </si>
  <si>
    <t>https://dev.azure.com/heartlandschools/Accounting/_git/AccountingAutomation/pullrequest/42991</t>
  </si>
  <si>
    <t>1. I left a comment in the PR, WaitUntilElementIsPresent(), would it be better to have this method in the SeleniumActions.cs? I think this is the best place to put it.
2. The class files that add / edit / delete, I do not see anything to check that what you added was correctly added. How are you validating that what you set was actually set properly? we need something like this after we add or edit something. this way we know things are good.</t>
  </si>
  <si>
    <t xml:space="preserve">Waiting on Owen to Approve. </t>
  </si>
  <si>
    <t>Approved PR and story closed</t>
  </si>
  <si>
    <t xml:space="preserve">	MSB ACCT - BKK - Alpine - Upgrade GL Analysis Report to Alpine</t>
  </si>
  <si>
    <t>1)Unable search account numbers in the dropdown. (Use autocomplete as same like snapshot report). 2)Handle validations in client side. 3)Labels are not aligned properly. 4)Month and year selection not working in the datepicker. 5)Move all hard coded text to localization source.</t>
  </si>
  <si>
    <t>https://dev.azure.com/heartlandschools/Accounting/_git/MSBAccounting-NewSchoolBooks/pullrequest/43352</t>
  </si>
  <si>
    <t xml:space="preserve">1) Validations to be made when user loses focus from the controls, and not on the button. 
2) Fix Alignment issues - </t>
  </si>
  <si>
    <t xml:space="preserve">We tried to use Copilot to generate 5 pages of  inputs and reports and they worked to an extent.  We needed to work on client side validation and CSS, and had a tough time keeping things consistent across reports after all of them were generated by AI. Severly underestimated the work required on this, thinking we could do it 100% with AI. </t>
  </si>
  <si>
    <t xml:space="preserve">Reports are generated. Still working on the CSS/ Validation Fixes. </t>
  </si>
  <si>
    <t>Working on loading screens for reports. Had a discussion with James. Will be doing a POV after standup.</t>
  </si>
  <si>
    <t xml:space="preserve">POV to be made and shared with Tino. Internal POV pending as well.  </t>
  </si>
  <si>
    <t xml:space="preserve">POV and Review Comments pending. </t>
  </si>
  <si>
    <t xml:space="preserve">Still working on POV Changes. </t>
  </si>
  <si>
    <t>POV Changes completed for AccountDetail/ AccountSummary. 
Pending for CategoryDetail and Encumberance Report.</t>
  </si>
  <si>
    <t>Dev Complete. POV Pending.</t>
  </si>
  <si>
    <t xml:space="preserve">POV completed. Deployment pending. </t>
  </si>
  <si>
    <t xml:space="preserve">Deployment Done. Ready for Testing.
Testing in progress.  
Observations on Validations. </t>
  </si>
  <si>
    <t>MSB ACCT - BKK - Corbett School District-Review and Enable Beginning Balance feature work [timebox]</t>
  </si>
  <si>
    <t>No updates.</t>
  </si>
  <si>
    <t xml:space="preserve">POV Approved. Waiting on Dev Deployment.  </t>
  </si>
  <si>
    <t xml:space="preserve">Duplicate Entries found in Snapshot report. </t>
  </si>
  <si>
    <t xml:space="preserve">Additional Verifications for Duplicate Entries in PY Report. </t>
  </si>
  <si>
    <t xml:space="preserve">Additional Testing on Deleting Bank Deposits. </t>
  </si>
  <si>
    <t>MSB ACCT - BKK - [Group2] Hood River County School District-Review and Enable Beginning Balance feature work [timebox]</t>
  </si>
  <si>
    <t>Beginning Balance Fixes -  These will be done with a data fix query. Due to additional effort for the data fix, the story points got exceeded.</t>
  </si>
  <si>
    <t>Completed verification. Reports between years matching. But difference between cash and other accounts. Analysing the issue.</t>
  </si>
  <si>
    <t>Created data fix queries. Completed POV with Pramod, will post recording in the channel.</t>
  </si>
  <si>
    <t xml:space="preserve">POV Posted. Waiting on Tino's approval. </t>
  </si>
  <si>
    <t>Review pending</t>
  </si>
  <si>
    <t>This story was assigned to client dev(James) till the last 2 days of sprint. Karthik picked it up and started on it just on the day before sprint end.
 Dev and POV completed. Peer review in progress.</t>
  </si>
  <si>
    <t>MSB Accounting 15.0 Sprint 2 Stretch</t>
  </si>
  <si>
    <t>MSB ACCT - BKK - [Group2] Union-Endicott Central School District-Review and Enable Beginning Balance feature work [timebox]</t>
  </si>
  <si>
    <t>Completed Verification.  Tax Account / Due to student bodies mismatching.  Currently making a data fix query for the same.</t>
  </si>
  <si>
    <t xml:space="preserve">Completed DataFix and POV. </t>
  </si>
  <si>
    <t>Second Rounder to discuss the transfer between Due to Student body and Income Account.</t>
  </si>
  <si>
    <t xml:space="preserve">Clarifications Cleared. Ready to deploy to DEV. </t>
  </si>
  <si>
    <t xml:space="preserve">Completed. Closed by Wes. </t>
  </si>
  <si>
    <t xml:space="preserve">Working on Add a Receipt Entry.  </t>
  </si>
  <si>
    <t xml:space="preserve">Receipt entry Screen-  Add/ Edit/View/Delete/Journal Completed. </t>
  </si>
  <si>
    <t>Completed work on Create/Edit/Delete. Reversal pending.</t>
  </si>
  <si>
    <t>No Progress today</t>
  </si>
  <si>
    <t xml:space="preserve">Started analysis.  Added a new page/ menu item. working on creating page structure.  </t>
  </si>
  <si>
    <t xml:space="preserve">Ui work is close to completion. will start working on the backend now. </t>
  </si>
  <si>
    <t xml:space="preserve">Continued on the backend.  Discussion with pramod on flow.  
</t>
  </si>
  <si>
    <t>continued on the story 47891, backend changes are still in progress</t>
  </si>
  <si>
    <t xml:space="preserve">Continued on this 7/11 AC points completed.  
Lock/unlock scenario doubts. </t>
  </si>
  <si>
    <t>Made table changes. 
Going to make sure other story works as well. 
Add some validations.</t>
  </si>
  <si>
    <t>MSB ACCT - BKK - [Group2] Milton Public Schools-Review and Enable Beginning Balance feature work [timebox]</t>
  </si>
  <si>
    <t xml:space="preserve">Completed Verification, 
Issue with some Variances on a account. </t>
  </si>
  <si>
    <t xml:space="preserve">Completed POV with Pramod. Got approval from Tino. </t>
  </si>
  <si>
    <t xml:space="preserve">Deployed to DEV. 
Testing in progress. </t>
  </si>
  <si>
    <t xml:space="preserve">Expecting to be DEV Completed by tomorrow.  </t>
  </si>
  <si>
    <t>49013	MSB ACCT - BKK - Alpine - Financial Reports to Alpine</t>
  </si>
  <si>
    <t xml:space="preserve">Trial balance report completed. </t>
  </si>
  <si>
    <t xml:space="preserve">1. -  Bug.
2. /3 .We had initially built out controls.  We found issues when combining 2 of the saem controls on the page. #2 /#3 
UI Panel issue was a lyout issue, which we need to address.  
</t>
  </si>
  <si>
    <t>6/232025</t>
  </si>
  <si>
    <t>MSB Accounting 15.0 Sprint 1</t>
  </si>
  <si>
    <t>MSB ACCT - BKK - Timeout Issues with Account Detail Report</t>
  </si>
  <si>
    <t>https://dev.azure.com/heartlandschools/Accounting/_git/MSBAccounting-NewSchoolBooks/pullrequest/43019</t>
  </si>
  <si>
    <t xml:space="preserve">Approved.  </t>
  </si>
  <si>
    <t xml:space="preserve">Still Setting up the POV for this story.  Testing with the same report and the different procedures. </t>
  </si>
  <si>
    <t>Building out the POV.. Found an issue with the Report</t>
  </si>
  <si>
    <t>Issues with reports fixed. POV pending again</t>
  </si>
  <si>
    <t xml:space="preserve">Waiting on POV Feedback </t>
  </si>
  <si>
    <t xml:space="preserve">POV Feedback Received.  PR made. Waiting on Deployment for testing </t>
  </si>
  <si>
    <t xml:space="preserve">DEV Report is still not showing up. Code is the same, but execution plans are very different.   
Investigating SQL Setup on DEV. 
</t>
  </si>
  <si>
    <t>Will release for Testing</t>
  </si>
  <si>
    <t>MSB ACCT - BKK - [Group2] Marsing School District-Review and Enable Beginning Balance feature work [timebox]</t>
  </si>
  <si>
    <t>Tenant 248 had a variance after the beginning balance update, so additional effort was required to create data fix queries to resolve the issue.</t>
  </si>
  <si>
    <t>Completed verifications for all 3 schools. All beg Balances matching as expected. 
Tenant 248 getting a variance of 5000 after updates.</t>
  </si>
  <si>
    <t>Completed data fix for tenant 248. Ready for POV with Pramod.</t>
  </si>
  <si>
    <t xml:space="preserve">POV Video Made. review Pending </t>
  </si>
  <si>
    <t xml:space="preserve">Peer Review/  Testing pending. </t>
  </si>
  <si>
    <t xml:space="preserve">Yet to start testing. </t>
  </si>
  <si>
    <t xml:space="preserve">Started testing.  
Completed for tenant 151.  248 -  PY Detail Reports are slow. </t>
  </si>
  <si>
    <t xml:space="preserve">Verified tenant 249. Working as expected.  
Good to close.  
Tenant 248 has an issue.  new defect created for the issue.  
Timeboxed Story ok to close. </t>
  </si>
  <si>
    <t xml:space="preserve">Closed  </t>
  </si>
  <si>
    <r>
      <rPr>
        <sz val="10"/>
        <color rgb="FF000000"/>
        <rFont val="Arial"/>
        <scheme val="minor"/>
      </rPr>
      <t xml:space="preserve">This story and a related story from stretch </t>
    </r>
    <r>
      <rPr>
        <b/>
        <sz val="10"/>
        <color rgb="FF000000"/>
        <rFont val="Arial"/>
        <scheme val="minor"/>
      </rPr>
      <t>[47278]</t>
    </r>
    <r>
      <rPr>
        <sz val="10"/>
        <color rgb="FF000000"/>
        <rFont val="Arial"/>
        <scheme val="minor"/>
      </rPr>
      <t xml:space="preserve"> was worked together since there was no way to seperate them out. There has been some additional changes required was found during development. Also some UI changes added to the scope and AC to show Payment items instead of payments in the 2nd table.</t>
    </r>
  </si>
  <si>
    <t>Added the new menu and crated page. Tables added, working on search UI.</t>
  </si>
  <si>
    <t>UI chanes almost completed.  
Need to work on the fetch strategy, and API calls</t>
  </si>
  <si>
    <t xml:space="preserve">Working on the endpoints. 
Checking feasability of the API endpoints. Ui changes completed. </t>
  </si>
  <si>
    <t>Setup API Code with payments. 
Working on Saving data.</t>
  </si>
  <si>
    <t>Status: Continued on 48811
API call to get batches based on date range is completed
Difference between MSB and acct batch is also showing on the UI now.
Will continue with the update process.</t>
  </si>
  <si>
    <t xml:space="preserve">Comparison completed
Update process in Progress 
Minor issues need fixing. </t>
  </si>
  <si>
    <t xml:space="preserve">Still in progress. Shared UI changes with Karthik. 
Finding new scenarios.
1)  Issues with batch header
2) Deleting the entire batch - Not a great idea.
</t>
  </si>
  <si>
    <t>Implemented Replacing the batch. 
Discusiion with Pramod on Product Field. 
Unit Testing in progress. 
Karthik - Worked on paging for API call and some UI fixes.</t>
  </si>
  <si>
    <t>MSB ACCT - BKK - Update New School Defaults</t>
  </si>
  <si>
    <t>https://dev.azure.com/heartlandschools/Accounting/_git/MSBAccounting-NewSchoolBooks/pullrequest/42959</t>
  </si>
  <si>
    <t>Started on this. Completed analysis and started on code changes.</t>
  </si>
  <si>
    <t xml:space="preserve">Dev Complete.  POv shared . Review Complete </t>
  </si>
  <si>
    <t xml:space="preserve">Qadir to make a PR for this today. </t>
  </si>
  <si>
    <t>Testing in progress. DEV was down.  
Completed the testing.  Everything Passed.</t>
  </si>
  <si>
    <t>Implemented the changes owen has suggested . Added verification's in Purchase Order, Invoice Entry, and Manual Check Entry files to compare expected and actual outputs after Add/Edit operations.
commited and pushed the latest changes  . Owen is on PTO [30/06/25 - 01/07/25] and PR approval is pending</t>
  </si>
  <si>
    <t xml:space="preserve">Working on Adding Purchase order Entries. </t>
  </si>
  <si>
    <t>Completed creating invoice for existing PO, edit and create invoice. Manual check entry started</t>
  </si>
  <si>
    <t xml:space="preserve">Working on Manual Check Entry This is still in progress.   </t>
  </si>
  <si>
    <t xml:space="preserve">Journalling process in maunal entry screen. Final Checks before creating a PR. </t>
  </si>
  <si>
    <t>Rijo - Testing Autamation Tests locally.</t>
  </si>
  <si>
    <t>Waiting on Owen for feedback</t>
  </si>
  <si>
    <t>Still waiting on Owen's feedback</t>
  </si>
  <si>
    <t xml:space="preserve">Connected with Owen.  Got some changes from Owen. 
Update the test scenarios. Re work involved with Review.  </t>
  </si>
  <si>
    <t xml:space="preserve">Working on the changes.  Half done.  Working on completing it today. </t>
  </si>
  <si>
    <t>Completed changes made by Owen. 
Added additional verifications for PO's</t>
  </si>
  <si>
    <t>MSB Accounting 15.0 Sprint 1 Stretch</t>
  </si>
  <si>
    <t>MSB ACCT - BKK - Review Email Error Logs</t>
  </si>
  <si>
    <t xml:space="preserve">This was a task . No SP Allocated. </t>
  </si>
  <si>
    <t xml:space="preserve">Found an issue with Object reference in the logs. Needs investigating. </t>
  </si>
  <si>
    <t xml:space="preserve">No update on this yet. </t>
  </si>
  <si>
    <t xml:space="preserve">Fixes Made, Having trouble replicating locally. Might just make the PR to fix and see how it works on dev/qa. </t>
  </si>
  <si>
    <t>No updates... still having issues replicating the NESSUS / PROPFind exceptions</t>
  </si>
  <si>
    <t xml:space="preserve">We are waiting on Feedback from the customer before proceeding. </t>
  </si>
  <si>
    <t>Started working on this. Completed the verification. They are matching as expected.
Issues 
1)  Variance found in tenant  253
2) After updating the Beg Balance.</t>
  </si>
  <si>
    <t xml:space="preserve">Root Cause of issue with the doubled beg balance entry found. It's got to do with the data. 
We havent deleted beginning balances yet. have to figure out an alternative solution at this point.    
</t>
  </si>
  <si>
    <t xml:space="preserve">Duplicate beg balances. 
-  Completed YE for current </t>
  </si>
  <si>
    <t xml:space="preserve">Had a POV with Pramod.
discussion about the beginning balances.  Do we need to delete them ? </t>
  </si>
  <si>
    <t xml:space="preserve">Waiting on confirmation. </t>
  </si>
  <si>
    <t>MSB ACCT - BKK - Show/Hide Overdraw Warning not working when User switches the browsers</t>
  </si>
  <si>
    <t xml:space="preserve">This was a testing from our side. </t>
  </si>
  <si>
    <t xml:space="preserve">Just Started. </t>
  </si>
  <si>
    <t>MSB ACCT - BKK - Alpine - Upgrade Account Report (Summary) Page to Alpine</t>
  </si>
  <si>
    <t xml:space="preserve">This story was worked on to use as a demo to see if we could create reports with Co Pilot, successfully Demo'd  the reports. . Story has been modified in the next sprint to complete the analysis reports. </t>
  </si>
  <si>
    <t xml:space="preserve">MSB Accounting 15.0 Sprint 1
</t>
  </si>
  <si>
    <t xml:space="preserve">We noticed this issue in DEV for 1 tenant with a lot of data.  Fixes made to indexes and SP, so that it doesnt affect other tenants. </t>
  </si>
  <si>
    <t>Worked by client dev.</t>
  </si>
  <si>
    <t xml:space="preserve">14.7 Sprint 3  </t>
  </si>
  <si>
    <t>MSB ACCT - BKK - Ignore transferConfirmed - Feature/Backend</t>
  </si>
  <si>
    <t>https://dev.azure.com/heartlandschools/Accounting/_git/MSBAccounting-NewSchoolBooks/pullrequest/42687</t>
  </si>
  <si>
    <t xml:space="preserve">Testing Completed.  Completed in CERT. The dev work and PR was completed in last sprint. Only testing scope in this sprint.
BounceBacks were found during testing, and fixed. </t>
  </si>
  <si>
    <t xml:space="preserve">Tested.
Got batch 1 day late. Create a bounceback 
</t>
  </si>
  <si>
    <t xml:space="preserve">Still in development. Converting Current code to the hotfix branch. </t>
  </si>
  <si>
    <t>Bounce back fix deployed to dev. Still the batches from last 2 days are not appearing.</t>
  </si>
  <si>
    <t xml:space="preserve">Made another fix for the date / timing issue. 
Not facing it locally. 
Sushmitha - Verified in DEV. Didnt receive recentyl made transactions.  </t>
  </si>
  <si>
    <t xml:space="preserve">Testing Completed.  Completed in CERT. </t>
  </si>
  <si>
    <t xml:space="preserve">MSB Accounting 14.7 Sprint 3
</t>
  </si>
  <si>
    <t>MSB ACCT - BKK - Incorrect Overdraw Warning Calculation on Edited Line Items</t>
  </si>
  <si>
    <t xml:space="preserve">Verified Test Cases.  
Bouncebacks Fixed.  
Minor Observation noticed... new defect created.  Worked by Client Developer. 
</t>
  </si>
  <si>
    <t xml:space="preserve">Tested - Issue still found in Invoice Entries .  BounceBack to be created.  </t>
  </si>
  <si>
    <t xml:space="preserve">Went over the issues with James.
Discussion Pending with pramod on how the balance works with Manual Check Entry. </t>
  </si>
  <si>
    <t>Waiting to be deployed.</t>
  </si>
  <si>
    <t xml:space="preserve">Friday - Testing - Found 3 more issues.  
Fix is in just now. Sushmitha to verify. </t>
  </si>
  <si>
    <t xml:space="preserve">Verified Test Cases.  
Bouncebacks Fixed.  
Minor Observation noticed... new defect created.  
</t>
  </si>
  <si>
    <t>MSB ACCT - BKK - Incorrect Totals for GL Account Beginning/Ending Balances (Clark Magnet)</t>
  </si>
  <si>
    <t>Closed. Sushmitha and Karthik Connected and closed this story.  The dev work and PR was completed in last sprint. Only testing scope in this sprint.</t>
  </si>
  <si>
    <t>Data on DEV DB isnt right.  Not matching up with local copy.
Might need a prod db Copy</t>
  </si>
  <si>
    <t xml:space="preserve">Got the latest DB. Trying to restore locally. </t>
  </si>
  <si>
    <t>Not enough space to restore locally. Created IT ticket to free some space.</t>
  </si>
  <si>
    <t xml:space="preserve">Restored DB locally. 
Verification in progress. </t>
  </si>
  <si>
    <t xml:space="preserve">Closed. Sushmitha and Karthik Connected and closed this story.  </t>
  </si>
  <si>
    <t>MSB ACCT - BKK - [Group2] Glendale Unified School District-Review and Enable Beginning Balance feature work [timebox]</t>
  </si>
  <si>
    <t xml:space="preserve">14.7 Sprint 3 </t>
  </si>
  <si>
    <t>MSB ACCT - BKK - Update Adjustment History Report Formatting for Better Readability</t>
  </si>
  <si>
    <t>https://dev.azure.com/heartlandschools/Accounting/_git/MSBAccounting-NewSchoolBooks/pullrequest/42645</t>
  </si>
  <si>
    <t xml:space="preserve">POV Posted.  Waiting on PO Approval. </t>
  </si>
  <si>
    <t xml:space="preserve">Added minor change for space above the line.
Waiting on Approval. </t>
  </si>
  <si>
    <t>Completed testing, story closed.</t>
  </si>
  <si>
    <t>Completed testing and story closed. No review and PR, regression story.</t>
  </si>
  <si>
    <t xml:space="preserve">Found a potential issue during testing. 
</t>
  </si>
  <si>
    <t>Found 1 issue with Cash transfer entry. Informed Pramod and he will be creating a defect.</t>
  </si>
  <si>
    <t xml:space="preserve">	MSB ACCT - BKK - Regression - Reports Menu</t>
  </si>
  <si>
    <t>Rijo - Completed PO reports, PY reports is in progress.
Pramod - Completed GL analysis reports.</t>
  </si>
  <si>
    <t>Rijo - Completed PY Reports. 
Qadir - Completed Financial, Banking and Vendor.</t>
  </si>
  <si>
    <t xml:space="preserve">Sushmitha -PY Reports after year End.  </t>
  </si>
  <si>
    <t xml:space="preserve">	MSB ACCT - BKK - Regression - Maintenance Menu</t>
  </si>
  <si>
    <t xml:space="preserve">Testing Completed.  Found 1 minor defect and shared with pramod.  </t>
  </si>
  <si>
    <t xml:space="preserve">Karthik </t>
  </si>
  <si>
    <t xml:space="preserve">	MSB ACCT - BKK - Regression - Period End Menu</t>
  </si>
  <si>
    <t>Completed 1099 Reporting menu. Bank Reconcilliation Menu.
1099 - Maintain</t>
  </si>
  <si>
    <t xml:space="preserve">Rijo - School Settings / System Startup Completed.  Rest in progress.  </t>
  </si>
  <si>
    <t>Completed Regression on this today</t>
  </si>
  <si>
    <t xml:space="preserve">Verified today. 
Things looking good. Final verifications pending.  </t>
  </si>
  <si>
    <t>14.7 Sprint 3  Stretch</t>
  </si>
  <si>
    <t>MSB ACCT - BKK - Regression - 14.7 Stories and Defects</t>
  </si>
  <si>
    <t xml:space="preserve">Just started verifications for GL Edit. </t>
  </si>
  <si>
    <t xml:space="preserve">Completed Allow GL Edits /  GL mappings in Shared Gateway . 
Completed 3 defects / 2 Stories for testing. 
GL Mapping in Shared Gateway Batch. </t>
  </si>
  <si>
    <t xml:space="preserve">Testing Completed. Only hashCode pending due to DB updates. </t>
  </si>
  <si>
    <t xml:space="preserve">Rijo - 6 Receipting Test Cases.
Sushmitha - Error Log Enhancement story tested- pass.
Also tested Auto Mapping in Import Batches page. 
Receipting  1 Test Case
Receipting  - Completed 16 Test Cases. 
</t>
  </si>
  <si>
    <t>MSB ACCT - BKK - Alpine - Upgrade Account Snapshot Report Page to Alpine</t>
  </si>
  <si>
    <t>https://dev.azure.com/heartlandschools/Accounting/_git/MSBAccounting-NewSchoolBooks/pullrequest/42832</t>
  </si>
  <si>
    <t>Update the collapsible section arrow icons orientations to match the existing ones.</t>
  </si>
  <si>
    <t>A new AutoComplete component was included for selecting a list item, which required additional effort beyond the estimated story points. This was also communicated to the client.</t>
  </si>
  <si>
    <t xml:space="preserve">Completed Integration Changes.  Working on Controls and Form Design </t>
  </si>
  <si>
    <t xml:space="preserve">Completed UI changes. 
New Component created for AutoComplete. facing an issue with DatePicker. </t>
  </si>
  <si>
    <t>Completed dev changes, currently doing unit testing.</t>
  </si>
  <si>
    <t xml:space="preserve">Completed changes and Completed POV. </t>
  </si>
  <si>
    <t xml:space="preserve">Got POV Comment change.  Posted Screenshot after fix. 
Code Review Pending with Qadir.  </t>
  </si>
  <si>
    <t>Waiting on Code Review.</t>
  </si>
  <si>
    <t xml:space="preserve">Code Review Completed.  Waiting on PR. </t>
  </si>
  <si>
    <t xml:space="preserve">PR Made.
Waiting on deployment. </t>
  </si>
  <si>
    <t>Testing completed
 figuring out issues with page loader and report</t>
  </si>
  <si>
    <t xml:space="preserve"> - MSB ACCT - BKK - Alpine - Upgrade School Maintenance Page to Alpine</t>
  </si>
  <si>
    <t>The dev work and PR was completed in last sprint. Only testing scope in this sprint.</t>
  </si>
  <si>
    <t xml:space="preserve">48292	</t>
  </si>
  <si>
    <t>MSB ACCT - BKK - Extend Feature Flag UI to Support District and System Features</t>
  </si>
  <si>
    <t xml:space="preserve">
Scope of this story changed. Entire UI design change added to the story. Will require re-estimation. Will continue in the next sprint.</t>
  </si>
  <si>
    <t>Need to confirm with Pramod whether Enable/Disable option should work like boolean value and feature not applicable if its disabled from the UI. Rest are completed.</t>
  </si>
  <si>
    <t xml:space="preserve">No Progress on it. </t>
  </si>
  <si>
    <t xml:space="preserve">Completed the changes as discussed with Michael.  
One Issue pending.
</t>
  </si>
  <si>
    <t xml:space="preserve">Call With Pramod. Working on latest UI. 
Not sure if it's part of this story. 
Looking for suggestions for Parent child structure of features. 
</t>
  </si>
  <si>
    <t xml:space="preserve">Additional Points provided by Sarah.  Potential redesign of UI </t>
  </si>
  <si>
    <t xml:space="preserve">	MSB ACCT - BKK - Timeout Issues with Account Detail Report</t>
  </si>
  <si>
    <t xml:space="preserve">Completed Dev. Need to make a POV and PR. </t>
  </si>
  <si>
    <t>qadir</t>
  </si>
  <si>
    <t>This is an existing issue that the team has been working on fixing balances for schools due to issues with the past rollover of accounts between the fiscal years</t>
  </si>
  <si>
    <t>1. When creating an invoice for an existing purchase order, incorrect warning calculations are being displayed.
2. When Editing the newly created invoice entry, incorrect warning calculations are appearing.
3. After creating a new purchase order entry with unit cost, tax, and freight values, incorrect warning calculations appear when Editing the PO entry while it is in open status. 
4. Created PO entry with Tax and Freight , Created invoice entry for the existing PO entry with Tax and Freight . In Edit invoice screen , incorrect warning calculations are shown
5. There is an issue with incorrect warning calculations in the Edit Invoice screen when creating an invoice manually, without linking an existing PO. The problem occurs under the following scenarios: Invoice should have Tax and Freight , Invoice with only Tax , Invoice with only Freight
6. There is an issue with incorrect warning calculations when processing manual checks for an existing invoice in the following workflow:
Create Purchase Order
Create Invoice for the Existing PO
Create Manual Check for the Existing Invoice
1. When line items are auto-added during manual check creation, the warning calculation incorrectly considers [Amount Deducted + Encumbered Amount] instead of the correct balance.
2. The same miscalculation occurs when editing the check after manual entry.
3. This issue persists across all scenarios, regardless of tax and freight inclusion.</t>
  </si>
  <si>
    <t xml:space="preserve">After the batch is settled, payments are reflected in accounting the next day.
</t>
  </si>
  <si>
    <t xml:space="preserve">Bug found during testing where the batch picked up payments 1 day later. Bug was fixed in the bounceback  </t>
  </si>
  <si>
    <t>MSB ACCT - BKK - [Regression] Blank GL acct and category columns in reverse bank deposit UI</t>
  </si>
  <si>
    <t>Existing issue found during regression . Defect has been moved to backlog</t>
  </si>
  <si>
    <t xml:space="preserve"> MSB ACCT - BKK - [Regression] Authorization and GL account columns are not populated while a PO is selected for a new Invoice</t>
  </si>
  <si>
    <t>MSB ACCT - BKK - [Regression] Error message displayed while editing notes on reversal entry for cash transfer entry</t>
  </si>
  <si>
    <t>MSB ACCT - BKK - GL mappings in a shared gateway batch is not saved for other schools when not directly mapped from UI</t>
  </si>
  <si>
    <t>Move out the method InsertAccountMappingIfNotExistsAsync into a seperate method</t>
  </si>
  <si>
    <t>https://dev.azure.com/heartlandschools/Accounting/_git/MSBAccounting-NewSchoolBooks/pullrequest/42425</t>
  </si>
  <si>
    <t>Tried to avoid the flag setup completely, but need to go though looping for all 4 fields and decided against it. Currently updating SP to set the paymentItemMapped flag.</t>
  </si>
  <si>
    <t>Made the SP changes. Testing it out now. found 1 issue with updation.</t>
  </si>
  <si>
    <t>Dev work and testing completed, waiting for Pramod's availability for the POV</t>
  </si>
  <si>
    <t>Got approval for POV. Waiting for code review for the PR.</t>
  </si>
  <si>
    <t xml:space="preserve">Still waiting on Qadir to review.  </t>
  </si>
  <si>
    <t xml:space="preserve">Sushmitha found an issue. Fix made, and PR made for that.  </t>
  </si>
  <si>
    <t xml:space="preserve">Ready for testing.
</t>
  </si>
  <si>
    <t xml:space="preserve">Able to map payment items. 
Scenarios working as expected.  </t>
  </si>
  <si>
    <t xml:space="preserve">Need to investigate the issue. 
Might have to re-look at the code written to fetch MSB batches with feature flag off. </t>
  </si>
  <si>
    <t xml:space="preserve">Fixed . </t>
  </si>
  <si>
    <t>MSB ACCT - BKK - Add Automation Smoke Test - Maintenance</t>
  </si>
  <si>
    <t>https://dev.azure.com/heartlandschools/Accounting/_git/AccountingAutomation/pullrequest/42449</t>
  </si>
  <si>
    <t>Completed Changes for Vendor Maintainence / Category Maintainence / GL Print Groups</t>
  </si>
  <si>
    <t>Completed changes for Vendor maintanance. Currently working on bank account maintanance, targeting to complete it by eod.</t>
  </si>
  <si>
    <t>Completed Add, edit, delete fns for GL print group.</t>
  </si>
  <si>
    <t xml:space="preserve">Completed Add/ Edit/  Delete for Category Maintainence
</t>
  </si>
  <si>
    <t xml:space="preserve">Peer testing - Karthik </t>
  </si>
  <si>
    <t>No progress today.  Sushmitha is on leave.</t>
  </si>
  <si>
    <t>PR approved</t>
  </si>
  <si>
    <t>MSB ACCT - BKK - [Group2] Glendale Unified School District-Review and Enable Beginning Balance feature work</t>
  </si>
  <si>
    <t xml:space="preserve">Blocked because of DEV DB. </t>
  </si>
  <si>
    <t>Started today. Currently verifying for clark magnet school. Found few issues and needs discussions.</t>
  </si>
  <si>
    <t>Continued to verify beg bal for the same school. Issue with other account totals not matching. Issue with income/Exp beg bal value.</t>
  </si>
  <si>
    <t xml:space="preserve">Completed Verifications for both Schools. 
Created a data fix query. 
POV pending with Pramod. </t>
  </si>
  <si>
    <t>POV completed. Shared data fix query on dev channel.</t>
  </si>
  <si>
    <t xml:space="preserve">
We can verify on dev.  with current backup since we are only updating the beginning balance 2024 and before.</t>
  </si>
  <si>
    <t>Started Testing.  Completed verifications on 139 (Woodrow wilson.) Verification on going for Clark magent.</t>
  </si>
  <si>
    <t>Verification for Clark magnet is pending - No Progress today, susmitha team on leave.</t>
  </si>
  <si>
    <t>Qadir to speak to DBA team</t>
  </si>
  <si>
    <t xml:space="preserve">Got a response.  Need to speak to them again. </t>
  </si>
  <si>
    <t xml:space="preserve">48294	</t>
  </si>
  <si>
    <t>https://dev.azure.com/heartlandschools/Accounting/_git/MSBAccounting-NewSchoolBooks/pullrequest/42485</t>
  </si>
  <si>
    <t>Not seeing any of the batches in Import MSB. Testing in progress.</t>
  </si>
  <si>
    <t>Started to implement look back feature as discussed in yesterday's planning.</t>
  </si>
  <si>
    <t>working on the manual run when 0 is entered in the feature flag</t>
  </si>
  <si>
    <t>No Progress  - Qadir was on leave yesterday</t>
  </si>
  <si>
    <t xml:space="preserve">Still working on the manual run.  Am planning on implementing buttons to initiate the job on the sync Setting page so we can run the Job. </t>
  </si>
  <si>
    <t xml:space="preserve">Dev testing in progress. </t>
  </si>
  <si>
    <t xml:space="preserve">Found an issue during testing yesterday with the Transfer confirmed flag. 
Fixed it </t>
  </si>
  <si>
    <t xml:space="preserve">PR Made yesterday. Deployed.  Ready for testing. </t>
  </si>
  <si>
    <t xml:space="preserve">Still testing required. 
Havent received any of the payments into accounting.  </t>
  </si>
  <si>
    <t>Not seeing any of the batches in ImportMSBN</t>
  </si>
  <si>
    <t xml:space="preserve">48220	</t>
  </si>
  <si>
    <t>MSB ACCT - BKK - Enhance Error Log Messaging for Hash Code Routine</t>
  </si>
  <si>
    <t xml:space="preserve">1) Change return type as Task&lt;string&gt; and make the method async.
2) Use localization for log message text. </t>
  </si>
  <si>
    <t>https://dev.azure.com/heartlandschools/Accounting/_git/MSBAccounting-NewSchoolBooks/pullrequest/42356</t>
  </si>
  <si>
    <t>Got POV approval from Sarah, pushed changes for peer review and testing.</t>
  </si>
  <si>
    <t>Changes given by Qadir completed. Will be creating a PR after approval.</t>
  </si>
  <si>
    <t xml:space="preserve">Deployment Complete.  Ready for testing </t>
  </si>
  <si>
    <t>Went through POV video, started testing</t>
  </si>
  <si>
    <t xml:space="preserve">This is in testing. Waiting on the log message to show up in the logs.  </t>
  </si>
  <si>
    <t xml:space="preserve">Still Waiting for log messages. </t>
  </si>
  <si>
    <t xml:space="preserve">Still waiting for logs. </t>
  </si>
  <si>
    <t xml:space="preserve">Got Logs.  Testing in progress. </t>
  </si>
  <si>
    <t>MSB ACCT - BKK - Enhance Overdraw Warnings and Indicators (No Prompt when Overdrawing from Creating a PO - Carpenteria High School)</t>
  </si>
  <si>
    <t xml:space="preserve">James has fixed the issues. 1 issue has been converted to a defect. 
Testing in progress.  </t>
  </si>
  <si>
    <t>Completed testing and closed story.</t>
  </si>
  <si>
    <t xml:space="preserve">Testing Completed from our side. </t>
  </si>
  <si>
    <t>Michael</t>
  </si>
  <si>
    <t>MSB ACCT - BKK - Extend Feature Flagging to Have a District Level Option</t>
  </si>
  <si>
    <t>Testing in progress. Have some doubts with how much UI changes are part of this story.</t>
  </si>
  <si>
    <t xml:space="preserve">Closing the story. </t>
  </si>
  <si>
    <t xml:space="preserve">SRX26398	</t>
  </si>
  <si>
    <t>MSB ACCT - BKK - Bank Reconciliation Report Showing Previously Cleared/Duplicate Lines</t>
  </si>
  <si>
    <t>Closed escalation.</t>
  </si>
  <si>
    <t>Made request to update data on production. Once verified, we can close the escalation.</t>
  </si>
  <si>
    <t>Verified by Nadia, all looks good. But escalation is yet to be closed.</t>
  </si>
  <si>
    <t>Escalation is still open .
1 school is fixed. Other school has reported issues. Still waiting on the issue details from Nadia.</t>
  </si>
  <si>
    <t xml:space="preserve">Sent the update queries for this. Waiting for it to be run.  </t>
  </si>
  <si>
    <t>Update Query Run - Wiating on verification</t>
  </si>
  <si>
    <t xml:space="preserve">Spent time investigating the issue with the bank Recs.  Not found yet. </t>
  </si>
  <si>
    <t>SRX26468</t>
  </si>
  <si>
    <t>Continued to verify beg bal for the Clark Magnet school. Issue with other account totals not matching. Issue with income/Exp beg bal value.</t>
  </si>
  <si>
    <t>Data Fix is reacy  -  POV with pramod.</t>
  </si>
  <si>
    <t xml:space="preserve">POV completed. We will deploy to DEV to test. </t>
  </si>
  <si>
    <t>Same as glendale Unified district. Testing for tenant 150</t>
  </si>
  <si>
    <t>Testing in progress for Clark magnet</t>
  </si>
  <si>
    <t>DEV DB Update</t>
  </si>
  <si>
    <t>SRX26486</t>
  </si>
  <si>
    <t>MSB ACCT - BKK - Import from MSB Batch Totals Displaying Incorrect Amounts (Clark Magnet)</t>
  </si>
  <si>
    <t xml:space="preserve">Data Request made yesterday. Got the data. </t>
  </si>
  <si>
    <t>Root Cause yet to be determined.  Potentially timeout or Data not sent at once from MSB for the same batchid</t>
  </si>
  <si>
    <t xml:space="preserve">Nadia confirmed its done. </t>
  </si>
  <si>
    <t>14.7 Sprint 2  Stretch</t>
  </si>
  <si>
    <t xml:space="preserve">47282	</t>
  </si>
  <si>
    <t>MSB ACCT - BKK - [Group2] Glenns Ferry School District-Review and Enable Beginning Balance feature work [timebox]</t>
  </si>
  <si>
    <t>Fixed Beg bal. Verification in progress. Completed 2 year reports.</t>
  </si>
  <si>
    <t xml:space="preserve">Issues with the First 2 years.  
</t>
  </si>
  <si>
    <t xml:space="preserve">Continued working on this today. Still havent been able to identify the root cause. </t>
  </si>
  <si>
    <t xml:space="preserve">No beg balance entries for the years, which have issues.
TBD </t>
  </si>
  <si>
    <t xml:space="preserve">Tenant 117  - Issues with the beginning balance. 
Closed the story since it was time Boxed.  </t>
  </si>
  <si>
    <t>MSB ACCT - BKK - Alpine - Upgrade School Maintenance Page to Alpine</t>
  </si>
  <si>
    <t>https://dev.azure.com/heartlandschools/Accounting/_git/MSBAccounting-NewSchoolBooks/pullrequest/42559</t>
  </si>
  <si>
    <t>Three additional points were newly included in the AC
1) The column name - "Enabled" is changed to "Status". 2)The toggle shows the caption as "Active" / "Inactive" based on the toggle state. 3)Add and Edit school popup shows the checkbox caption as "Active" / "Inactive" instead of "Enabled" / "Disabled"</t>
  </si>
  <si>
    <t xml:space="preserve">ready to be deployed. </t>
  </si>
  <si>
    <t>Started on code changes.</t>
  </si>
  <si>
    <t xml:space="preserve">Working on Create / Edit Entry form.  
Completed the toggle/ Search </t>
  </si>
  <si>
    <t>Completed changes for the pages.  Working on Validation.</t>
  </si>
  <si>
    <t xml:space="preserve">Completed changes.  Waiting on POV. </t>
  </si>
  <si>
    <t xml:space="preserve">Completed POV Changes.  </t>
  </si>
  <si>
    <t xml:space="preserve">Waiting on Qadir Review.  </t>
  </si>
  <si>
    <t xml:space="preserve">Made UI changes. 
Mockup Completed.  Working on the backend. </t>
  </si>
  <si>
    <t>No changes yet, started analysis.</t>
  </si>
  <si>
    <t xml:space="preserve">JUst started with the UI Changes. </t>
  </si>
  <si>
    <t xml:space="preserve">Changes completed . Waiting on Pramod.  </t>
  </si>
  <si>
    <t>rijo</t>
  </si>
  <si>
    <t>QA</t>
  </si>
  <si>
    <t>Currently when a new mapping added, we are updating other payment items which has all 4 gl accounts matching. But when mappings added partially from different payment items, those will be missed to get the flag updated. Created the defect to cover that additional scenario.</t>
  </si>
  <si>
    <t>SRX26398</t>
  </si>
  <si>
    <t xml:space="preserve">This is an issue observed by a customer. We have identified the cause and a defect will be created to fix it. This issue has been observed for the first time since last year.  We havent worked on this feature in a while. </t>
  </si>
  <si>
    <t>This is a known existing issue. To address it, we have created a new page to validate account balances and update incorrect beginning balances by enabling a feature flag. Using this approach, we updated the beginning balances and applied a data fix for the school that reported the issue. QA testing is still pending due to database slowness in the development environment. So, we have closed this escalation and created a new defect (25350) for QA testing.</t>
  </si>
  <si>
    <t>Payments are coming late from MSB through API after batch got settled, which isn't the scenario we expected. Fixed the escalation by updating batch totals. And created 2 new stories for creating a support page for the support team to pull up data from msb and update the existing batches as a fix.</t>
  </si>
  <si>
    <t>Getting internal error pop up message when trying to save the mappings of red highlighted line items</t>
  </si>
  <si>
    <t>Database call to add MSB Gl acct mappings where called asynchronously, and was getting threading issue. Changed it to call one after another.</t>
  </si>
  <si>
    <t xml:space="preserve">47861	</t>
  </si>
  <si>
    <t>MSB ACCT - BKK - Allow GL Edits on Every Import Line Item in Import MSB Batches</t>
  </si>
  <si>
    <t xml:space="preserve">Minor fixes. change names of old variables. </t>
  </si>
  <si>
    <t>https://dev.azure.com/heartlandschools/Accounting/_git/MSBAccounting-NewSchoolBooks/pullrequest/42101</t>
  </si>
  <si>
    <t xml:space="preserve">Suhmitha - Bounceback is fixed.  
Completed the testing.  Closed this story. </t>
  </si>
  <si>
    <t>Made the code changes.  Tested Normal scenarios with non shared batch.  Testing Shared batch scenarios</t>
  </si>
  <si>
    <t xml:space="preserve">POV with Pramod and Sushmitha.  </t>
  </si>
  <si>
    <t>PR Created</t>
  </si>
  <si>
    <t xml:space="preserve">Sushmitha - School Setup on DEV Evnironment.  </t>
  </si>
  <si>
    <t>Observed couple of issues.
1.Few payments are missing in a batch - Providers was not enabled.
2.Mapping payment items are showing 0000 instead of msg GL code
3. Mayment item showing unmapped instead of 0000 in a scenario - Not an issue, account doesn't exist on Dev db</t>
  </si>
  <si>
    <t xml:space="preserve">Sushmitha - Issue with Shared Gateway. 
Automapped Payment Items visible in both schools. 
Rijo - Fix made for yesterday's bounceback. Looking into the issue with the automapping isseu found today. 
</t>
  </si>
  <si>
    <t xml:space="preserve">Pushed the changes for review. 
Issue with the shared batch is an existing issue. 
need to discuss with Sarah.  </t>
  </si>
  <si>
    <t xml:space="preserve">PR Made today monring. </t>
  </si>
  <si>
    <t>MSB ACCT - BKK - Alpine - Upgrade District Admin Management Page to Alpine</t>
  </si>
  <si>
    <t>Story completed. Developed by client developer, only testing efforts from Relevantz QA.</t>
  </si>
  <si>
    <t xml:space="preserve">Started testing - Couple of issues -  District Admin Active/ Inactive Toggle. 
Placeholder text is missing for 1. 
Another issue with creating a district. Sorting isnt working for Active/ Inactive. Unlinking not working. </t>
  </si>
  <si>
    <t>Bounceback being fixed.</t>
  </si>
  <si>
    <t>Waiting on bounceback</t>
  </si>
  <si>
    <t>PR Made for bounceBack -  Waiting on deployment.</t>
  </si>
  <si>
    <t>No updates, yet to be deployed</t>
  </si>
  <si>
    <t xml:space="preserve">Completed testing. </t>
  </si>
  <si>
    <t>MSB ACCT - Alpine - Add additional Filters to the Grid</t>
  </si>
  <si>
    <t>Story completed. Dev work was completed in last sprint, only test efforts here.</t>
  </si>
  <si>
    <t xml:space="preserve">Testing yet to be started. </t>
  </si>
  <si>
    <t xml:space="preserve">Completed Testing. </t>
  </si>
  <si>
    <t>Additional requirements provided - Dev Complete</t>
  </si>
  <si>
    <t xml:space="preserve">MSB ACCT - BKK - Internal error/delayed save while saving district admin user with many schools </t>
  </si>
  <si>
    <t>https://dev.azure.com/heartlandschools/Accounting/_git/MSBAccounting-NewSchoolBooks/pullrequest/42110</t>
  </si>
  <si>
    <t xml:space="preserve">created a stroed proc to create permission. </t>
  </si>
  <si>
    <t xml:space="preserve">Completed Dev Changes.  Waiting on POV.  </t>
  </si>
  <si>
    <t>PR to be created</t>
  </si>
  <si>
    <t xml:space="preserve">Able to edit over 50 schools in a single district. </t>
  </si>
  <si>
    <t>14.7 Sprint 1  Stretch</t>
  </si>
  <si>
    <t xml:space="preserve">I couldn't allocate time to work on the automation story as I was focused on testing other committed stories and defects for the sprint. The automation story is not part of the main commit, and the client is aware. completed </t>
  </si>
  <si>
    <t>Not started</t>
  </si>
  <si>
    <t>Started  - -Vendor Maintainence. Need CERT super admin creds.</t>
  </si>
  <si>
    <t xml:space="preserve">Vendor maintainence committed on Friday.  </t>
  </si>
  <si>
    <t xml:space="preserve">No progress.  </t>
  </si>
  <si>
    <t xml:space="preserve">	MSB ACCT - BKK - Cosumnes HS (Elk Grove) - Correct Out of Balance Deposits Containing "Error" Payments</t>
  </si>
  <si>
    <t>Data fix made on prod. Got confirmation and defect closed.</t>
  </si>
  <si>
    <t>started investigation</t>
  </si>
  <si>
    <t>Found the data that needs to be fixed. Need to write a query for the update.</t>
  </si>
  <si>
    <t>Made fixes for the bank Deposits - Shared findings with Sarah.  need to investigate more.  we have $3 difference on the trial abalance.</t>
  </si>
  <si>
    <t xml:space="preserve">I figured out the $3 issue with the trial balance. Need to discuss with Sarah. </t>
  </si>
  <si>
    <t>Got all the details from Sarah, made updates, verification in progress. Expecting to be completed today.</t>
  </si>
  <si>
    <t xml:space="preserve">Completed. Shared details with Sarah and it's approved.  
Will make the update during deployment. </t>
  </si>
  <si>
    <t>w</t>
  </si>
  <si>
    <t xml:space="preserve">Data Fix is ready... waiting on Sarah to confirm </t>
  </si>
  <si>
    <t xml:space="preserve">Data fix made on prod. Waiting on Sarah's confirmation. </t>
  </si>
  <si>
    <t xml:space="preserve">Waiting to be verified.  Closed for now. </t>
  </si>
  <si>
    <t>MSB ACCT - BKK - Newark Unified School District-Review and Enable Beginning Balance feature work</t>
  </si>
  <si>
    <t>Story completed.
Only testing scope in this sprint, no PR, no code changes.</t>
  </si>
  <si>
    <t xml:space="preserve">Testing in porgress. No issues. No variance in Bank Rec.  </t>
  </si>
  <si>
    <t xml:space="preserve">24575	</t>
  </si>
  <si>
    <t>MSB ACCT - BKK - Reversal deposit entry is saved while it is edited and cancelled</t>
  </si>
  <si>
    <t>https://dev.azure.com/heartlandschools/Accounting/_git/MSBAccounting-NewSchoolBooks/pullrequest/42179</t>
  </si>
  <si>
    <t>Story completed. One additional point included in the AC during internal POV. (Client QA : 8hrs)</t>
  </si>
  <si>
    <t xml:space="preserve">Dev Started. </t>
  </si>
  <si>
    <t xml:space="preserve">Fixing Dev Testing Bugs. 
Found Similar issues  with 
Receipt Entry /  Transfer Entry. </t>
  </si>
  <si>
    <t>Did POV with Pramod, and shared recording for Sarah's review.</t>
  </si>
  <si>
    <t xml:space="preserve">PR Created today. </t>
  </si>
  <si>
    <t>Sushmitha- Completed.</t>
  </si>
  <si>
    <t>MSB ACCT - BKK - Federal Tax ID Field Should Support Hyphen Character</t>
  </si>
  <si>
    <t>https://dev.azure.com/heartlandschools/Accounting/_git/MSBAccounting-NewSchoolBooks/pullrequest/42188</t>
  </si>
  <si>
    <t>Included one additional point in the AC. 7) Leading and following spaces are auto-trimmed such that if " 12-3456789 " or another string with a space, return, tab, etc. leading/following the Federal Tax ID is pasted into the field, those extraneous space characters are removed instantly (should happen while the field is still in focus)</t>
  </si>
  <si>
    <t>Completed Validation settings.  working on print 1099 form.</t>
  </si>
  <si>
    <t xml:space="preserve"> Dev changes are completed, Had a POV discussion with Pramod, and he added one additional point to the AC. Currently I am working on that.</t>
  </si>
  <si>
    <t>Changes completed. Waiting for Pramod for the POV.</t>
  </si>
  <si>
    <t>Waiting for Qadir's Review. Will create a PR after.</t>
  </si>
  <si>
    <t xml:space="preserve">In Testing.   -  Wes. </t>
  </si>
  <si>
    <t xml:space="preserve">POV Created for Sarah.  </t>
  </si>
  <si>
    <t xml:space="preserve">Analysis- Calrification Required.  </t>
  </si>
  <si>
    <t xml:space="preserve">Completed dev changes. 
2 questions about UI /  Dev Testing. </t>
  </si>
  <si>
    <t xml:space="preserve">Completed Changes with feature flag. Issues with fetching updated data.  </t>
  </si>
  <si>
    <t xml:space="preserve">Dev Testing </t>
  </si>
  <si>
    <t xml:space="preserve">Still Testing other scenarios. </t>
  </si>
  <si>
    <t>Started Testing  - Some observations.</t>
  </si>
  <si>
    <t xml:space="preserve">Bouncebacks to be deployed.  Found 2 addtiional issues. </t>
  </si>
  <si>
    <t xml:space="preserve">25237	</t>
  </si>
  <si>
    <t xml:space="preserve">Defect Being Fixed
</t>
  </si>
  <si>
    <t>Issue found during prod deployment. Created defect on the same day, did analysis, found the root cause and the scenario. Fix carried to next sprint.</t>
  </si>
  <si>
    <t xml:space="preserve">No update on this. </t>
  </si>
  <si>
    <t xml:space="preserve">	MSB ACCT - BKK - Ignore transferConfirmed - Feature/Backend	
</t>
  </si>
  <si>
    <t xml:space="preserve">Dev Completed.
Found an issue with the way we are picking up payments.  We need to discuss.  </t>
  </si>
  <si>
    <t>The "Main GL Accounts No" column in payment line items currently shows '0000' for unmapped accounts, but it should display the MSB GL instead.</t>
  </si>
  <si>
    <t>Bounceback found during the testing. The MSB Gl code was not getting set from backend.</t>
  </si>
  <si>
    <t>This is how it was designed from beginning. Have the same issue/design in 2 more entry pages.</t>
  </si>
  <si>
    <t>Actually, 110 permissions need to be created for each school. Initially, this was done using a foreach loop because ABP framework does not provide an option for bulk entry creation. As a result, there was some delay when processing multiple schools. We have resolved this issue by creating a new stored procedure in the backend to add all permissions in a single call.</t>
  </si>
  <si>
    <t>MSB ACCT - BKK - Cosumnes HS (Elk Grove) - Correct Out of Balance Deposits Containing "Error" Payments</t>
  </si>
  <si>
    <t>We were importing failed/error payments earlier. The users imported these payments and created bank deposits, which was not valid and created out of balance issues. We fixed it by updating the amounts to zero to avoid calculation issues.</t>
  </si>
  <si>
    <t>5/1/2025
(Off Shore Holiday)</t>
  </si>
  <si>
    <t>MSB ACCT - BKK - Change MSB GL Account IDs from GUID to String</t>
  </si>
  <si>
    <t>https://dev.azure.com/heartlandschools/Accounting/_git/MSBAccounting-NewSchoolBooks/pullrequest/41910?_a=files</t>
  </si>
  <si>
    <t>Verified and completed.</t>
  </si>
  <si>
    <t xml:space="preserve">Dev completed.  Dev Testing in Progress.  </t>
  </si>
  <si>
    <t>1 issue found with Null Gl Acocunts. Working on finding a fix for this.</t>
  </si>
  <si>
    <t>Fixed issue. POV in progress.</t>
  </si>
  <si>
    <t>In Testing.  Minor observation of display of UnmappedGL Account and Missing GL Accounts with different sets of transactions.  This is unexpected behaviour and needs investigation</t>
  </si>
  <si>
    <t xml:space="preserve">Verified the BounceBack. Did the test on Wes' District. It worked. Need to revert mappings in Sushmitha's district to complete testing. </t>
  </si>
  <si>
    <t xml:space="preserve">Couldnt find the reason to fix it.  
The import works, it will be default values assigned for the GL Accounts. </t>
  </si>
  <si>
    <t>Closing Story. Made the same transactions again and it worked in QA.</t>
  </si>
  <si>
    <t>MSB ACCT - BKK - Change Default Date on Imported Deposits</t>
  </si>
  <si>
    <t>https://dev.azure.com/heartlandschools/Accounting/_git/MSBAccounting-NewSchoolBooks/pullrequest/41851</t>
  </si>
  <si>
    <t>Completed by Wes.</t>
  </si>
  <si>
    <t>PR Made.  Waiting for Approval / Deployment</t>
  </si>
  <si>
    <t>Ready for Testing - Client QA</t>
  </si>
  <si>
    <t>Bounceback Found.  Fix in Progress</t>
  </si>
  <si>
    <t xml:space="preserve">	MSB ACCT - BKK - Logs - Change LogLevel to Debug for Payment Update Log	
</t>
  </si>
  <si>
    <t>Task Completed</t>
  </si>
  <si>
    <t xml:space="preserve">This is a task </t>
  </si>
  <si>
    <t xml:space="preserve">Task Completed.  Code is deployed. We will verfy the logs.  </t>
  </si>
  <si>
    <t>Completed. Verification to be done.</t>
  </si>
  <si>
    <t>MSB ACCT - BKK - Regression - 14.6 Stories and Defects</t>
  </si>
  <si>
    <t xml:space="preserve">Sushmitha staging data for stories on MSB </t>
  </si>
  <si>
    <t xml:space="preserve">Defect verifications in progress.  </t>
  </si>
  <si>
    <t>Waiting on jobs to run. 
Started Verifying 3rd party fees</t>
  </si>
  <si>
    <t>Tested Import MSB Batches functionality. 2 observations.  Batches made from invoices didnt show up.  
Missing GL's getting mapped by default to an accounting GL. (This shouldnt happen)</t>
  </si>
  <si>
    <t xml:space="preserve">Closed. Issue with 1 student / batch while importing. </t>
  </si>
  <si>
    <t xml:space="preserve">Ran the automation tests- All Tests passed. </t>
  </si>
  <si>
    <t>In progress</t>
  </si>
  <si>
    <t xml:space="preserve">Testing out scenarios affecting the mappings of older batches, when newer batches are mapped.  </t>
  </si>
  <si>
    <t xml:space="preserve">For invoice payments not received only for 1 account with synergy provider.  No other issues. </t>
  </si>
  <si>
    <t xml:space="preserve">MSB ACCT - BKK - Regression - Maintenance Menu	
</t>
  </si>
  <si>
    <t xml:space="preserve">Transfer and Cash Transfer Entry pages pending.  Rest Completed. </t>
  </si>
  <si>
    <t xml:space="preserve">Sushmitha - Financial, Other GL Reports. </t>
  </si>
  <si>
    <t>Vendor Reports and Financial reports</t>
  </si>
  <si>
    <t>Just Started</t>
  </si>
  <si>
    <t>Completed All menu items.</t>
  </si>
  <si>
    <t xml:space="preserve">Did additional verifiction on post year end verification and Bank Rec. </t>
  </si>
  <si>
    <t>14.6 Sprint 3 Stretch</t>
  </si>
  <si>
    <t xml:space="preserve">MSB ACCT - Alpine - Add additional Filters to the Grid	
</t>
  </si>
  <si>
    <t xml:space="preserve">Issue with the Clear Date Filter, Clearing the active/inactive filter at the same time. </t>
  </si>
  <si>
    <t>https://dev.azure.com/heartlandschools/Accounting/_git/MSBAccounting-NewSchoolBooks/pullrequest/41940</t>
  </si>
  <si>
    <t>Label and date control alignment needs to be corrected,
two button should be immediately next to the "To" date without a gap</t>
  </si>
  <si>
    <t xml:space="preserve">Dev Complete. Peer review in progress. </t>
  </si>
  <si>
    <t xml:space="preserve">Still in progress. Working on the datepicker
</t>
  </si>
  <si>
    <t>Complete it today before standup.</t>
  </si>
  <si>
    <t>Dev completed. Mior CSS ot be fixed.</t>
  </si>
  <si>
    <t xml:space="preserve">PR Completed. Waiting on deployment. </t>
  </si>
  <si>
    <t xml:space="preserve">On hold. This is a stretch item. </t>
  </si>
  <si>
    <t xml:space="preserve">On hold. </t>
  </si>
  <si>
    <t xml:space="preserve">Completed Dev, PR pending. </t>
  </si>
  <si>
    <t>14.6 Sprint 3 - Stretch</t>
  </si>
  <si>
    <t>MSB ACCT - BKK - Internal error/delayed save while saving district admin user with many schools (14.7)</t>
  </si>
  <si>
    <t xml:space="preserve">Putting this story on hold for Regression </t>
  </si>
  <si>
    <t>Analysis still in progress.</t>
  </si>
  <si>
    <t xml:space="preserve">No Progress.  Karthik on PTO. </t>
  </si>
  <si>
    <t xml:space="preserve">Rijo-Started looking into it. </t>
  </si>
  <si>
    <t xml:space="preserve">Code analysis  -  Found the issue. Making permissions takes time. 
Also there is an issue with removing Config menu prep. 
</t>
  </si>
  <si>
    <t xml:space="preserve">	MSB ACCT - BKK - Fix the email functionality in the build pipeline.</t>
  </si>
  <si>
    <t>Task completed</t>
  </si>
  <si>
    <t>Completed the email functionality for the build Pipeline.  It was a task</t>
  </si>
  <si>
    <t>MSB ACCT - BKK - Newark Unified School District-Review and Enable Beginning Balance feature work [timebox]</t>
  </si>
  <si>
    <t>We pulled this story into stretch on the last day of sprint. Dev work completed. No code changes required as there is no issue with data. No PR for this.</t>
  </si>
  <si>
    <t>1 School in the district. - Verified the data from 2019 to 2025. All Pass.</t>
  </si>
  <si>
    <t>when clicking import , the batches are not importing and no flyout message is displayed</t>
  </si>
  <si>
    <t>When the sales tax default value is not set in school settings and sales tax account not selected from edit window, the null value was creating issue, it was expecting a empty guid.</t>
  </si>
  <si>
    <t xml:space="preserve">On selecting the Date from date picker filter , 'Date must be after Last closed date' error message is displayed </t>
  </si>
  <si>
    <t>The date validation was happening when selecting the date. It should be trigerring when changing the batch selection to match the new date criteria.</t>
  </si>
  <si>
    <t>4/18/2025
(India Holiday)</t>
  </si>
  <si>
    <t>22/04/2025</t>
  </si>
  <si>
    <t xml:space="preserve">47244	</t>
  </si>
  <si>
    <t>MSB ACCT - BKK - Display Non-MSB Accounting GLs in Import MSB Batches (14.6)</t>
  </si>
  <si>
    <t xml:space="preserve">1. Remove the unnecessary directives referenced.
2. Get all accounts and save it in a list to reduce db calls. </t>
  </si>
  <si>
    <t>https://dev.azure.com/heartlandschools/Accounting/_git/MSBAccounting-NewSchoolBooks/pullrequest/41750</t>
  </si>
  <si>
    <t>Change the text from "UnMapped" to "Unmapped".</t>
  </si>
  <si>
    <t>One issue found. It's more a defect than an issue with the story.  We will close this story and create a new defect. Story completed.</t>
  </si>
  <si>
    <t xml:space="preserve">Staged Data for Provider Single Gateway.  Cannot create events in tickets.  </t>
  </si>
  <si>
    <t xml:space="preserve">Dev Testing completed.  Found 1 scenario where GL's created on MSB dont have a GUID, which could potentially cause an issue. Need to discuss on Standup </t>
  </si>
  <si>
    <t xml:space="preserve">POV Pending. </t>
  </si>
  <si>
    <t xml:space="preserve">POV shared. Waiting on POV / Peer Review/  Peer Testing </t>
  </si>
  <si>
    <t>Code Review changes. PR to be created after</t>
  </si>
  <si>
    <t>Got issues with migration. 3 migrations made in the PR, which caused an issue with the order in which they  were executed. Creating a PR to fix it.</t>
  </si>
  <si>
    <t xml:space="preserve">Found an issue in code with existing data.  Fix applied and deployed to QA.
Sushmitha: Received payments. Testing in progress
</t>
  </si>
  <si>
    <t xml:space="preserve">Testing in progress.
</t>
  </si>
  <si>
    <t xml:space="preserve">One issue found. It's more a defect than an issue with the story.  We will close this story and create a new defect. </t>
  </si>
  <si>
    <t xml:space="preserve">47262	</t>
  </si>
  <si>
    <t>MSB ACCT - BKK - Save Mappings Between MSB Accounting GLs and Unrecognized GLs (14.6</t>
  </si>
  <si>
    <t>Made changes in the approach to save data on the mapping table.</t>
  </si>
  <si>
    <t xml:space="preserve">47263	</t>
  </si>
  <si>
    <t>MSB ACCT - BKK - Auto-update Unrecognized GLs with MSB Accounting GLs When They Exist in the Mapping Table (14.6)</t>
  </si>
  <si>
    <t xml:space="preserve">POV Pending. 
Sushmita - Staged Data. </t>
  </si>
  <si>
    <t>MSB ACCT - BKK - Same Batch ID assigned for two batches/duplicate batches created while batch creation</t>
  </si>
  <si>
    <t xml:space="preserve">No updates on this. </t>
  </si>
  <si>
    <t>No updates on this. Karthik on PTO</t>
  </si>
  <si>
    <t xml:space="preserve">Completed Data Fix Query. figure out how to do the POV /  testing </t>
  </si>
  <si>
    <t>POV completed with Pramod. Need to post Video for Sarah's Review</t>
  </si>
  <si>
    <t xml:space="preserve">Qadir to Review. </t>
  </si>
  <si>
    <t>Ready for testing.</t>
  </si>
  <si>
    <t>MSB ACCT - BKK - Elk Grove Unified School District-Review and Enable Beginning Balance feature work [timebox]</t>
  </si>
  <si>
    <t>This is a timeboxed story. Fixes are not part of this story. Completed analysis informed Internal and client PO. Will be creating a new defect for the fixes. Story closed.</t>
  </si>
  <si>
    <t>Turned on Feature Flag.</t>
  </si>
  <si>
    <t>7 out 11 completed for Rijo . 
Karthik - Completed 5 tenants YE verifications. Found issues with 6 tenants</t>
  </si>
  <si>
    <t>Completed Analysis. Need to share discrepencies with Sarah</t>
  </si>
  <si>
    <t xml:space="preserve">Waiting on Sarah's Feedback </t>
  </si>
  <si>
    <t>We need to provide a fix for 4 /11  schools. 
further investigation required. Might be a new story to work on.</t>
  </si>
  <si>
    <t>Qadir- Dsicussion with Sarah.  
karthik - Analysis.  
need a defect for tenant 331.</t>
  </si>
  <si>
    <t>MSB ACCT - BKK - Alpine - Upgrade Gateways Page to Alpine (14.6)</t>
  </si>
  <si>
    <t>https://dev.azure.com/heartlandschools/Accounting/_git/AccountingAutomation/pullrequest/41749</t>
  </si>
  <si>
    <t>15/04/25</t>
  </si>
  <si>
    <t>16/04/25</t>
  </si>
  <si>
    <t>This was developed by the client Developer. Our effort went in testing it out.  Story completed.</t>
  </si>
  <si>
    <t>Tested Alpine Changes.  Updated current automation test cases for this page in the Alpine Branch.  Observed UI issue and created bounceback</t>
  </si>
  <si>
    <t xml:space="preserve">Waiting on James's updates. 
Automation Changes in Alpine. </t>
  </si>
  <si>
    <t>Verified BouncebAck Issues. one more doubt.</t>
  </si>
  <si>
    <t xml:space="preserve">Waiting on Peer Review for Automation Tests.  </t>
  </si>
  <si>
    <t>MSB ACCT - BKK - Alpine - Upgrade Change School Page to Alpine</t>
  </si>
  <si>
    <t>https://dev.azure.com/heartlandschools/Accounting/_git/MSBAccounting-NewSchoolBooks/pullrequest/41825</t>
  </si>
  <si>
    <t>Align Toggle to the right hand side of the table.Centre align columns and buttons. 
Find a workaround for hiding without affecting the paging.</t>
  </si>
  <si>
    <t>School Code and District Code are both shorter fields, so the default column width for those can be reduced to give more space for the name fields. District Code and District Name columns should be swapped so that the narrower code column is leading. Also, all of the column names should be left justified to match the data in the columns.</t>
  </si>
  <si>
    <t xml:space="preserve">Story completed. This took longer than expected since I was using a new framework, and we made some progress on another story to create generic filters to be used across the application, before breaking it out into another story. This was also estimated to be worked by James, which is why it was on the lower side. </t>
  </si>
  <si>
    <t xml:space="preserve">Started working on this page. Review </t>
  </si>
  <si>
    <t xml:space="preserve">Working on the UI changes.  Dev will be completed today. </t>
  </si>
  <si>
    <t xml:space="preserve">Dev Testing in progress. </t>
  </si>
  <si>
    <t>Waiting for james' Changes.  Found some issues with the loading of data.  Fixed.</t>
  </si>
  <si>
    <t xml:space="preserve">Found an issue with the Search not working for ''All" . Made the fix. AC points with the toggle for viewing Active/inactive Schools is in progress. </t>
  </si>
  <si>
    <t xml:space="preserve">Still working on the toggle functionality. </t>
  </si>
  <si>
    <t xml:space="preserve">Toggle functionality worked but without paging.  Need to re write to include paging. </t>
  </si>
  <si>
    <t xml:space="preserve">Integrating james' changes for the filter. </t>
  </si>
  <si>
    <t>Dev and Testing Completed</t>
  </si>
  <si>
    <t>James (Client Team)</t>
  </si>
  <si>
    <t>MSB ACCT - BKK - Feature Flag 1099 Forms Feature</t>
  </si>
  <si>
    <t>Testing scope only for the offshore team. Developed by client team.</t>
  </si>
  <si>
    <t xml:space="preserve">Completed Testing.  Bounceback for the issue created.  </t>
  </si>
  <si>
    <t xml:space="preserve">Waiting on the Fix.  </t>
  </si>
  <si>
    <t>14.6 Sprint 2 Stretch</t>
  </si>
  <si>
    <t>Completed GL Account Maintenance screen . Unable to complete Others screens as i was occupied on Testing on other comitted stories and Defects . Client is aware and moved the Story to backlog</t>
  </si>
  <si>
    <t>Completed internal peer review and testing. PR will be created.</t>
  </si>
  <si>
    <t xml:space="preserve">Completed Dev Changes. </t>
  </si>
  <si>
    <t xml:space="preserve">47936	</t>
  </si>
  <si>
    <t>Updated Models and Changed paymentApp Service</t>
  </si>
  <si>
    <t xml:space="preserve">Discussion on Columns to be modified. </t>
  </si>
  <si>
    <t xml:space="preserve">No Updates. </t>
  </si>
  <si>
    <t>No updates</t>
  </si>
  <si>
    <t xml:space="preserve">Started working on this. GL Account Maintainence Screen.  Add/  Edit / Delete Functionality. </t>
  </si>
  <si>
    <t>No Progress. 
Activate/ inactivate GL Accounts.</t>
  </si>
  <si>
    <t>Selected schools' panel is displayed outside the Assign school screen.</t>
  </si>
  <si>
    <t>24971	MSB ACCT - BKK - Same Batch ID assigned for two batches/duplicate batches created while batch creation</t>
  </si>
  <si>
    <t>We observed this issue while analysing the defect 24968 in the last sprint. A fix for the duplicate batchId issue had already been implemented in a previous release (14.4). So we executed data fix queries to fix the existing duplicate batchid issues.</t>
  </si>
  <si>
    <t>1. An internal error occured during your request message occurs , while mapping the unrecognized GL's from MSB accounting , Default provider and for transactions with no provider mapped
2. While selecting line items sequentially, the GL associated with a previously clicked line item is being incorrectly carried over and added to the next selected line item. After refreshing the screens it works fine
3. In a shared batch, when products are auto-mapped for one school, they appear as unmapped and highlighted in red for other schools.</t>
  </si>
  <si>
    <t>1.  This was due to bad deploymewnt where migrations had not run.  
2.  This was a development issue caught during testing .
3. Development issue, the flag to update paymenttems for shared batch was updating only the same product lines. Created new SP for updating all items with same Gls.</t>
  </si>
  <si>
    <t>When Feature flag is set to false - Print 1099 Form submenu is hidden as expected,but Print 1099 Form report is accessible via direct URL</t>
  </si>
  <si>
    <t>MSB Accounting - BKK - Regression - 14.5</t>
  </si>
  <si>
    <t>Completed Pending stories.  Regression is now closed. Pulled over from Previous Sprint</t>
  </si>
  <si>
    <t>Completed Pending stories.  Regression is now closed</t>
  </si>
  <si>
    <t>MSB ACCT - BKK - [Regression] Encumbrance Report - Two rows missing in exported csv file data</t>
  </si>
  <si>
    <t>https://dev.azure.com/heartlandschools/Accounting/_git/MSBAccounting-NewSchoolBooks/pullrequest/41432</t>
  </si>
  <si>
    <t>No Issues</t>
  </si>
  <si>
    <t>Defect fixed
Pulled over from Previous Sprint</t>
  </si>
  <si>
    <t xml:space="preserve">Completed DEV Changes. </t>
  </si>
  <si>
    <t xml:space="preserve">Dev Completed. 
Shared Peer Testing pending. </t>
  </si>
  <si>
    <t>SRX25861</t>
  </si>
  <si>
    <t xml:space="preserve">	MSB ACCT - BKK - Duplicate/Cleared Items on Bank Rec History Report (Elk Grove)</t>
  </si>
  <si>
    <t>No code changes, no PR. It was an escalation for deplicate lines in Bank rec report. Its no longer appearing, informed the customers and closed the escalation.</t>
  </si>
  <si>
    <t xml:space="preserve">Data Request is made. Report generated locally worked ok. </t>
  </si>
  <si>
    <t xml:space="preserve">Query is ready.  Still trying to figure out root cause. Issue with Duplicate Bank Rec lines created.  </t>
  </si>
  <si>
    <t xml:space="preserve">Deployed the fix for the customer. 
not able to replicate yet. </t>
  </si>
  <si>
    <t>SRX25901</t>
  </si>
  <si>
    <t xml:space="preserve">	MSB ACCT - BKK - Missing Batches in Import Batches from MSB (Malad MS)</t>
  </si>
  <si>
    <t xml:space="preserve">Discussed with Nadia (Support) about the issue and figured out it was due to the batches already being Imported, that they were not showing up on the Import MSB batches pages. </t>
  </si>
  <si>
    <t>MSB ACCT - BKK - Add Automation Smoke Test - Administration Menu [Time Box]</t>
  </si>
  <si>
    <t>https://dev.azure.com/heartlandschools/Accounting/_git/AccountingAutomation/pullrequest/41539</t>
  </si>
  <si>
    <t>1. Remove else statement as we don't need this debug message. 
2. We need to change the name of this. We do not want the same names for this.
UserAddEditDeleteAndAssignSchoolTestCase would be better. I normally use the class name+ testcase
3. We need to change the name of this. We do not want the same names for this.
RoleAddEditDeleteTestCase would be better. I normally use the class name+ testcase</t>
  </si>
  <si>
    <t>Completed Add, Edit , Delete functionalities of Role management and user management screen . Assign school to user , set/undo school admin functions from Assign schools screen'</t>
  </si>
  <si>
    <t xml:space="preserve">Role Management in progress. </t>
  </si>
  <si>
    <t xml:space="preserve">Role managment screen - Add/Edit /Delete. </t>
  </si>
  <si>
    <t>Add user functionality completed. Will be completing edit user and will commit the changes by EOD.</t>
  </si>
  <si>
    <t>Assign schools functionality completed.</t>
  </si>
  <si>
    <t>PR Created yesterday. Waiting on approval from Owen.</t>
  </si>
  <si>
    <t>Working on PR comment changes</t>
  </si>
  <si>
    <t xml:space="preserve">	MSB ACCT - BKK - [Regression] Runtime Error on Vendor Check History Report</t>
  </si>
  <si>
    <t xml:space="preserve">This was an issue found after Regression. I was investigating another potential issue with the Platops Team, and we had changed a setting on load balancer.  We were in thye process of reverting it back when we found this issue. There is no time spent on it , since when reverting the setting the issue was fixed.  The setting was the way in which the load balancer handled session for users. </t>
  </si>
  <si>
    <t>We found few scenarios and extended the scope durig the development process. 
Scenarios: 
1. Handle null provider
2. Need to give option for the user to add different mappings for different GL s - Sale, Tax, Cash, Expenditure
3. For a shared batch, there is no way to identify if the unmapped transaction is already claimed by another tenant, have to add a new flag for identifying the same.
Will be re estimating today</t>
  </si>
  <si>
    <t xml:space="preserve">Worked on BG job part. mafe changes in Payment App Service. </t>
  </si>
  <si>
    <t>Linking Completed. Discussion on Adding the provider in the mapping.</t>
  </si>
  <si>
    <t xml:space="preserve">Mapping completed. Need to verify the null user scenario and some UI issues remaining to fix. </t>
  </si>
  <si>
    <t>Found some scenarios to work in shared batch. Working on it.</t>
  </si>
  <si>
    <t>Dev changes are completed. Doing unit testing, will connect with Pramod for POV once completed.</t>
  </si>
  <si>
    <t>Found some issues while doing the dev testing, And working on that.</t>
  </si>
  <si>
    <t>Found a new scenario. Need to give option for the user to add different mappings for different GL s - Sale, Tax, Cash, Expenditure</t>
  </si>
  <si>
    <t xml:space="preserve">No progress on this one.  </t>
  </si>
  <si>
    <t>Completed changes with the mapping.  Dev Testing in progress.
Sushmitha - Setup new porducts with MSB GL's</t>
  </si>
  <si>
    <t>Completed changes with the mapping.  Dev Testing in progress.</t>
  </si>
  <si>
    <t>MSB ACCT - BKK - Macroscope Crits and Highs [Timebox]</t>
  </si>
  <si>
    <t>https://dev.azure.com/heartlandschools/Accounting/_git/MSBAccounting-NewSchoolBooks/pullrequest/41434</t>
  </si>
  <si>
    <t>Made the macroscope issue fixes and closed the story.</t>
  </si>
  <si>
    <t xml:space="preserve">Pendo.js issues. </t>
  </si>
  <si>
    <t xml:space="preserve">PR Created. </t>
  </si>
  <si>
    <t>MSB ACCT - BKK - Twin Rivers - Incorrect Year End Warning About Unreconciled Bank Account</t>
  </si>
  <si>
    <t>https://dev.azure.com/heartlandschools/Accounting/_git/MSBAccounting-NewSchoolBooks/pullrequest/41571</t>
  </si>
  <si>
    <t>Skip the reconciliation warning popup when there is no reconciliation for the banks</t>
  </si>
  <si>
    <t>1)These scenarios should show the warning message and be labelled "Not Reconciled" like they are in other scenarios - 1) Single bank has ReconciliationDate = Null --&gt; 177 | 2) All Banks have ReconciliationDate = Null --&gt; 115
2)The sentence "If all of the necessary Bank Reconciliations for the last month of the year have been finished, then you can Proceed." appears twice - once before the bank accounts and once after. Please remove the one after.
3)For previous year reconciliations, the sentence "Not Reconciled for current Fiscal school year," should be shortened to "Unreconciled in current year,"
4)I still think we should display fully reconciled accounts, but seeing it firsthand does make me think they need to be differentiated more from accounts that aren't fully reconciled. Can we add a small, green check symbol/icon in front of the accounts that are considered reconciled? I mocked up an example below.
5)Please update the first sentence of the message from "It appears you may not have completed a Bank Reconciliation for one or more bank accounts for the last month of the year." to "One or more bank accounts have not been reconciled for the last month of the year."</t>
  </si>
  <si>
    <t>Defect fixed and closed.</t>
  </si>
  <si>
    <t xml:space="preserve">Completed Dev Changes.  Dev testing in porgress. </t>
  </si>
  <si>
    <t>POV with Pramod completed, got 1 feedback, need to work on it. Also need a clarification from Sarah for 1 scenario, will discuss on Standup.</t>
  </si>
  <si>
    <t>POV completed with Pramod. Will be sharing the recording with Sarah.</t>
  </si>
  <si>
    <t>Got 5 POV comments from Sarah yesterday. Completed the changes. Waiting for Pramod for the POV.</t>
  </si>
  <si>
    <t>POV approved. Internal peer review in progress. After that will create a PR.</t>
  </si>
  <si>
    <t xml:space="preserve">Testing is in progress. </t>
  </si>
  <si>
    <t>14.6 Sprint 1 Stretch</t>
  </si>
  <si>
    <t>MSB ACCT - BKK - [STRETCH] Change Import Status of Batch to 'Imported' (Elk Grove)</t>
  </si>
  <si>
    <t>No PR. This is a data fix on Prod. Createad an RF to to run cleanup query on prod db. Will be closing the defect after getting confirmation from the customer.</t>
  </si>
  <si>
    <t>Created update script for batch status update.</t>
  </si>
  <si>
    <t>Query created. Completed POV with Pramod.</t>
  </si>
  <si>
    <t xml:space="preserve">POV completed on Friday.
Query to be shared with Qadir to execute on PROD. </t>
  </si>
  <si>
    <t>Query executed on PROD. Waiting for confirmation.</t>
  </si>
  <si>
    <t>Completed data fixes for 10 out of 28 duplicate batches. The remaining fixes have been carried over to the next sprint.</t>
  </si>
  <si>
    <t xml:space="preserve">Data Request made to DBA, and the fix is meant for older data. </t>
  </si>
  <si>
    <t xml:space="preserve">Data Fix query creation in progress.  
Duplicate batch id. 
</t>
  </si>
  <si>
    <t>In the Encumbrance Report, when the 'Print Budget Amounts' checkbox is checked, two additional rows are added to the report before the projected balance. However, these additional rows were missing in the CSV file data, as there was no implementation related to the 'Print Budget Amounts' option during CSV file creation. We have made the necessary changes to fix this issue.</t>
  </si>
  <si>
    <t>MSB ACCT - BKK - [Regression] Runtime Error on Vendor Check History Report</t>
  </si>
  <si>
    <t xml:space="preserve">This issue was due to configuration change on CERT being tested out. Not a code issue. We reverted the config changes on the server, and the report started working as expected.  </t>
  </si>
  <si>
    <t>A warning message about unreconciled banks was being shown during year-end processing, even when the bank was fully reconciled for the year. This was due to a missing condition check between the reconciliation date and the year-end date in the code. We have added the necessary condition to skip the warning when the bank is fully reconciled. Additionally, we updated the warning message content to help users better understand the bank reconciliation status.</t>
  </si>
  <si>
    <t>MSB ACCT - BKK - Change Import Status of Batch to 'Imported' (Elk Grove)</t>
  </si>
  <si>
    <t>This issue was related to the import status not being updated for a batch due to duplication with the same batchId. We had already implemented a fix for the duplicate batchId issue in a previous release. However, the reported batch was created before that fix was deployed. During our analysis, we also found 28 more duplicate batches from earlier dates. After discussing with the client, we created a new defect to address those duplicates. As part of this defect, we applied a data fix only for the reported batch.</t>
  </si>
  <si>
    <t>MSB ACCT - BKK - Batch from Single School Gateway Does Not Reappear in Import After a Reversal</t>
  </si>
  <si>
    <t>This was found while working on another story and was observed for deposits with a single gateway were not being visible after reversal</t>
  </si>
  <si>
    <t xml:space="preserve">MSB ACCT - BKK - Duplicate batches showing for a tenant with same batch Id	
</t>
  </si>
  <si>
    <t xml:space="preserve">This was also found while working on another story. When working with a copy of the PROD DB , we noticed this issue for batches . Issue was with the fetching of the  data </t>
  </si>
  <si>
    <t>MSB ACCT - BKK - [Regression] 'Amount' column shows as NaN while assigning GL for the products in a shared gateway batch</t>
  </si>
  <si>
    <t xml:space="preserve">This was a display issue on the UI after a user has reviewed the GL Account.  Issue was with dynamic display. On refresh we would see the correct numbers. </t>
  </si>
  <si>
    <t>MSB ACCT - BKK - [Regression] Help menu url in Accounting does not point to Accounting help topic page in Heartland Support Central</t>
  </si>
  <si>
    <t>The link for the Knowledge base was taken offline, and a new link was available. We were not aware of this change, and found it during regression</t>
  </si>
  <si>
    <t>MSB ACCT - BKK - East Central Independent School District-Corrections for 1 School and Enable Beginning Balance feature work</t>
  </si>
  <si>
    <t>No issues found</t>
  </si>
  <si>
    <t>https://dev.azure.com/heartlandschools/Accounting/_git/MSBAccounting-NewSchoolBooks/pullrequest/41089</t>
  </si>
  <si>
    <t>No issues</t>
  </si>
  <si>
    <t xml:space="preserve">Approved. </t>
  </si>
  <si>
    <t xml:space="preserve">We did additional work on this story as we had to fix an issue. </t>
  </si>
  <si>
    <t xml:space="preserve">Testing in Progress - 
Tenant 224 -  Completed YE. </t>
  </si>
  <si>
    <t xml:space="preserve">Started verification for 216.  
</t>
  </si>
  <si>
    <t xml:space="preserve">Karthik - Completed 3 schools , 
Sushmitha - Completed -1 </t>
  </si>
  <si>
    <t xml:space="preserve">Completed verifcaition for 5 schools. </t>
  </si>
  <si>
    <t xml:space="preserve">Completed verifcaition for 3 schools. </t>
  </si>
  <si>
    <t>MSB ACCT - BKK - Implement Per Item Fees in Database and Batch Info</t>
  </si>
  <si>
    <t>https://dev.azure.com/heartlandschools/Accounting/_git/MSBAccounting-NewSchoolBooks/pullrequest/41228</t>
  </si>
  <si>
    <t>PR completed. Ready for testing.</t>
  </si>
  <si>
    <t xml:space="preserve">Dev Completed. Looking into the issue with the pop up not whoing up all the time. </t>
  </si>
  <si>
    <t>Stuck with the UI bug. PR completed.</t>
  </si>
  <si>
    <t xml:space="preserve">Observed a issue, that reversal created is not working for a single school. 
</t>
  </si>
  <si>
    <t xml:space="preserve">Story completed. </t>
  </si>
  <si>
    <t>MSB ACCT - BKK - Set Web Config to Display Generic Error and Downgrade Logging Level for Controller Errors in Log4Net</t>
  </si>
  <si>
    <t>https://dev.azure.com/heartlandschools/Accounting/_git/MSBAccounting-NewSchoolBooks/pullrequest/41234</t>
  </si>
  <si>
    <t>Additional changes from Pramod:
1) Include logo in the newly added error page.
2) Clear user login session when redirect to the error page.</t>
  </si>
  <si>
    <t xml:space="preserve">Dev Complete. </t>
  </si>
  <si>
    <t>POV Comments -  Still working.</t>
  </si>
  <si>
    <t xml:space="preserve">PR made.  </t>
  </si>
  <si>
    <t xml:space="preserve">Waiting on deployment. </t>
  </si>
  <si>
    <t>Completed testing . Logo image is broken , karthik confirmed it will be fixed in next deployment</t>
  </si>
  <si>
    <t>Logo image is now displayed . Testing completed</t>
  </si>
  <si>
    <t xml:space="preserve">	MSB ACCT - RCA for Escalation 25665</t>
  </si>
  <si>
    <t xml:space="preserve">Closed this task. This happened because of some bad data with the old way of processing Batches. Checked for similar issues but they didnt exist. </t>
  </si>
  <si>
    <t xml:space="preserve">Still reviewing the batch creation query. Also analysing old data.  </t>
  </si>
  <si>
    <t xml:space="preserve">No progress on this yet.  </t>
  </si>
  <si>
    <t xml:space="preserve">Checked mimatch in payment totals and batch totals based on batch id , and found quite a few records. </t>
  </si>
  <si>
    <t xml:space="preserve">47274	</t>
  </si>
  <si>
    <t>MSB ACCT - BKK - South Colonie School District-Review and Enable Beginning Balance feature work</t>
  </si>
  <si>
    <t xml:space="preserve">Completed. This was a story to verify data for a school after the year end process. No Code Required. Only Verification </t>
  </si>
  <si>
    <t xml:space="preserve">Observation - We didnt find PY bank Recs for these tenants .
Investigation -  These tenants have completed YE last year with the old method which marked PY Bank Recs as deleted.  </t>
  </si>
  <si>
    <t xml:space="preserve">	MSB ACCT - BKK - Batch from Single School Gateway Does Not Reappear in Import After a Reversal</t>
  </si>
  <si>
    <t xml:space="preserve">The batch disappears after Jornalling the reversal deposit.  This should happen only after Import, and not journalling the original deposit. </t>
  </si>
  <si>
    <t>https://dev.azure.com/heartlandschools/Accounting/_git/MSBAccounting-NewSchoolBooks/pullrequest/41321</t>
  </si>
  <si>
    <t xml:space="preserve">Discussion about the status of a batch post journalling the deposit. We decided, that this needs to be addressed as well.  </t>
  </si>
  <si>
    <t>Completed DEV. Testing in progress</t>
  </si>
  <si>
    <t xml:space="preserve">Discussion with Sarah, and changes identified. </t>
  </si>
  <si>
    <t xml:space="preserve">14.5 Sprint 3 </t>
  </si>
  <si>
    <t xml:space="preserve">	MSB Accounting - BKK - Regression - 14.5</t>
  </si>
  <si>
    <t xml:space="preserve">Qadir - 
Maintainence Screen - PO Entry
Rijo - 6 Entry Screens - PO reports - 1 PY Report
Karthik - 3 Entry Screens - GL Analysis Report. 
Sushmitha - Completed 2 Stories and 1 Defect. </t>
  </si>
  <si>
    <t>Rijo - Completed PY Reports 
Karthik - vendor Reports - 1099 Reports - bank Rec. 
Month End.
Sushmitha - Completed 24833 - 
Verified ImportFromMSB.
Staged data.47335- staged data for verification. 
24856 - Staged data for that</t>
  </si>
  <si>
    <t>year end completed 
Regression - 
Pending - 2 Stories - 46917 / 47335/ 47445 /24856
Multi-School Bank Rec</t>
  </si>
  <si>
    <t>https://dev.azure.com/heartlandschools/Accounting/_git/MSBAccounting-NewSchoolBooks/pullrequest/41359</t>
  </si>
  <si>
    <t>Story Completed.   Testing Completed as well.</t>
  </si>
  <si>
    <t>Dev Completed. 
PR completed.</t>
  </si>
  <si>
    <t>https://dev.azure.com/heartlandschools/Accounting/_git/MSBAccounting-NewSchoolBooks/pullrequest/41362</t>
  </si>
  <si>
    <t>Story Completed.  The menu of the Knowledgebase was changed.  We had to fix the URL in our code. Testing Completed as well.</t>
  </si>
  <si>
    <t xml:space="preserve">	MSB ACCT - BKK - QA - Test "Deduct Per Item Fees from deposit amounts" Option on Dev Account</t>
  </si>
  <si>
    <t>This was a QA only story to verify data from a new MSB Feature</t>
  </si>
  <si>
    <t>14.5 Sprint 3 Stretch</t>
  </si>
  <si>
    <t xml:space="preserve">On Hold For regression </t>
  </si>
  <si>
    <t xml:space="preserve">Analysis - Made UI changes in the Edit Item Pop up. 
Added Data from backend. </t>
  </si>
  <si>
    <t>Made the code changes to identify the unavailable GL
Currently we are replacing it with 0000 if that GL selected is not available
Code changes to show Unknown - System - Unmapped Account also completed</t>
  </si>
  <si>
    <t>MSB ACCT - BKK - Duplicate batches showing for a tenant with same batch Id</t>
  </si>
  <si>
    <t>https://dev.azure.com/heartlandschools/Accounting/_git/MSBAccounting-NewSchoolBooks/pullrequest/41301</t>
  </si>
  <si>
    <t>POV completd with Pramod. PR created.
sushmitha : staged data in QA env</t>
  </si>
  <si>
    <t xml:space="preserve">Testing in progress - Working as expected.  </t>
  </si>
  <si>
    <t>2/26/2025</t>
  </si>
  <si>
    <t>2/27/2025</t>
  </si>
  <si>
    <t>2/28/2025</t>
  </si>
  <si>
    <t>3/3/2025</t>
  </si>
  <si>
    <t>3/4/2025</t>
  </si>
  <si>
    <t>3/5/2025</t>
  </si>
  <si>
    <t>3/6/2025</t>
  </si>
  <si>
    <t>3/7/2025</t>
  </si>
  <si>
    <t>3/10/2025</t>
  </si>
  <si>
    <t>2/25/2025</t>
  </si>
  <si>
    <t>Column11</t>
  </si>
  <si>
    <r>
      <rPr>
        <sz val="10"/>
        <color rgb="FF000000"/>
        <rFont val="Arial"/>
        <scheme val="minor"/>
      </rPr>
      <t xml:space="preserve">POV approved. Waiting for DB update in DEV environment. We are currently blocked by the DB not being restored from the Scrubbed prod copy. 
</t>
    </r>
    <r>
      <rPr>
        <b/>
        <sz val="10"/>
        <color rgb="FF000000"/>
        <rFont val="Arial"/>
        <scheme val="minor"/>
      </rPr>
      <t>Raised the request on Wednesday (5-Mar) - Got the Data Today (Mar-12)
Work is in Progress.
Not a Blocker from Relevantz.</t>
    </r>
  </si>
  <si>
    <t xml:space="preserve">Only issue is the Variance. 
Potential Duplicate. Potential issue with 1 transaction worth $60000. Not performed YE. Financial Year is set as 2021-22. </t>
  </si>
  <si>
    <t>Made a fix for variance, ran year end and balances are matching
Completed checking all other schools between years as well</t>
  </si>
  <si>
    <t xml:space="preserve">POV with Pramod. Approved. 
Discussion with Pramod on the jobs. </t>
  </si>
  <si>
    <t xml:space="preserve">Found an issue with the year end process where we have date hard coded for 6/30 </t>
  </si>
  <si>
    <t xml:space="preserve">POV with Pramod. Changes we discussed. POV video shared.  PDF's shared. </t>
  </si>
  <si>
    <t xml:space="preserve">Created a PR after Sarah's POV. 
Qadir to restore Scrubbed DB to DEV. </t>
  </si>
  <si>
    <t>RF Made for Scrubbed DB.</t>
  </si>
  <si>
    <t>Still waiting on DBA team for Scrubbed DB</t>
  </si>
  <si>
    <t>Still Waiting on DBA</t>
  </si>
  <si>
    <t>Karthik /Qadir</t>
  </si>
  <si>
    <t>MSB ACCT - BKK - Corbett Data Update - Mark Old Batches Imported</t>
  </si>
  <si>
    <t xml:space="preserve">Prod fix was applied. This was a data Fix for a school which was seeing a lot of batches showing as available after the recent changes. </t>
  </si>
  <si>
    <t xml:space="preserve">Working on getting DB Restored locally. </t>
  </si>
  <si>
    <t xml:space="preserve">Need to provide batches to Sarah which havent beeen deposited. </t>
  </si>
  <si>
    <t xml:space="preserve">Shared batches with Sarah, need to review with her. </t>
  </si>
  <si>
    <t>Request is made to update data.  Waiting on confirmation</t>
  </si>
  <si>
    <t xml:space="preserve">Executed in PROD. Waiting on confirmation. </t>
  </si>
  <si>
    <t xml:space="preserve">Waiting on Support Team confirmation </t>
  </si>
  <si>
    <t xml:space="preserve">47193	</t>
  </si>
  <si>
    <t>MSB ACCT - BKK - Add Automation Smoke Test [Time Box]</t>
  </si>
  <si>
    <t>https://dev.azure.com/heartlandschools/Accounting/_git/AccountingAutomation/pullrequest/40911</t>
  </si>
  <si>
    <t>Owen Seiber:
1. All the cleanups need to have calls to delete in the event something fails during the test and it does not cleanup after it.
2. Even though this is valid to add multiple tests into one class file, we should split these into individual test files. We can have CreateEditDeleteSchools, CreateEditDeleteDistricts and CreateEditDeleteSchoolDistricAdmin..
The reason for this is if the browser crashes during one test, it will prevent the rest from running.</t>
  </si>
  <si>
    <t xml:space="preserve">Completed.  - Automation Smoke Tests -  Districts and Schools </t>
  </si>
  <si>
    <t>Waiting on Owen to Approve PR. 
Working on SyncSetting page next</t>
  </si>
  <si>
    <t>Owen has approved PR. Continued working on SyncSettings</t>
  </si>
  <si>
    <t>MSB ACCT - BKK - Add EXTENDMODEL to REST API Calls</t>
  </si>
  <si>
    <t>https://dev.azure.com/heartlandschools/Accounting/_git/MSBAccounting-NewSchoolBooks/pullrequest/40885</t>
  </si>
  <si>
    <t xml:space="preserve">Batches created over the weekend are now visible on the UI. Completed.
We werent receiving  datas from the API for some fields from the extended Model. </t>
  </si>
  <si>
    <t xml:space="preserve">Pulled over from previous sprint.  Only QA pending. </t>
  </si>
  <si>
    <t>Tried verifying in UI. Still not getting batches...</t>
  </si>
  <si>
    <t xml:space="preserve">Making new transactions. </t>
  </si>
  <si>
    <t>Batches created over the weekend are now visible on the UI. Completed.</t>
  </si>
  <si>
    <t>MSB ACCT - BKK - Create Table(s) for Mapping MSB GLs to MSB Accounting GLs</t>
  </si>
  <si>
    <t>1) Include GatewayID column in unique constraint instead of SchoolID. 2) Remove TenantID column from mapping table unique contraint.</t>
  </si>
  <si>
    <t>https://dev.azure.com/heartlandschools/Accounting/_git/MSBAccounting-NewSchoolBooks/pullrequest/41051</t>
  </si>
  <si>
    <t xml:space="preserve">Verified in the backend. Tables were created with the migration. </t>
  </si>
  <si>
    <t xml:space="preserve">Analysis in progress -  Clarifications required. </t>
  </si>
  <si>
    <t xml:space="preserve">Completed DEV Changes.  POV video to be made. </t>
  </si>
  <si>
    <t>Peer review comments in progress.</t>
  </si>
  <si>
    <t xml:space="preserve">PR made.  Deployment pending. </t>
  </si>
  <si>
    <t>MSB ACCT - BKK - Sync Jobs Do Not Run During Full Time Window</t>
  </si>
  <si>
    <t>https://dev.azure.com/heartlandschools/Accounting/_git/MSBAccounting-NewSchoolBooks/pullrequest/40987</t>
  </si>
  <si>
    <t xml:space="preserve"> add time zone indicators for the UTC time zone, but I didn't see any. Internal users won't know that the times on that page are in UTC unless they have specifically been told that, so it's important for us to make it clear.</t>
  </si>
  <si>
    <t>Story completed.  We had Verified the jobs were running on schedule, and we had updated the timestamps on the UI to Show UTC</t>
  </si>
  <si>
    <t xml:space="preserve">DEV/QA deployment pending. </t>
  </si>
  <si>
    <t>MSB ACCT - BKK - Add Automation Smoke Test - Configuration Menu [Time Box]</t>
  </si>
  <si>
    <t>https://dev.azure.com/heartlandschools/Accounting/_git/AccountingAutomation/pullrequest/41112</t>
  </si>
  <si>
    <t xml:space="preserve">Added Addtional Test Cases on providers.  
Completed Payment Gateway School . Assigning a  new school to a gateway. 
Started feature management. </t>
  </si>
  <si>
    <t xml:space="preserve">Completed the syncSettings. Screen.  
next one is the providers screen </t>
  </si>
  <si>
    <t xml:space="preserve">Started verifying the test for providers Screen </t>
  </si>
  <si>
    <t>Features / background Jobs Screen. Created a PR as well</t>
  </si>
  <si>
    <t xml:space="preserve">Wating on PR Approval </t>
  </si>
  <si>
    <t xml:space="preserve">Waiting on PR Approval. </t>
  </si>
  <si>
    <t>PR Approved/</t>
  </si>
  <si>
    <t>14.5 Sprint 2 - Stretch</t>
  </si>
  <si>
    <t xml:space="preserve">POV approved. Waiting for DB update in DEV environment. We are currently blocked by the DB not being restored from the Scrubbed prod copy.
No PR Required, since we are veifying the data after rfeature flag update. </t>
  </si>
  <si>
    <t xml:space="preserve">3 schools in the district. 
Validating updates in the report for each year. </t>
  </si>
  <si>
    <t xml:space="preserve">Completed verifciation.  beg Balances updated. Post year end verification completed. POV Pending. </t>
  </si>
  <si>
    <t xml:space="preserve">POV approved. Waiting for DB update in DEV environment. </t>
  </si>
  <si>
    <t xml:space="preserve">Sushmitha /  RIjo </t>
  </si>
  <si>
    <t>MSB ACCT - BKK - QA - Test "Deduct Per Item Fees from deposit amounts" Option on Dev Account</t>
  </si>
  <si>
    <t>Put a hold on it to completed 47445. 47445 rolled over to the next sprint</t>
  </si>
  <si>
    <t xml:space="preserve">Transactions made with credentials of a new developer acc ount.  
We couldnt access details for the curent dev account. Pramod on PTO. </t>
  </si>
  <si>
    <t xml:space="preserve">Received the batches.  
Our batches are not matching.  
</t>
  </si>
  <si>
    <t>Put a hold on it to completed 47445</t>
  </si>
  <si>
    <t xml:space="preserve">	MSB ACCT - BKK - Cannot Save Edits to Active Due to Student Body Account	
</t>
  </si>
  <si>
    <t>https://dev.azure.com/heartlandschools/Accounting/_git/MSBAccounting-NewSchoolBooks/pullrequest/41104</t>
  </si>
  <si>
    <t xml:space="preserve">Completed with a bounceback.  Issue was we could not edit an active due to  student body account due to existing validations. </t>
  </si>
  <si>
    <t>Dev in progress.</t>
  </si>
  <si>
    <t xml:space="preserve">Completed. POV and PR. </t>
  </si>
  <si>
    <t xml:space="preserve">Bounceback found.  Need to investigate. </t>
  </si>
  <si>
    <t>Bounceback Fix made. Deployed to DEV/QA</t>
  </si>
  <si>
    <t>MSB ACCT - BKK - Query All Instances of Issue - Sale Tax Error on Check Duplicates Payment Line Amount</t>
  </si>
  <si>
    <t>Created sql query to identifying the duplicate payments. No duplications found and closing this defect..
No PR for this , as we had to verify for other instances of an earlier escalation - SRX23930</t>
  </si>
  <si>
    <t xml:space="preserve">Started working on this. Creating a query to find duplicates. </t>
  </si>
  <si>
    <t xml:space="preserve">POV Created.  Peer Review in progress. </t>
  </si>
  <si>
    <t xml:space="preserve">Peer Review Completed. We dont have any further duplicates to fix. </t>
  </si>
  <si>
    <t xml:space="preserve">Pulled in to to create a new column for the per item fees. </t>
  </si>
  <si>
    <t>continued on 47445, completed the dev changes as per the AC points, but yet to test out all scenarios</t>
  </si>
  <si>
    <t xml:space="preserve">Changes Completed. Waiting on the POV.  </t>
  </si>
  <si>
    <t xml:space="preserve">Requirement changes made in comments. </t>
  </si>
  <si>
    <t xml:space="preserve">Dev Changes completed.  Issues with popup showing occasionally. </t>
  </si>
  <si>
    <t xml:space="preserve">14.5 Sprint 2 </t>
  </si>
  <si>
    <t>SRX25665</t>
  </si>
  <si>
    <t>MSB ACCT - BKK - Wrong School Batch Appearing in Import From MSB List (Elk Grove)</t>
  </si>
  <si>
    <t xml:space="preserve">Escalation was fixed from the UI. It was a badly configured gateway.  It's still kept open to figure out how we came to this state.  We believe it could be because of the transition from the old way of handling payments and the new way in which we create batches on our side. 
Escalation is now closed at the end of sprint.  We have created a new task to figure out the RCA . </t>
  </si>
  <si>
    <t xml:space="preserve">Started Looking into this. </t>
  </si>
  <si>
    <t xml:space="preserve">No Progress on Friday. Will continue working on it today. </t>
  </si>
  <si>
    <t xml:space="preserve">Not able to replicate at all. </t>
  </si>
  <si>
    <t xml:space="preserve">	MSB ACCT - BKK - Actual Closing balance is displayed in the first row in Account snapshot report</t>
  </si>
  <si>
    <t>https://dev.azure.com/heartlandschools/Accounting/_git/MSBAccounting-NewSchoolBooks/pullrequest/41154</t>
  </si>
  <si>
    <t>Issue was with the ordering of the data.  Ordering was not consisitent.  Adding an order by  fixed the issue. 
Story Completed.</t>
  </si>
  <si>
    <t>We had transitioned from processing batches in a different way, and there were some batches which were already imported, but showing up as available.  We had to make a data fix for this.</t>
  </si>
  <si>
    <t>MSB ACCT - BKK - Cannot Save Edits to Active Due to Student Body Account</t>
  </si>
  <si>
    <r>
      <rPr>
        <b/>
        <sz val="10"/>
        <color rgb="FF000000"/>
        <rFont val="Arial"/>
        <scheme val="minor"/>
      </rPr>
      <t xml:space="preserve">
</t>
    </r>
    <r>
      <rPr>
        <sz val="10"/>
        <color rgb="FF000000"/>
        <rFont val="Arial"/>
        <scheme val="minor"/>
      </rPr>
      <t xml:space="preserve">We have a special account called "Due to Student body" of which only 1 active account can be present for each tenant.  We had introduced validations to check for existing Active "due to student body" accounts.  This defect was found where we could not update an existing active "due to student body account" . Since it affected only one account, and the workaround was to make it inactive to edit, it was a low priority defect. </t>
    </r>
  </si>
  <si>
    <r>
      <rPr>
        <b/>
        <sz val="10"/>
        <color rgb="FF000000"/>
        <rFont val="Arial"/>
        <scheme val="minor"/>
      </rPr>
      <t>This defect is created for investigating if the Sale Tax Error on Check Duplicates appearing on any reports</t>
    </r>
    <r>
      <rPr>
        <sz val="10"/>
        <color rgb="FF000000"/>
        <rFont val="Arial"/>
        <scheme val="minor"/>
      </rPr>
      <t xml:space="preserve"> . This is related to SRX22375 which is already fixed and deployed to PROD</t>
    </r>
  </si>
  <si>
    <t>MSB ACCT - BKK - Actual Closing balance is displayed in the first row in Account snapshot report</t>
  </si>
  <si>
    <r>
      <rPr>
        <b/>
        <sz val="10"/>
        <color rgb="FF000000"/>
        <rFont val="Arial"/>
        <scheme val="minor"/>
      </rPr>
      <t>This was an existing issue from the code we have inherited.</t>
    </r>
    <r>
      <rPr>
        <sz val="10"/>
        <color rgb="FF000000"/>
        <rFont val="Arial"/>
        <scheme val="minor"/>
      </rPr>
      <t xml:space="preserve">  Data wasnt explicitly ordered, which is why we displayed the closing balance first occasionaly. 
</t>
    </r>
    <r>
      <rPr>
        <b/>
        <sz val="10"/>
        <color rgb="FF000000"/>
        <rFont val="Arial"/>
        <scheme val="minor"/>
      </rPr>
      <t>Client Development</t>
    </r>
  </si>
  <si>
    <t>2/12/2025</t>
  </si>
  <si>
    <t>2/13/2025</t>
  </si>
  <si>
    <t>2/14/2025</t>
  </si>
  <si>
    <t>2/17/2025</t>
  </si>
  <si>
    <t>2/18/2025</t>
  </si>
  <si>
    <t>2/19/2025</t>
  </si>
  <si>
    <t>2/20/2025</t>
  </si>
  <si>
    <t>2/21/2025</t>
  </si>
  <si>
    <t>2/24/2025</t>
  </si>
  <si>
    <t>MSB ACCT - BKK - Alpine - Buttons, Links, Text Boxes</t>
  </si>
  <si>
    <t>https://dev.azure.com/heartlandschools/Accounting/_git/MSBAccounting-NewSchoolBooks/pullrequest/40890</t>
  </si>
  <si>
    <t>Add validation error for some input</t>
  </si>
  <si>
    <t>1. Make button features same as the newly added ones
2. Change phone number formatting to "(XXX) XXX-XXXX" - Added new AC point for the same
3. Keep buton size similar for Show and Hide buttons for password
4. Grey out the disabled input field</t>
  </si>
  <si>
    <t>Completed PR and closed story. No testing involved.</t>
  </si>
  <si>
    <t xml:space="preserve">Completed Change asked by Pramod. </t>
  </si>
  <si>
    <t xml:space="preserve">Video isnt posted yet. POV pending. Dev Complete. </t>
  </si>
  <si>
    <t xml:space="preserve">POV shared with Sarah. </t>
  </si>
  <si>
    <t>Currently working on Feedback from POV.</t>
  </si>
  <si>
    <t xml:space="preserve">No Progress. </t>
  </si>
  <si>
    <t xml:space="preserve">Changes completed.  Waiting on internal POV. </t>
  </si>
  <si>
    <t xml:space="preserve">Waiting on POV. </t>
  </si>
  <si>
    <t xml:space="preserve">Create a PR. </t>
  </si>
  <si>
    <t xml:space="preserve">	MSB ACCT - Missing Batches in Import Batches from MSB (Pleasanton USD)</t>
  </si>
  <si>
    <t>Approved.</t>
  </si>
  <si>
    <t>We've found the fix during another story.  These  were IIS Settings that were made on PROD. 
IIS changes fixed the issue for other schools.  FootHill high school still has missing batches. 
batches
Made a data fix to update the missing Providerid to default for the PaymentItems</t>
  </si>
  <si>
    <t xml:space="preserve">Started investigating the data.  Products dont have a provider Id.  
Sarah checked on MSB that the products were from MSB tickets. </t>
  </si>
  <si>
    <t xml:space="preserve">Need to get JSOn file working locally to test scenarios. </t>
  </si>
  <si>
    <t xml:space="preserve">Testing this found that things worked well. Logs show that the job to import payments is constantly skipped for a few  days.  Suggested applying changes to IIS on PROD.  </t>
  </si>
  <si>
    <t>After IIS Changes, We could not see batches for FootHill high School. Data request made.</t>
  </si>
  <si>
    <t xml:space="preserve">Made a Update Request for the providers to default. Waiting for the DBA team to execute. </t>
  </si>
  <si>
    <t xml:space="preserve">Data Fix was deployed.  Waiting for confirmation. </t>
  </si>
  <si>
    <t xml:space="preserve">Discussion with Rijo. </t>
  </si>
  <si>
    <t xml:space="preserve">Batches are now in. Closing the story as the defect is now fixed. </t>
  </si>
  <si>
    <t>MSB ACCT - BKK - Add Sales Tax and Freight Line Items on Vendor Check History Report When Include Details Is Checked (14.5)</t>
  </si>
  <si>
    <t>https://dev.azure.com/heartlandschools/Accounting/_git/MSBAccounting-NewSchoolBooks/pullrequest/40737</t>
  </si>
  <si>
    <t>Pulled in from Previous Sprint. Was in Peer Review when pulled into this sprint. 
Testing Completed.</t>
  </si>
  <si>
    <t xml:space="preserve">Pulled over from the previous sprint. In Peer review. </t>
  </si>
  <si>
    <t xml:space="preserve">Deployment pending.  </t>
  </si>
  <si>
    <t xml:space="preserve">Working as Expected. Issue with 1099 Checkbox observed.  Still Checking it out. </t>
  </si>
  <si>
    <t xml:space="preserve">Bounceback Fix made. Need to create a PR. </t>
  </si>
  <si>
    <t xml:space="preserve">testing Completed. </t>
  </si>
  <si>
    <t xml:space="preserve">This is a low priority story, Other testing will take precedence to this story. </t>
  </si>
  <si>
    <t>Started working on it. Started drafting test cases for Districts.</t>
  </si>
  <si>
    <t xml:space="preserve">Started- Working on navigation for the district. 
discussion with Owen </t>
  </si>
  <si>
    <t>Completed creating Districts.</t>
  </si>
  <si>
    <t xml:space="preserve">Create Schools/  Editing Schools. </t>
  </si>
  <si>
    <t xml:space="preserve">Working on delete Schools. </t>
  </si>
  <si>
    <t xml:space="preserve">Completed delete school functionality.  Qadir to review. </t>
  </si>
  <si>
    <t>Completed Create/  Edit / Delete District Admin Screens</t>
  </si>
  <si>
    <t xml:space="preserve">Working on the code Comments. 
Facing issues with running the tests simultaneously. </t>
  </si>
  <si>
    <t>14.5 Sprint 1 - Stretch</t>
  </si>
  <si>
    <t>MSB ACCT - BKK - Alpine - Alert Pop-Ups</t>
  </si>
  <si>
    <t>https://dev.azure.com/heartlandschools/Accounting/_git/MSBAccounting-NewSchoolBooks/pullrequest/40821</t>
  </si>
  <si>
    <t>The popup message description should support html content and Icon alignment should be customized.</t>
  </si>
  <si>
    <t xml:space="preserve">Giving more options to customize the Pop up. 
</t>
  </si>
  <si>
    <t xml:space="preserve">Completed dev changes.  POV with Pramod. </t>
  </si>
  <si>
    <t xml:space="preserve">got POV Comments from Pramod. </t>
  </si>
  <si>
    <t xml:space="preserve">Changes Approved. unique Id. </t>
  </si>
  <si>
    <t xml:space="preserve">PR to be created. </t>
  </si>
  <si>
    <t>MSB ACCT - BKK - [Regression] Jobs not running and queue not shown in Manage Background Jobs UI</t>
  </si>
  <si>
    <t>https://dev.azure.com/heartlandschools/Accounting/_git/MSBAccounting-NewSchoolBooks/pullrequest/40712</t>
  </si>
  <si>
    <t xml:space="preserve">This was rolled over into current sprint from proveious sprint in "Ready for Testing" Status. </t>
  </si>
  <si>
    <t xml:space="preserve">Frequency set to 10 - Jobs are running. 
Ready to close. </t>
  </si>
  <si>
    <t xml:space="preserve">verified in Prod as well </t>
  </si>
  <si>
    <t xml:space="preserve">SRX25521	</t>
  </si>
  <si>
    <t>MSB ACCT - Batches with No Provider Not Showing in Import MSB Batches (14.4)</t>
  </si>
  <si>
    <t>https://dev.azure.com/heartlandschools/Accounting/_git/MSBAccounting-NewSchoolBooks/pullrequest/40778</t>
  </si>
  <si>
    <t xml:space="preserve">Sushmitha - Discussion with Pramod on setting up scenarios. 
</t>
  </si>
  <si>
    <t xml:space="preserve">POV Created. </t>
  </si>
  <si>
    <t xml:space="preserve">Got data from PROD. For items which dont have a Provider Id, we dont have a batch id as well. </t>
  </si>
  <si>
    <t xml:space="preserve">Testing in QA.  Tesing in CERT pending. </t>
  </si>
  <si>
    <t xml:space="preserve">Testing CERT. batches Received in CERT. </t>
  </si>
  <si>
    <t xml:space="preserve">Not gotten batches from QA. 
</t>
  </si>
  <si>
    <t xml:space="preserve">data is in . To be closed after discussing with Client. </t>
  </si>
  <si>
    <t>Waiting on PO/ Support team to hear back from the customer</t>
  </si>
  <si>
    <t>14.5 Sprint 1 Stretch</t>
  </si>
  <si>
    <t xml:space="preserve">46917	</t>
  </si>
  <si>
    <t>PR Completed, Waiting for QA deployment.</t>
  </si>
  <si>
    <t xml:space="preserve">Started Analysis. </t>
  </si>
  <si>
    <t>Checked Payments API Call and compared with the extend Model True</t>
  </si>
  <si>
    <t xml:space="preserve">Karthik - Started analysis. </t>
  </si>
  <si>
    <t>Karthik - Dev complete, Tested with all the API's and extendModel = ''True" . Documentation Pending.</t>
  </si>
  <si>
    <t>SRX25553</t>
  </si>
  <si>
    <t xml:space="preserve">	MSB ACCT - BKK - Change Case on GL Types Sent via REST API	
</t>
  </si>
  <si>
    <t>https://dev.azure.com/heartlandschools/Accounting/_git/MSBAccounting-NewSchoolBooks/pullrequest/40805</t>
  </si>
  <si>
    <t>Urgent fix required so we could deploy as part of our release.  This was a minor fix affecting Tickets</t>
  </si>
  <si>
    <t>Dev Complete. Testing in Progress.</t>
  </si>
  <si>
    <t>MSB ACCT - BKK - East Central Independent School District-Review and Enable Beginning Balance feature work [Timebox]</t>
  </si>
  <si>
    <t>This was a time boxed story for data analysis. No code changes or data fixes. Data fix will be done as part of the follow up story.</t>
  </si>
  <si>
    <t>Started analysis</t>
  </si>
  <si>
    <t xml:space="preserve">Checked All 15 Schools from UI.  
3 Schools have incorrect beg balance.
Tenant 230 has issues with the beginning balances. 
</t>
  </si>
  <si>
    <t xml:space="preserve">Latest DB 
2 Schools - 83 Accounts m 8 accounts. </t>
  </si>
  <si>
    <t xml:space="preserve">Issues- 
1 School 
Tenant 230  hass issues with Variance after bank rec.  </t>
  </si>
  <si>
    <t>Analysis completed. Have issue with only one bank code bank reconcililliation. Seems like a duplicate transfer entry is creating the variance.</t>
  </si>
  <si>
    <t xml:space="preserve">	MSB ACCT - BKK - Sync Jobs Do Not Run During Full Time Window</t>
  </si>
  <si>
    <t>Issues with displaying the  Time Zone</t>
  </si>
  <si>
    <t xml:space="preserve">Got POV comments from Sarah to fix. </t>
  </si>
  <si>
    <t xml:space="preserve">POV Comments fixed. details to be shared with Sarah.  </t>
  </si>
  <si>
    <t>Code issues found.  Fixing it.</t>
  </si>
  <si>
    <t>Shreelata  -  KT Provided by Sushmitha/ Continued work on Alpine.js</t>
  </si>
  <si>
    <t xml:space="preserve">Implementing Alpine.s Table with sorting and paging. 
</t>
  </si>
  <si>
    <t xml:space="preserve">Worked on Alpine.js. Tried to do an excel export of data. </t>
  </si>
  <si>
    <t xml:space="preserve">Covered derivates - X-Refer 
</t>
  </si>
  <si>
    <t>14.5 S1</t>
  </si>
  <si>
    <t>Qadir-Rijo-Karthik</t>
  </si>
  <si>
    <t>1. Relevantz developed
2. We needed changes in setting to IIS AppPool to be in always running mode and the idle timeout to be much longer than 20 min.  We didnt know that the ABP Framework required these settings for Jobs to run smoothly on the server.</t>
  </si>
  <si>
    <t>Bounceback</t>
  </si>
  <si>
    <t>1. Relevantz developed
2. We made fix on dataset ordering for detail report's sorting issue on csv file. And it was applied for 1099 report as well since both are using same dataset. So removed that sorting fix from 1099 report dataset to fix this issue.</t>
  </si>
  <si>
    <t>SRX25521</t>
  </si>
  <si>
    <t>DefectFromEscalation</t>
  </si>
  <si>
    <t xml:space="preserve">MSB ACCT - Batches with No Provider Not Showing in Import MSB Batches (14.4)	
</t>
  </si>
  <si>
    <t xml:space="preserve">New requirement. MSB tickets were flowing through MSB without a provider, we made changes to include those to Accounting batches. </t>
  </si>
  <si>
    <t>MSB ACCT - BKK - Change Case on GL Types Sent via REST API</t>
  </si>
  <si>
    <t xml:space="preserve">Client Development. Existing issue.  
We needed to send the GL Account Types in lower case, and we were sending it with the first letter capitalised. 
This code has been there since the beginning, so maybe a change on the MSB side caused this to come up. 
This also affected the way MSB Tickets would be processing our GL Accounts, hence it was an escalation to be released ASAP. </t>
  </si>
  <si>
    <t>1/29/2025</t>
  </si>
  <si>
    <t>1/30/2025</t>
  </si>
  <si>
    <t>1/31/2025</t>
  </si>
  <si>
    <t>2/3/2025</t>
  </si>
  <si>
    <t>2/4/2025</t>
  </si>
  <si>
    <t>2/5/2025</t>
  </si>
  <si>
    <t>2/6/2025</t>
  </si>
  <si>
    <t>2/7/2025</t>
  </si>
  <si>
    <t>2/10/2025</t>
  </si>
  <si>
    <t>2/11/2025</t>
  </si>
  <si>
    <t xml:space="preserve">	MSB ACCT - BKK - Change Enable/Disable Status Label for Users to Active/Inactive (14.4)	
</t>
  </si>
  <si>
    <t>https://dev.azure.com/heartlandschools/Accounting/_git/MSBAccounting-NewSchoolBooks/pullrequest/40538</t>
  </si>
  <si>
    <t xml:space="preserve">Qadir completed dev. 
Sushmitha completed testing. </t>
  </si>
  <si>
    <t xml:space="preserve">	MSB ACCT - BKK - Glendale USD / Clark Magnet - Batches Missing from Import MSB Batches After Update</t>
  </si>
  <si>
    <t>This was a PROD Data Fix. Approved by customer.</t>
  </si>
  <si>
    <t xml:space="preserve">Scripts provided to update batchid. 
Need to verify if batch shows up.  Qadir to have a discussion with Rijo  on postman to see if we can request the data. </t>
  </si>
  <si>
    <t>Anlaysed the data. This payment seems to have been confirmed without being imported with the old way of handling payments. Qadir to discuss with Sarah on the defect</t>
  </si>
  <si>
    <t xml:space="preserve">Quick Discussion with Rijo. We dont need to unconfirm the paymnet, Just update the transfer confirmed flag in prod. </t>
  </si>
  <si>
    <t xml:space="preserve">Request Made.  Waiting on DBA team to take care. </t>
  </si>
  <si>
    <t xml:space="preserve">Data Fix Applied. Closed. </t>
  </si>
  <si>
    <t>PR to be made for recordKeeping.</t>
  </si>
  <si>
    <t>PR To be made</t>
  </si>
  <si>
    <t xml:space="preserve">This was a PROD Data Fix. </t>
  </si>
  <si>
    <t>Sushmitha/ Karthik/ Rijo</t>
  </si>
  <si>
    <t>MSB Accounting - BKK - Regression - 14.4</t>
  </si>
  <si>
    <t>This is a Regression Story, so No PR / No Approvals to be done. 
Test Suite Link added : https://dev.azure.com/heartlandschools/Accounting/_testPlans/execute?planId=108626&amp;suiteId=108632</t>
  </si>
  <si>
    <t xml:space="preserve">Karthik - Maintainence menu /  Cash Transfer / Transfer entry. Currently working on GL Accounts. 
Rijo - Completed 8 items from Entry Screen. Help Menu. Currently on PO reports.
Sushmitha - Tested 47052 - Verified . Checking the mail . 
Started Verifications on Add Jobs. 
</t>
  </si>
  <si>
    <t xml:space="preserve">Karthik - Administration /  Management and 1099 Reports.
Sushmitha - Completed GL reports, Vendor Reports, 
received emails from CERT. Timestamp doesnt match LogEntries. 
Noticed that the Jobs ran only once today. 
46977 - Waiting on the job to run. 
Rijo - PY reports - Completed. </t>
  </si>
  <si>
    <t xml:space="preserve">Karthik - Receipting Test Cases
23/24 menu items. 
Sushmitha - Completed Vendor Reports /  46977 - 
Issues with some batches not showing in CERT on reversal. 
Made some additional Transactions.Issue with Jobs running only once/ Bank Rec for single school.  
Multi School Bank Rec - In progress.
Rijo - Investigation into GL Account Codes from Payments .
</t>
  </si>
  <si>
    <t xml:space="preserve">
Pramod - Regression Defect 24547 - Jobs not running and que not shown in Manage Background Jobs UI. 
Found 2 defects. 
1)  Zero dollar transactions are showing up on the UI.
2) Reversals are being created at the time a user adds one, rather than clicking the submit button</t>
  </si>
  <si>
    <t>MSB ACCT - BKK - Required Permissions Are Not Granted to Access Districts Page from Other Schools (14.5)</t>
  </si>
  <si>
    <t>https://dev.azure.com/heartlandschools/Accounting/_git/MSBAccounting-NewSchoolBooks/pullrequest/40587</t>
  </si>
  <si>
    <t xml:space="preserve">Branch Shared. POV Created. Need approval from Sarah. </t>
  </si>
  <si>
    <t xml:space="preserve">Deployed to DEV/QA.  Will be tested once sushmitha is back. </t>
  </si>
  <si>
    <t>Testing is in progress and completed</t>
  </si>
  <si>
    <t>POV completed with Pramod, got a comment to work on. Carry forwarded and re estimated to 1 sp.</t>
  </si>
  <si>
    <t xml:space="preserve">started Analysis. </t>
  </si>
  <si>
    <t>47082 is in progress
Created buttons and Text boxes</t>
  </si>
  <si>
    <t>Text box component is in progress. Working on binding.</t>
  </si>
  <si>
    <t xml:space="preserve">Rijo out on PTO today.  No Progress on this. </t>
  </si>
  <si>
    <t>No Progress.  Rijo Working on bouncback</t>
  </si>
  <si>
    <t xml:space="preserve">Rijo out on PTO. </t>
  </si>
  <si>
    <t>Added components. POV with Pramod Pending</t>
  </si>
  <si>
    <t xml:space="preserve">	MSB ACCT - BKK - [Regression] Jobs not running and que not shown in Manage Background Jobs UI	
</t>
  </si>
  <si>
    <t>Waiting on CERT Deployment from PLatOps to Verify.  Issue is in CERT , and not on Dev/QA. Fix requires changes on IIS. 
No Blockers from Relevantz</t>
  </si>
  <si>
    <t xml:space="preserve">Started Investigation . Figured out how to stop BG jobs from running on Both Servers.  
</t>
  </si>
  <si>
    <t xml:space="preserve">Fixed the issue with jobs running on both servers.  Need to deploy to CERT to see impact. </t>
  </si>
  <si>
    <t>Testing is in progress, jobs still not running on expected intervals.</t>
  </si>
  <si>
    <t xml:space="preserve">Root Cause Found. need to figure out a solution for this. </t>
  </si>
  <si>
    <t xml:space="preserve">Completed testing asked by Michael. Will share more details in standup. </t>
  </si>
  <si>
    <t xml:space="preserve">Working on Doing some Logging on IIS. </t>
  </si>
  <si>
    <t xml:space="preserve">Dev complete. Dev Testing in Progress. </t>
  </si>
  <si>
    <t xml:space="preserve">Waiting on CERT Deployment from PLatOps to Verify.  Issue is in CERT , and not on Dev/QA. Fix requires changes on IIS. </t>
  </si>
  <si>
    <t>MSB ACCT - BKK - [Regression] Multi-Bank Bank Rec showing items from other tenant IDs</t>
  </si>
  <si>
    <t>Since the super admin user has access for all schools, it is fetching the bank rec items from all other schools and there is no issues for other users.
So we don't need any fix for this.</t>
  </si>
  <si>
    <t>Issue with super admin only. For other users working as expected. Will be closing the defect with a comment.</t>
  </si>
  <si>
    <t>Defect is Rejected</t>
  </si>
  <si>
    <t>MSB ACCT - BKK - [Regression] Product with Zero unit price shows up in Import MSB Batch UI</t>
  </si>
  <si>
    <t>https://dev.azure.com/heartlandschools/Accounting/_git/MSBAccounting-NewSchoolBooks/pullrequest/40687</t>
  </si>
  <si>
    <t>Except the edge case identified other fixes are approved-pending dsicussion with client PO</t>
  </si>
  <si>
    <t xml:space="preserve">To be discussed with client PO.  The issue is an extreme edge case and will not affect users.  Should not Affect release. 
After Planning - The Client agreed, a defect will be created in Backlog </t>
  </si>
  <si>
    <t>Made changes and pushed for review. Will be doing POV with Pramod.</t>
  </si>
  <si>
    <t xml:space="preserve">Found a minor defect. Bounceback created. </t>
  </si>
  <si>
    <t xml:space="preserve">Waiting on PR to be approved. </t>
  </si>
  <si>
    <t xml:space="preserve">BounceBack Found again. Issue with the multi school single bank scenario </t>
  </si>
  <si>
    <t xml:space="preserve">To be discussed with PO.  The issue is an extreme edge case and will not affect users.  Should not Affect release. </t>
  </si>
  <si>
    <t>14.4 Sprint 3 - Stretch</t>
  </si>
  <si>
    <t>MSB ACCT - BKK - Add School Setting for Default Summarization Level of Imported Batch Line Items</t>
  </si>
  <si>
    <t>https://dev.azure.com/heartlandschools/Accounting/_git/MSBAccounting-NewSchoolBooks/pullrequest/40713</t>
  </si>
  <si>
    <t xml:space="preserve">Include "I" in the header text.
Demo for each click, will the types will change one after another? </t>
  </si>
  <si>
    <t>Testing in Progress.  Could potentially be closed.</t>
  </si>
  <si>
    <t xml:space="preserve">Completed School Setting Changes.  Working on Import  Batches UI.  </t>
  </si>
  <si>
    <t xml:space="preserve">Waiting to do the POV. </t>
  </si>
  <si>
    <t xml:space="preserve">POV comments to be worked on. 
Sushmitha - Updated test Cases. </t>
  </si>
  <si>
    <t xml:space="preserve">Waiting on Peer Review.  Since this is a 14.5 item, wiating for 14.4 defects to be completed. </t>
  </si>
  <si>
    <t>Completed RDLC and SP changes. investigating an issue with the Void Reasons not showing up.</t>
  </si>
  <si>
    <t>SRX25467</t>
  </si>
  <si>
    <t>Defect created out of this escalation.</t>
  </si>
  <si>
    <t xml:space="preserve">Reviewed the data. Nadia seems to have the permissions to access the Page. not sure why she cannot. </t>
  </si>
  <si>
    <t xml:space="preserve">47051	</t>
  </si>
  <si>
    <r>
      <rPr>
        <sz val="10"/>
        <color rgb="FF000000"/>
        <rFont val="Arial"/>
        <scheme val="minor"/>
      </rPr>
      <t xml:space="preserve">Closed the story after discussing with the on Site QA. Planning for Smoke tests completed.
</t>
    </r>
    <r>
      <rPr>
        <u/>
        <sz val="10"/>
        <color rgb="FF1155CC"/>
        <rFont val="Arial"/>
        <scheme val="minor"/>
      </rPr>
      <t>https://docs.google.com/spreadsheets/d/1GXkzspTZqmJNajlmuy0KjDHPYRdIxiexalfKX-muBbk/edit?gid=359784157#gid=359784157</t>
    </r>
  </si>
  <si>
    <t>Documentation Completed</t>
  </si>
  <si>
    <t xml:space="preserve">RCA Comments
</t>
  </si>
  <si>
    <t>14.4 S3</t>
  </si>
  <si>
    <t>MSB ACCT - BKK - [Regression] Jobs not running and que not shown in Manage Background Jobs UI</t>
  </si>
  <si>
    <t xml:space="preserve">1. Relevantz developed
2. We needed changes in setting to IIS AppPool to be in always running mode and the idle timeout to be much longer than 20 min.  We didnt know that the ABP Framework required these settings for Jobs to run smoothly on the server. </t>
  </si>
  <si>
    <t xml:space="preserve">MSB ACCT - BKK - Reversal deposit entry is saved while it is edited and cancelled	
</t>
  </si>
  <si>
    <t xml:space="preserve">
1. Existing Defect In the Application. </t>
  </si>
  <si>
    <t>14.4.S3</t>
  </si>
  <si>
    <t xml:space="preserve">1. Relevantz developed
2. BounceBack to the defect fix was moved to backlog as en Edge case - Scenario  - We have customers wityh a shared gateway who receive 1 payment with a 0 dollar amount and no GL Mapped.  
</t>
  </si>
  <si>
    <t xml:space="preserve">1. Rejected the defect, since a Super admin is not supposed perform bank rec without first selecting a school. </t>
  </si>
  <si>
    <t xml:space="preserve">1. HSS Developed.
2. Permission was not assigned to super admin </t>
  </si>
  <si>
    <t>14.3.S3</t>
  </si>
  <si>
    <t>MSB ACCT - BKK - Glendale USD / Clark Magnet - Batches Missing from Import MSB Batches After Update</t>
  </si>
  <si>
    <t xml:space="preserve">1. Relevantz developed
2. We modified the way we handle batches from MSB from the backend, and had to do some data modifications to existing transactions.  This particular transaction was confirmed without a batch id which was not a valid scenario in our scripts. </t>
  </si>
  <si>
    <t>MSB ACCT - Missing Batches in Import Batches from MSB (Pleasanton USD)</t>
  </si>
  <si>
    <t xml:space="preserve">1. Relevantz developed
2. Root Cause is because the providers are missing for the batches. </t>
  </si>
  <si>
    <t>Estimated(hrs/sp)</t>
  </si>
  <si>
    <t>Actual(hrs/sp)</t>
  </si>
  <si>
    <t>1/15/2025</t>
  </si>
  <si>
    <t>1/16/2025</t>
  </si>
  <si>
    <t>1/17/2025</t>
  </si>
  <si>
    <t>1/18/2025</t>
  </si>
  <si>
    <t>1/20/2025</t>
  </si>
  <si>
    <t>1/21/2025</t>
  </si>
  <si>
    <t>1/22/2025</t>
  </si>
  <si>
    <t>1/23/20252</t>
  </si>
  <si>
    <t>1/24/2025</t>
  </si>
  <si>
    <t>1/27/2025</t>
  </si>
  <si>
    <t>1/28/2025</t>
  </si>
  <si>
    <t>MSB ACCT - BKK - Add Disable Option for Users</t>
  </si>
  <si>
    <t>Use the existing IsActive flag instead of creating a new column.</t>
  </si>
  <si>
    <t>https://dev.azure.com/heartlandschools/Accounting/_git/MSBAccounting-NewSchoolBooks/pullrequest/40421</t>
  </si>
  <si>
    <t>Approved-Satisified AC</t>
  </si>
  <si>
    <t>UI changes in both pages done.  Building the functionality to update.</t>
  </si>
  <si>
    <t xml:space="preserve">Backend Changes completed, for district Admin. </t>
  </si>
  <si>
    <t>Dev completed and tested, waiting for Pramod for POV</t>
  </si>
  <si>
    <t>Completed POV with Pramod. Pushed for review.</t>
  </si>
  <si>
    <t>POV with Sarah. Code Review Pending.</t>
  </si>
  <si>
    <t xml:space="preserve">Sushmitha reported a couple of issues with the login. 
Issue 1 - Logging in with an existing linked SSO user, who is made inactive causes an issue during login. 
Issue 2 -  Edit Page on Districts doesnt have the check to Activate/Deactivate.
Karthik working on fixing it. 
</t>
  </si>
  <si>
    <t>Waiting on POV for the bounceBack</t>
  </si>
  <si>
    <t>MSB ACCT - Recurring Production Email log Errors - RCA (14.3)</t>
  </si>
  <si>
    <t>https://dev.azure.com/heartlandschools/Accounting/_git/MSBAccounting-NewSchoolBooks/pullrequest/40488</t>
  </si>
  <si>
    <t xml:space="preserve">Completed today. Had top verify data by logging into the QA Database. </t>
  </si>
  <si>
    <t>Changes to CERT Web.config made with platops to reduce email count and frequency. We got mail</t>
  </si>
  <si>
    <t xml:space="preserve">Call with the DBA team. We got a list of columns to apply indexes on to improve performance. </t>
  </si>
  <si>
    <t xml:space="preserve">Looked at updating the Jobsettings via EF instead of a Proc for each of the Jobs.  Started working on a separate table to store the Log Sent Flag. </t>
  </si>
  <si>
    <t xml:space="preserve">Need to completed the flag for Log Messages Sent and create a PR. </t>
  </si>
  <si>
    <t>Faced Issues running the code with Migrations.  Fixed right now. Dev Testing in Progress.</t>
  </si>
  <si>
    <t>Dev Testing still in progress. 
Code cleanup for migrations</t>
  </si>
  <si>
    <t xml:space="preserve">Dev completed. </t>
  </si>
  <si>
    <t xml:space="preserve">Testing Completed
</t>
  </si>
  <si>
    <t>MSB ACCT - BKK - Add Job Queue in UI with Cleanup Capabilities</t>
  </si>
  <si>
    <t>https://dev.azure.com/heartlandschools/Accounting/_git/MSBAccounting-NewSchoolBooks/pullrequest/40428</t>
  </si>
  <si>
    <t>1. Please swap the MSB District Id and Job Type columns, and add a space between District and Id in the column label
2. Also swap the Next Run and Last Run columns</t>
  </si>
  <si>
    <t>Call with Rijo to get BG Jobs. Second Rounder on requirements</t>
  </si>
  <si>
    <t xml:space="preserve">Need some clarifications on backend props.  Table created on UI. </t>
  </si>
  <si>
    <t>Completed backend related changes, UI changes are in progress.</t>
  </si>
  <si>
    <t>Dev changes completed, waiting for Pramod for POV.</t>
  </si>
  <si>
    <t xml:space="preserve">POV with Sarah. branch to be shared with RIjo and Qadir. </t>
  </si>
  <si>
    <t xml:space="preserve">Completed POV Comments. Created a PR. Discusiion with Sushmitha on Testing Negative scenarios. </t>
  </si>
  <si>
    <t xml:space="preserve">POV changes approved.  Waiting for Deployment. </t>
  </si>
  <si>
    <t>SRX25241</t>
  </si>
  <si>
    <t>We havent Received a batchId from The Payments API yet. However MSB has a batch Id. Asked Michael for Data from the API. Apart from checking the API , there isnt any other thing we can do. 
No Progress</t>
  </si>
  <si>
    <t>Unable to replicate the issue. Batches showing in local db and UI. Made data request from prod for further analysis.</t>
  </si>
  <si>
    <t>The batches are not showing for Clark magnet because those are journaled. And some payments doesn't have a batch Id. Will discuss with Pramod and inform Client.</t>
  </si>
  <si>
    <t xml:space="preserve">We've gotten new batches. 
</t>
  </si>
  <si>
    <t>We havent Received a batchId from The Payments API yet. However MSB has a batch Id. 
No Progress</t>
  </si>
  <si>
    <t xml:space="preserve">Requested the JSON from Michael. Still waiting on it. </t>
  </si>
  <si>
    <t xml:space="preserve">Rijo / Karthik </t>
  </si>
  <si>
    <t xml:space="preserve">MSB ACCT - BKK - Alpine - Date Picker	
</t>
  </si>
  <si>
    <t xml:space="preserve">Team working with James simulataneoulsy to get the date picker completed as part of the commit.  this was more complicated than anticipated because of the inability set a date in the grid. We may look at writing some custom code. </t>
  </si>
  <si>
    <t xml:space="preserve">Moved to Approved State.  No Porgress on this. Taken up 46977 as priority. </t>
  </si>
  <si>
    <t xml:space="preserve">Karthik - started analysing Components
Rijo - Changes in the view. </t>
  </si>
  <si>
    <t xml:space="preserve">Development in progress. </t>
  </si>
  <si>
    <t xml:space="preserve">Alpine Changes in progress.
</t>
  </si>
  <si>
    <t>14.4 Sprint 2 Stretch</t>
  </si>
  <si>
    <t>MSB ACCT - BKK - Flag the MSB Imported journaled deposits and revert the flag upon reversals</t>
  </si>
  <si>
    <t>https://dev.azure.com/heartlandschools/Accounting/_git/MSBAccounting-NewSchoolBooks/pullrequest/40429</t>
  </si>
  <si>
    <t xml:space="preserve">Observation found was created to another story. This is completed. </t>
  </si>
  <si>
    <t>When Bank Deposit is journalled , we stop showing the batch.  Need to work on showing the batch after a reversal</t>
  </si>
  <si>
    <t xml:space="preserve">Functionality is working. Observation found when deleting a reversal.  The original batch is still available for Import after deleting the reversal.  Should it be visible or not. - Ask PO. </t>
  </si>
  <si>
    <t xml:space="preserve">Deletion of a Reversal will be done as a separate story to clean up batches from the UI during month end. 
Testing still in progress. No issues found yet. </t>
  </si>
  <si>
    <t xml:space="preserve">BounceBack Found with batches mapped to 2 tenants. Updating the journal for 1 tenants causes the batch to disappear for tenant 2 also.  It should only disappear for tenant 1 </t>
  </si>
  <si>
    <t>Task - MSB ACCT - BKK - Migrating test cases to new automation repository</t>
  </si>
  <si>
    <t>Task doesn't Story Points</t>
  </si>
  <si>
    <t>https://dev.azure.com/heartlandschools/Accounting/_git/AccountingAutomation/pullrequest/40386
https://dev.azure.com/heartlandschools/Accounting/_git/AccountingAutomation/pullrequest/40517</t>
  </si>
  <si>
    <t xml:space="preserve">Add dictionary and remove the duplicate code. </t>
  </si>
  <si>
    <t>Task Created for Sushmitha to log hours to capture work done on test case automation. Completed the Login Module Test Cases and Moving to the Next Module</t>
  </si>
  <si>
    <t>Completed PR</t>
  </si>
  <si>
    <r>
      <rPr>
        <b/>
        <sz val="10"/>
        <color rgb="FF000000"/>
        <rFont val="Arial"/>
        <scheme val="minor"/>
      </rPr>
      <t xml:space="preserve">Sushmitha </t>
    </r>
    <r>
      <rPr>
        <sz val="10"/>
        <color rgb="FF000000"/>
        <rFont val="Arial"/>
        <scheme val="minor"/>
      </rPr>
      <t>- Created Test Plan Suite for deployment.</t>
    </r>
  </si>
  <si>
    <r>
      <rPr>
        <b/>
        <sz val="10"/>
        <color rgb="FF000000"/>
        <rFont val="Arial"/>
        <scheme val="minor"/>
      </rPr>
      <t xml:space="preserve">Sushmitha </t>
    </r>
    <r>
      <rPr>
        <sz val="10"/>
        <color rgb="FF000000"/>
        <rFont val="Arial"/>
        <scheme val="minor"/>
      </rPr>
      <t>- Created Prod transactions for deployment Testing.</t>
    </r>
  </si>
  <si>
    <r>
      <rPr>
        <b/>
        <sz val="10"/>
        <color rgb="FF000000"/>
        <rFont val="Arial"/>
        <scheme val="minor"/>
      </rPr>
      <t>Sushmitha</t>
    </r>
    <r>
      <rPr>
        <sz val="10"/>
        <color rgb="FF000000"/>
        <rFont val="Arial"/>
        <scheme val="minor"/>
      </rPr>
      <t xml:space="preserve"> - Call with Owen on test cases in new Repositories. Post Deployment Verifications.</t>
    </r>
  </si>
  <si>
    <r>
      <rPr>
        <b/>
        <sz val="10"/>
        <color rgb="FF000000"/>
        <rFont val="Arial"/>
        <scheme val="minor"/>
      </rPr>
      <t xml:space="preserve">Sushmitha </t>
    </r>
    <r>
      <rPr>
        <sz val="10"/>
        <color rgb="FF000000"/>
        <rFont val="Arial"/>
        <scheme val="minor"/>
      </rPr>
      <t>- Worked on automation. Going through existing repo. Started on super admin and school user logins. In progress.</t>
    </r>
  </si>
  <si>
    <r>
      <rPr>
        <b/>
        <sz val="10"/>
        <color rgb="FF000000"/>
        <rFont val="Arial"/>
        <scheme val="minor"/>
      </rPr>
      <t xml:space="preserve">Sushmitha </t>
    </r>
    <r>
      <rPr>
        <sz val="10"/>
        <color rgb="FF000000"/>
        <rFont val="Arial"/>
        <scheme val="minor"/>
      </rPr>
      <t>- Completed login as super admin and school user. Working on district admin login. 
Working on test cases for Story 46566.</t>
    </r>
  </si>
  <si>
    <r>
      <rPr>
        <b/>
        <sz val="10"/>
        <color rgb="FF000000"/>
        <rFont val="Arial"/>
        <scheme val="minor"/>
      </rPr>
      <t>Sushmitha</t>
    </r>
    <r>
      <rPr>
        <sz val="10"/>
        <color rgb="FF000000"/>
        <rFont val="Arial"/>
        <scheme val="minor"/>
      </rPr>
      <t xml:space="preserve"> - PR created for Automation Tests.  Minor Issue Observed.  </t>
    </r>
  </si>
  <si>
    <r>
      <rPr>
        <b/>
        <sz val="10"/>
        <color rgb="FF000000"/>
        <rFont val="Arial"/>
        <scheme val="minor"/>
      </rPr>
      <t>Sushmitha</t>
    </r>
    <r>
      <rPr>
        <sz val="10"/>
        <color rgb="FF000000"/>
        <rFont val="Arial"/>
        <scheme val="minor"/>
      </rPr>
      <t xml:space="preserve"> - Continued to Add Test Cases for 44288.  Continued on Automation.  </t>
    </r>
  </si>
  <si>
    <t>Root Cause Category Reason 
Provide the reason for the RCA with Story Number and Who worked this feature (Mandatory)</t>
  </si>
  <si>
    <t>14.4 S2</t>
  </si>
  <si>
    <t>1.  Disabled user while attempting to login through 'Log in WIth MySchoolBucks' internal error occured during your request appears instead of getting error message This user is disabled, please contact school/district admin
2.  Enabled Checkbox is not appearing in Edit district admin screen</t>
  </si>
  <si>
    <t>The popup error message was not loading when redirected back from msb, had to move it into inline error message for the login with msb option.
Rijo</t>
  </si>
  <si>
    <t>While journaling Open and Reversal Bank Deposit entries for a gateway assigned to multiple tenants, the batches are Disappearing/reappearing across all schools. However, the expected behavior is that the batches should Disappear/reappear only in the school where the Bank Deposit Entry was performed.</t>
  </si>
  <si>
    <t>The bank deposits created from shared batch were causing the issue. The journaling and reversal was changing the status for the entire batch and that affected the other schools who use the same batch. 
Rijo</t>
  </si>
  <si>
    <t>12/18/2024</t>
  </si>
  <si>
    <t>12/19/2024</t>
  </si>
  <si>
    <t>12/20/2024</t>
  </si>
  <si>
    <t>12/23/2024</t>
  </si>
  <si>
    <t>12/24/2024</t>
  </si>
  <si>
    <t>12/26/2024</t>
  </si>
  <si>
    <t>12/27/2024</t>
  </si>
  <si>
    <t>12/30/2024</t>
  </si>
  <si>
    <t>12/31/2024</t>
  </si>
  <si>
    <t>1/2/2025</t>
  </si>
  <si>
    <t>1/3/20252</t>
  </si>
  <si>
    <t>1/6/2025</t>
  </si>
  <si>
    <t>1/7/2025</t>
  </si>
  <si>
    <t>1/8/2025</t>
  </si>
  <si>
    <t>1/9/2025</t>
  </si>
  <si>
    <t>1/10/20252</t>
  </si>
  <si>
    <t>MSB ACCT - BKK - Modernize Import from MSB UI (14.3) - Multiple School Gateways</t>
  </si>
  <si>
    <t>https://dev.azure.com/heartlandschools/Accounting/_git/MSBAccounting-NewSchoolBooks/pullrequest/40144</t>
  </si>
  <si>
    <t xml:space="preserve">1) Spelling correction. 2) Drop unused stored procedures. </t>
  </si>
  <si>
    <t>Better have a pop-up showing the MSB batch total and school's share of the MSB batch total while clicking on the batch line.
Approved-Satisified AC</t>
  </si>
  <si>
    <t>The "NeedsReview" text is running together when the batch is not selected. Needs a space. It's noticeable when you first load the page.
"Main GL Account" should be capitalized in the Edit Item window
If tenant 3 claims the payment with the missing GL, then I would expect to immediately see "Available" as the status the next time tenants 1 and 2 load Import MSB Batches, rather than updating after they click on the batch. Use case: If I know I'm waiting on someone else to fix their part of the batch, I may only glance at the status and assume that they have not done their part yet. When the status is resolved for tenant 3, why not also resolve it for 1 and 2 at the same time?
About the pop-up message - batches on multi-school gateways will include payments for more than one school more often than not. Receiving a pop-up every time they click on a batch may be too much. What about a tool tip instead? It would only show on batches that are from multi-school gateways, and only when hovering of the Amount field. There should be a short delay before it shows, should stay a couple of seconds (long enough to read), or until the mouse is moved, and then disappear. "$&lt;tenant amount&gt; of the MSB Batch Total ($&lt;batch total&gt;) belongs to this School." e.g. "$1,000 of the MSB Batch Total ($10,000) belongs to this School."
For #4, it is probably less confusing to the school users than you would think. It's unlikely that school users are using the deposit reconciliation in MSB - they are probably running a payment detail or batch detail report for their school store - so they will already be looking at a subset of the total batch data. A district admin, on the other hand, is more likely to understand that they are only looking at a piece of the batch. The tooltip could be useful to them if they want to check the batch total.</t>
  </si>
  <si>
    <t xml:space="preserve">Sushmita - Setting up data for testing. </t>
  </si>
  <si>
    <t xml:space="preserve">POV Comment Changes.  
Completed 3 out of 4 points.
Show a hover popup instead of tool Tip 
Working on the issue Reported, payments getting missed. Observed in another district. not able to find Root cause.
Made additional transactions, disabled gateways, enabled gateways, </t>
  </si>
  <si>
    <t xml:space="preserve">Karthik has pushed changes. 
Completed POV changes. 
RIjo has completed changes. </t>
  </si>
  <si>
    <t>Karthik has made POV comment changes and fixed internal finding issues. Also posted POV recorder. PR will be created for the changes. Test transactions were completed by Sushmitha.</t>
  </si>
  <si>
    <t xml:space="preserve">Sushmitha reported an issue with running the batchjobs. Rijo has made fix for issue with running batch create job and Karthik has made fix for PR comments. Created PR for both changes. </t>
  </si>
  <si>
    <t>Deployed to Dev/QA.
Not able to test since Test MSB is down. Sushmitha need to login with HSS credentials to assign gateways to multiple tenants.</t>
  </si>
  <si>
    <t>Test MSB is down. Sushmitha reported a bounceback and Karthik is working on that issue.</t>
  </si>
  <si>
    <t xml:space="preserve">Issues with Gateways being mapped post batches being received in the case of multiple schools for a single batch.
The tooltip Amount differs drastically from the Total Amount on MSB. No issue with the data. 
Testing: TEST MSB was down. </t>
  </si>
  <si>
    <t xml:space="preserve">Discussion with Sushmitha / Karthik. Issue with Closing out batches which have transactions for only some of the shared gateway tenants. 
Another issue with the total of the tooltip (charge amount)  does not match with the MSB total. </t>
  </si>
  <si>
    <t xml:space="preserve">Fixed issue. Issue with the tooltip. </t>
  </si>
  <si>
    <t>Observations Made: 
Tooltip should not show for non shared gateways. 
ToolTip Amount is not updated after GL Account is assigned.</t>
  </si>
  <si>
    <t>Still need to test on QA.
Transactions not on QA.</t>
  </si>
  <si>
    <t>Completed -  Closed</t>
  </si>
  <si>
    <t xml:space="preserve">	MSB ACCT - Recurring Production Email log Errors - RCA (14.4)</t>
  </si>
  <si>
    <t xml:space="preserve">Rolled over to next sprint with 8 sp for completion. Still we couldn't identify the cause of the issue. Production Issue. Log Issue. </t>
  </si>
  <si>
    <t xml:space="preserve">Reviewed this, Still See the Logs being generated from A02. Cannot make change recommended by Michael due to change freeze </t>
  </si>
  <si>
    <t xml:space="preserve">Call with platops. Waiting for Approval for change request. </t>
  </si>
  <si>
    <t xml:space="preserve">Documented this yesterday. Change freeze going on so thay're holding back updating prod. </t>
  </si>
  <si>
    <t>Need to check the confirmation requests being made to MSB.</t>
  </si>
  <si>
    <t xml:space="preserve">I checked the confirmation. Not an issue with the confirmation. </t>
  </si>
  <si>
    <t>Still no root cause found. Need to investigate the periodicBackgroundworker Class.</t>
  </si>
  <si>
    <t>Had a Discussion with James.</t>
  </si>
  <si>
    <t>background Workers are not working, Background Jobs are running on  the other server.</t>
  </si>
  <si>
    <t xml:space="preserve">Got the event log. Will discuss with Michael today. </t>
  </si>
  <si>
    <t>Swarm with Michael.
Additional Stories to be created from this. 
On Hold for Regression</t>
  </si>
  <si>
    <t>checked if we had the same issues on CERT. Tried to fix the web.config , but didnt work,</t>
  </si>
  <si>
    <t xml:space="preserve">Added StackExchange.Redis.StrongName to the project. </t>
  </si>
  <si>
    <t xml:space="preserve"> MSB ACCT BKK - Modify the query to add Batch Id to Bank Deposit Table on existing deposits for single gateway-Multiple school payments</t>
  </si>
  <si>
    <t>Change made to check mapped table for status of Journaled transactions for each of the tenants in the common gateway scenario</t>
  </si>
  <si>
    <t xml:space="preserve">Completed Changes and merged
Rijo verified. </t>
  </si>
  <si>
    <t xml:space="preserve">Completed. To Be pushed with 46689. Waiting on 46689 PR. </t>
  </si>
  <si>
    <t>Deployed to Dev/QA.
Not able to test since Test MSB is down. Sushmitha need to login with HSS credentials to assign gateways to multiple tenants(Testing along with 46689)</t>
  </si>
  <si>
    <t xml:space="preserve">Deployed to Dev/QA.
Not able to test since Test MSB is down. </t>
  </si>
  <si>
    <t>Batch Date Issues- Got mismatched charge amounts on batches from the Old ImportFromMSBHeaders / Lines</t>
  </si>
  <si>
    <t xml:space="preserve">Created the validation query.
found some scenarios where the importFromMSB Headers /Lines dont match ImportFromMSB headers.
Issues 
Ignored deleted ImportfromMSB Lines in the query. </t>
  </si>
  <si>
    <t xml:space="preserve">Continued analysisng the issue with mismatch. 
Existing issue with bad data. 
</t>
  </si>
  <si>
    <t xml:space="preserve">Completed the fixes. No New Scenarios found. 
</t>
  </si>
  <si>
    <t xml:space="preserve">Data Fix for 207 of 208. 
</t>
  </si>
  <si>
    <t>Completed Data Fix. Working as expected.
After Batch creation -  Batches split up , we need to update the journal status.</t>
  </si>
  <si>
    <t>POV with Pramod. 
2 new scenarios found. 
POV Approved.</t>
  </si>
  <si>
    <t>Data Fix query added for new data.</t>
  </si>
  <si>
    <t xml:space="preserve">	MSB ACCT - BKK - Malad HS OOB PY Trial Balance - Final Tweak and Execution/Feedback</t>
  </si>
  <si>
    <t>https://dev.azure.com/heartlandschools/Accounting/_git/MSBAccounting-NewSchoolBooks/</t>
  </si>
  <si>
    <t>Fix Applied. Completed</t>
  </si>
  <si>
    <t xml:space="preserve">Started with a fresh copy of Prod DB. Updated the beg balances for Dtsb Account. Verification on Reports worked. </t>
  </si>
  <si>
    <t xml:space="preserve">Changes completed. Sarah to review PDf's sent. </t>
  </si>
  <si>
    <t xml:space="preserve">Rijo to Review.  on Hold from the Client Side, as Sarah to needs to completely review. </t>
  </si>
  <si>
    <t>On Hold</t>
  </si>
  <si>
    <t>On Hold. Waiting on PO</t>
  </si>
  <si>
    <t>Need to generate new Bank Recs from this, and check.</t>
  </si>
  <si>
    <t>Provided Sarah the Bank Recs.</t>
  </si>
  <si>
    <t>On Hold. Waiting for the Customer</t>
  </si>
  <si>
    <t>Fix will be applied on Monday</t>
  </si>
  <si>
    <t>MSB Accounting - BKK - Regression - 14.3</t>
  </si>
  <si>
    <t>Regression is completed</t>
  </si>
  <si>
    <t>Started Setting up Data on CERT for verification</t>
  </si>
  <si>
    <t xml:space="preserve">Data Staging Completed. Created Few products on Staging.  Issues with staging environment, where the products cannot be set up with installment payments on a daily basis. Weekly / Monthly are present, and this is an issue for our testing/ Regression. </t>
  </si>
  <si>
    <t>Waiting to start</t>
  </si>
  <si>
    <t xml:space="preserve">Start Regression
Rijo - Completed all maintainence screens.
Completed purchase order entry screen.
Sushmitha - Import From MSB UI. - Modernizing the functionality. 
</t>
  </si>
  <si>
    <r>
      <rPr>
        <sz val="10"/>
        <color rgb="FF000000"/>
        <rFont val="Arial"/>
        <scheme val="minor"/>
      </rPr>
      <t xml:space="preserve">Discussion with Team on testing with new TEST MID's in CERT. Follow up with Sarah on Creating Gateways.
</t>
    </r>
    <r>
      <rPr>
        <b/>
        <sz val="10"/>
        <color rgb="FF000000"/>
        <rFont val="Arial"/>
        <scheme val="minor"/>
      </rPr>
      <t>Pramod</t>
    </r>
    <r>
      <rPr>
        <sz val="10"/>
        <color rgb="FF000000"/>
        <rFont val="Arial"/>
        <scheme val="minor"/>
      </rPr>
      <t xml:space="preserve">:  Import From Receipting , Banking / Financial Reports. 
</t>
    </r>
    <r>
      <rPr>
        <b/>
        <sz val="10"/>
        <color rgb="FF000000"/>
        <rFont val="Arial"/>
        <scheme val="minor"/>
      </rPr>
      <t xml:space="preserve">Sushmitha :  </t>
    </r>
    <r>
      <rPr>
        <sz val="10"/>
        <color rgb="FF000000"/>
        <rFont val="Arial"/>
        <scheme val="minor"/>
      </rPr>
      <t xml:space="preserve">Completed GL Analysis reports.
</t>
    </r>
  </si>
  <si>
    <r>
      <rPr>
        <b/>
        <sz val="10"/>
        <color rgb="FF000000"/>
        <rFont val="Arial"/>
        <scheme val="minor"/>
      </rPr>
      <t>Karthik</t>
    </r>
    <r>
      <rPr>
        <sz val="10"/>
        <color rgb="FF000000"/>
        <rFont val="Arial"/>
        <scheme val="minor"/>
      </rPr>
      <t xml:space="preserve"> : 3 issues found - Cases - PY Reports, Admin Menu, 1099 Report.  
</t>
    </r>
    <r>
      <rPr>
        <b/>
        <sz val="10"/>
        <color rgb="FF000000"/>
        <rFont val="Arial"/>
        <scheme val="minor"/>
      </rPr>
      <t>Rijo</t>
    </r>
    <r>
      <rPr>
        <sz val="10"/>
        <color rgb="FF000000"/>
        <rFont val="Arial"/>
        <scheme val="minor"/>
      </rPr>
      <t xml:space="preserve"> - Vendor Reports 
</t>
    </r>
    <r>
      <rPr>
        <b/>
        <sz val="10"/>
        <color rgb="FF000000"/>
        <rFont val="Arial"/>
        <scheme val="minor"/>
      </rPr>
      <t xml:space="preserve">Sushmitha </t>
    </r>
    <r>
      <rPr>
        <sz val="10"/>
        <color rgb="FF000000"/>
        <rFont val="Arial"/>
        <scheme val="minor"/>
      </rPr>
      <t>- Tested Defects 
Verified Bouncebacks
Bank Rec Testing in Progress.</t>
    </r>
  </si>
  <si>
    <r>
      <rPr>
        <b/>
        <sz val="10"/>
        <color rgb="FF000000"/>
        <rFont val="Arial"/>
        <scheme val="minor"/>
      </rPr>
      <t>Sushmitha</t>
    </r>
    <r>
      <rPr>
        <sz val="10"/>
        <color rgb="FF000000"/>
        <rFont val="Arial"/>
        <scheme val="minor"/>
      </rPr>
      <t xml:space="preserve"> : Completed Testing bank rec for multiple schools. 
</t>
    </r>
    <r>
      <rPr>
        <b/>
        <sz val="10"/>
        <color rgb="FF000000"/>
        <rFont val="Arial"/>
        <scheme val="minor"/>
      </rPr>
      <t xml:space="preserve">
</t>
    </r>
  </si>
  <si>
    <t>14.4 Sprint 1 Stretch</t>
  </si>
  <si>
    <t>Rijo/Karthik</t>
  </si>
  <si>
    <t>MSB ACCT - BKK - Alpine - Components [Full List]</t>
  </si>
  <si>
    <t>This was a stretch item that's been created into a Epic and broken out into much smaller chunks</t>
  </si>
  <si>
    <t>Karthik has made css change to fix menu alignment and currently working on for creating the components in alpine js.</t>
  </si>
  <si>
    <t>Karthik is working on datatables plugin's searchable grid with paging and sorting UI.</t>
  </si>
  <si>
    <t xml:space="preserve">Rijo:  Worked on links and buttons
Karthik :  Tried to implement Datagrid. Had some issues with Data Source. 
</t>
  </si>
  <si>
    <t>MSB ACCT - BKK - [Regression] Settled MSB Batches missing in Import From MSB UI</t>
  </si>
  <si>
    <t xml:space="preserve">Issue was out of our hands. Issue caused because of MSB not sending the batchid with the payments. </t>
  </si>
  <si>
    <t>Checked the issue with what was changing. 
facing issues inserting payments</t>
  </si>
  <si>
    <t>Rijo-Karthik</t>
  </si>
  <si>
    <t>1. Assigned shared gateways for school , From school 1 mapped GL account for products with No Gl accounts , switch to school 2 the same product still exists with red highlighted [No GL mapped status] in payment lines grid . Again switch to school 1 , product which was mapped with GL account remains in red highlighted [No GL mapped status] state.
2. MSB Batch total from Import screen Tooltip mismatches with actual total from MSB Batches report
3. When Gateway assigned to Single tenant , MSB Total mismatch with Import screen Batch total
4. Gateway is assigned to multi-tenants and the Batch has only products with No GL , in this case Batch amount in Import screen should be zero across the schools .
5. Gateway is assigned to multi-tenants , Batch has products with GL mapped and products without GL from school 1 . Batch is displayed across multi-tenants but tooltip is not enabled for the batch and Products with GL mapped is showing as Red highlighted in all the tenants eventhough it's already GL assigned from school 1
6. When gateway is mapped with Single school , In import screen Tootip is displayed for the batch and products with GL mapped line item transactions alone gets calculated
7. Batch has the combination of Products with GL mapped and no GL account mapped , While mapping the GL account the tooltip school amount calculates the pending transaction line item
8. Difference in Sequence number between Batch received on Different dates</t>
  </si>
  <si>
    <t>1.  This is not a normal scenario, happened because some schools had all the products wrongly setup. The mapping was missing for some tenants because we were deciding that based on GL accounts present in the batch. When some schools has only the wrongly set up products, no GL s from those schools present in the batch and getting missed to add tenant batch mapping table for shared gateways.We changed the approch of deciding the mapping based on GL accounts, we are adding the mapping for all schools who are using the shared gateway now.
Same root cause for points 1, 2, 3 &amp; 5 - Rijo
 4. For a non shared gateway, the total amout shows on UI will include all line items amounts including the ones which are wrongly setup without a valid GL account. But for a shared gateway should add or include the lines which are correctly assigned to respective school gl accounts and the amouts should dynamically update on UI when users assigning GL accounts to transactions without GL accounts. This calculation was finalised later as we went along the changes and as per POV comments from Sarah. It caused the issues 4, 6 &amp; 7.- Karthik
8. Some sequence numbers were getting skipped because we were creating a new sequence and the batch is not getting added to DB due to null batch Id - Rijo</t>
  </si>
  <si>
    <t xml:space="preserve">MSB ACCT - BKK - [Regression] Settled MSB Batches missing in Import From MSB UI	</t>
  </si>
  <si>
    <t xml:space="preserve">Defect was Rejected. We didnt display the batches from MSB, because We didnt receive the BatchId in the Payments from MSB.  This is an anomaly because we had recently setup new Test gateways with Portico on the MSB Side, and had expected the batchid's to be there. There was no issue with Gateways NOT tied to Portico. Once we investigated the issue, we found that the batches had settled and batchId's were available in Portico. We manually added the batchid's from portico in our DB, and the feature worked perfectly. </t>
  </si>
  <si>
    <t>MSB ACCT -BKK - [Regression] Bank rec. cash transfer items for multi school bank rec not visible in Bank Rec. Report</t>
  </si>
  <si>
    <t xml:space="preserve">This was an existing edge case issue in the application. We have just one customer who would use a multi school Bank Rec. The multi School bank Rec is meant for multiple schools who share the same bank account.  Cash Transfers are transactions between 2 bank Accounts.  All School setup in a multi bank Scenario only have 1 bank account. 
Once we get a customer who has multiple banks shared across multiple schools would this issue be a problem </t>
  </si>
  <si>
    <t>14.3 S3</t>
  </si>
  <si>
    <t>This is an existing issue. So we made data fix on production for the particular district to close the escalation and created this defect to give permanent solution. We have fixed it by adding one SP to get track about the payment confirmations on newly implemented import from MSB functional changes.</t>
  </si>
  <si>
    <t>1. Batches Job type not added for district in sync setting and after mapping gateways to schools transactions are not received
2. The status field should updated with status "new" , but its updated as 0
3. Oldest transactions [Batches] are not available in batches grid
4. URL should be renamed as "Import MSB Batches"</t>
  </si>
  <si>
    <t>Here issue no 3 is related with migration and it got resolved after redeploying the app. 
1 &amp; 2 are related with validation check missed to handle for "new" status. So Rijo has made code changes to handling validation check for "new" status. 
4th one is about minor change on url renaming. Rijo done this change as well.</t>
  </si>
  <si>
    <t>12/4/2024</t>
  </si>
  <si>
    <t>12/5/2024</t>
  </si>
  <si>
    <t>12/6/2024</t>
  </si>
  <si>
    <t>12/9/20242</t>
  </si>
  <si>
    <t>12/10/20242</t>
  </si>
  <si>
    <t>12/11/20242</t>
  </si>
  <si>
    <t>12/12/20242</t>
  </si>
  <si>
    <t>12/13/2024</t>
  </si>
  <si>
    <t>12/16/2024</t>
  </si>
  <si>
    <t>12/17/2028</t>
  </si>
  <si>
    <t>Issues observed(BacktoDev)</t>
  </si>
  <si>
    <t>https://dev.azure.com/heartlandschools/Accounting/_git/MSBAccounting-NewSchoolBooks/pullrequest/40038</t>
  </si>
  <si>
    <t xml:space="preserve">To be started. </t>
  </si>
  <si>
    <t>Dev Completed. Dev Testing in progress.</t>
  </si>
  <si>
    <t xml:space="preserve">had issues creating the POV. </t>
  </si>
  <si>
    <t>PR Created and Deployed.  Ready for testing.</t>
  </si>
  <si>
    <t>Waiting on Testing</t>
  </si>
  <si>
    <t>Waiting on additional transactions from MSB</t>
  </si>
  <si>
    <t>MSB ACCT - BKK - Modernize Import from MSB UI</t>
  </si>
  <si>
    <t>https://dev.azure.com/heartlandschools/Accounting/_git/MSBAccounting-NewSchoolBooks/pullrequest/39994</t>
  </si>
  <si>
    <t>Increase the tool tip time</t>
  </si>
  <si>
    <t xml:space="preserve">1. Right justify all dollar amount columns
2. List all transactions without GL on top of the details table
3. Do apply all by default to same products while setting a GL account </t>
  </si>
  <si>
    <t>Working on the bounceback
sushmitha tested disabling gateways, and has received data for 1 gateway. 2 gateways pending.  Once data received from those, only bounceback will be pending.</t>
  </si>
  <si>
    <t xml:space="preserve">Dev Completed. POV Created. Query to clean DEV/QA Data done. </t>
  </si>
  <si>
    <t xml:space="preserve">Changes completed, Waiting on Pramod. 
</t>
  </si>
  <si>
    <t>PR Made. Waiting to be approved.</t>
  </si>
  <si>
    <t>Awaiting Deployment</t>
  </si>
  <si>
    <t>Deployed to DEV/QA . Testing in Progress.</t>
  </si>
  <si>
    <t xml:space="preserve">Fixed issue with the status field.
Fixed issue with the scneario of  GL accounts of 2 schools being present in a batch 
</t>
  </si>
  <si>
    <t xml:space="preserve">Need to create more transactions on MSB. </t>
  </si>
  <si>
    <t>URL is working now. 
Waiting on some transactions to come in.</t>
  </si>
  <si>
    <t>Additional suggestions are provided on the existing completed jobs</t>
  </si>
  <si>
    <t>Will share the branch with team for review. Had POV on 17/12/2024, got review comments and will be working on the same</t>
  </si>
  <si>
    <t xml:space="preserve">Mapping table for shared gateways. Changes in Confirmation Logic. 
</t>
  </si>
  <si>
    <t>Made change in Existing Job.
Updating new table with Tenantid</t>
  </si>
  <si>
    <t>Implemented logic for confirmation. Basic flows Completed. Need to work on different Scenarios.</t>
  </si>
  <si>
    <t xml:space="preserve">Testing Scenarios 
implemented logic for non GL Account Scenarios. </t>
  </si>
  <si>
    <t>Will share the branch with team for review.</t>
  </si>
  <si>
    <t>Internal POV completed with suggestions, waiting for client POV for discussion on additional suggestions</t>
  </si>
  <si>
    <t>MSB ACCT - Macroscope - Check &amp; Remediate Critical &amp; High Commit Items</t>
  </si>
  <si>
    <t>https://dev.azure.com/heartlandschools/Accounting/_git/MSBAccounting-NewSchoolBooks/pullrequest/39973</t>
  </si>
  <si>
    <t>Started Analysing the issues on the web.config and App.js Files</t>
  </si>
  <si>
    <t>Deleted the App.Js. Changes Ready . POV Pending</t>
  </si>
  <si>
    <t xml:space="preserve">PR Completed. </t>
  </si>
  <si>
    <t>We know the email job isnt running because the background worker process is getting killed because of an exception.  Noticed logs about timeout issues with the ImportPayments.  Need to investigate if that is the cause of the BG Worked process failing</t>
  </si>
  <si>
    <t xml:space="preserve">Figured this out.  Issue is with a timeout on the payments. </t>
  </si>
  <si>
    <t xml:space="preserve">Identified issue with the payments Job, we are getting  a timeout from the API. </t>
  </si>
  <si>
    <t xml:space="preserve">Started today. Taken over from karthik </t>
  </si>
  <si>
    <t xml:space="preserve">Found out we have a alot of locks on the database. Those locks should be released. Need to figure out why they arent being released. </t>
  </si>
  <si>
    <t xml:space="preserve">Worked on a plan with Sarah/ James/ nadia to shut off jobs on prod. </t>
  </si>
  <si>
    <t xml:space="preserve">Logs were being run on A02 Server. Checked the web.configs, but the Settings are set to false for a02. Restarted IIS on A02. 
Not sure, why this is stll an issue. </t>
  </si>
  <si>
    <r>
      <rPr>
        <b/>
        <sz val="10"/>
        <color rgb="FF000000"/>
        <rFont val="Arial"/>
        <scheme val="minor"/>
      </rPr>
      <t>[Task] -</t>
    </r>
    <r>
      <rPr>
        <sz val="10"/>
        <color rgb="FF000000"/>
        <rFont val="Arial"/>
        <scheme val="minor"/>
      </rPr>
      <t xml:space="preserve"> MSB ACCT - BKK - AUTOMATION - Implement Tests in Cloud Environment Instead of Local</t>
    </r>
  </si>
  <si>
    <t>https://dev.azure.com/heartlandschools/Accounting/_git/MSBAccounting-NewSchoolBooks/pullrequest/40090</t>
  </si>
  <si>
    <t xml:space="preserve">Missing Admin Test Cases in develop branch
</t>
  </si>
  <si>
    <t xml:space="preserve">Browser Stack learning. </t>
  </si>
  <si>
    <t xml:space="preserve">Modified Browser Configs in code.  Modified tests to verify if configuration works. </t>
  </si>
  <si>
    <t xml:space="preserve">Able to launch tests in browserStack, but still some configurations to be completed. </t>
  </si>
  <si>
    <t>Tests Passing now. 
Making Updates on current test cases.
need a super admin Test User</t>
  </si>
  <si>
    <t xml:space="preserve">Updated the changes in all pages. Tests pass in login func. 
Did some enhancements. </t>
  </si>
  <si>
    <t>No update. Other priorities</t>
  </si>
  <si>
    <t>Sushmitha on PTO</t>
  </si>
  <si>
    <t>Completed Some automation.</t>
  </si>
  <si>
    <t>14.3 S3 Stretch</t>
  </si>
  <si>
    <t xml:space="preserve">24384	</t>
  </si>
  <si>
    <t>MSB ACCT - BKK - Query timeout while creating the batches from existing transactions on latest production database backup</t>
  </si>
  <si>
    <t>https://dev.azure.com/heartlandschools/Accounting/_git/MSBAccounting-NewSchoolBooks/pullrequest/40032</t>
  </si>
  <si>
    <t>Closed ( We have completed the work on the query timeout and it's fixed. Additional work on the multiple gateway scenario in a new story)</t>
  </si>
  <si>
    <t>Changes to the query.</t>
  </si>
  <si>
    <t>Made a change for the batch id for Demo Clientid. Changes completed. Need to discuss how to handle currnet data with multi school gateways scenarios</t>
  </si>
  <si>
    <t xml:space="preserve">Completed Changes. </t>
  </si>
  <si>
    <t>Discussion with RIjo on BD Jounralled flag. Testing the changes.</t>
  </si>
  <si>
    <t xml:space="preserve">Root Cause found.  Need to figure out if a fix is possible. </t>
  </si>
  <si>
    <t>Manually insert payment data in the db and test. Potentially transaction could be part of a failed payment. Data request to be made</t>
  </si>
  <si>
    <t>DB Script tests in QA DB</t>
  </si>
  <si>
    <t xml:space="preserve">Data Updates made. Waiting on Customer </t>
  </si>
  <si>
    <t xml:space="preserve">PR Ready, </t>
  </si>
  <si>
    <t xml:space="preserve">Found another librabry instead of recomended one. </t>
  </si>
  <si>
    <t>Waiting on deployment.</t>
  </si>
  <si>
    <t>Found a couple of Observations. 1 to be discussed as a second rounder , 1 to be discussed with Wes.</t>
  </si>
  <si>
    <t xml:space="preserve">Discussion with Karthik,
UI part - New Stored Proc
Implemented Code for the status.
Import functionality to be worked on. </t>
  </si>
  <si>
    <t xml:space="preserve">UI in progress, Issues with Linking the bank Code with a batch before a user clicks the batch,  Stored Proc modifications, </t>
  </si>
  <si>
    <t xml:space="preserve">	MSB ACCT - BKK - Add Batch Id to Bank Deposit Table for Existing Deposits</t>
  </si>
  <si>
    <t xml:space="preserve">Discusiion with RIjo. 
Need to identify the unjournalled bank Deposit Changes.
</t>
  </si>
  <si>
    <t>11/20/2024</t>
  </si>
  <si>
    <t>11/21/2024</t>
  </si>
  <si>
    <t>11/22/2024</t>
  </si>
  <si>
    <t>11/25/2024</t>
  </si>
  <si>
    <t>11/26/2024</t>
  </si>
  <si>
    <t>11/27/2024</t>
  </si>
  <si>
    <t>11/28/2024</t>
  </si>
  <si>
    <t>11/29/2024</t>
  </si>
  <si>
    <t>12/2/2024</t>
  </si>
  <si>
    <t>12/3/2024</t>
  </si>
  <si>
    <t>Working on the fix today.</t>
  </si>
  <si>
    <t xml:space="preserve">Still In progress.  Dev Testing is pending. </t>
  </si>
  <si>
    <t>ready for PR</t>
  </si>
  <si>
    <t xml:space="preserve">Issues with Confirmation after switch to batches. 
Need some additional testing. </t>
  </si>
  <si>
    <t>On hold . Dependency on 46200</t>
  </si>
  <si>
    <t>https://dev.azure.com/heartlandschools/Accounting/_git/MSBAccounting-NewSchoolBooks/pullrequest/39860</t>
  </si>
  <si>
    <t>Confirmed by the customer, issue fixed.</t>
  </si>
  <si>
    <t>Pending-Waiting for Customer confirmation</t>
  </si>
  <si>
    <t>Waiting on Customer Feedback , no updates yet.</t>
  </si>
  <si>
    <t>Got Customer Feedback. Good to close</t>
  </si>
  <si>
    <t>https://dev.azure.com/heartlandschools/Accounting/_git/MSBAccounting-NewSchoolBooks/pullrequest/39848</t>
  </si>
  <si>
    <t>Waiting for client confirmation on Macroscope status</t>
  </si>
  <si>
    <t>Deployed, tested and closed the story.</t>
  </si>
  <si>
    <t>https://dev.azure.com/heartlandschools/Accounting/_git/MSBAccounting-NewSchoolBooks/pullrequest/39897</t>
  </si>
  <si>
    <t>Working on the Import functionality. Added the splitted lines into Imp from MSB header and lines table. Currently working on transfering to bank deposit table.</t>
  </si>
  <si>
    <t>Clicking on the Import Button Adds a bank Deposit. In the process of adding bank Deposit headers.</t>
  </si>
  <si>
    <t xml:space="preserve">Changes Completed. Integration with Karthik's code pending.
Completed Pop Up Changes. 
Discuss with Rijo. 
</t>
  </si>
  <si>
    <t>Still has 1 small issue. When a batch has some shared gateway payments items without gl accounts, it is showing for all tenants mapped to that gateway. Karthik is working on the SP changes while fetching batches. Everything else is working now. Will be ready for review after fixing it.</t>
  </si>
  <si>
    <t>Made PR</t>
  </si>
  <si>
    <t>PR Made.  Bounceback Created. Jobs Were not run.</t>
  </si>
  <si>
    <t xml:space="preserve">Validated Cases we discussed with Rijo. They will work. Design to be shared with Michael / Sarah.
</t>
  </si>
  <si>
    <t>https://dev.azure.com/heartlandschools/Accounting/_git/MSBAccounting-NewSchoolBooks/pullrequest/39891</t>
  </si>
  <si>
    <t xml:space="preserve">PR completed. </t>
  </si>
  <si>
    <t>Created query for updating BatchId update in bank deposit, currently working on Journal status</t>
  </si>
  <si>
    <t>Completed query Changes. Query takes too long to run in a migration. karthik to investigate.</t>
  </si>
  <si>
    <t xml:space="preserve">Performance IMproved . Migration Worked . Final Testing in Progress. </t>
  </si>
  <si>
    <t>Review and peer testing completed. Will create a PR today.</t>
  </si>
  <si>
    <t xml:space="preserve">PR Completed. Close Story. </t>
  </si>
  <si>
    <t>MSB ACCT - Recurring Production Errors - RCA</t>
  </si>
  <si>
    <t>Will be starting on this today</t>
  </si>
  <si>
    <t xml:space="preserve">In Progress. </t>
  </si>
  <si>
    <t>In Progress.</t>
  </si>
  <si>
    <t xml:space="preserve">Got the logs from the server.  Nothing new found yet. </t>
  </si>
  <si>
    <t xml:space="preserve">MSB ACCT - BKK - Required Permissions Are Not Granted to Access Districts Page from Other Schools	
</t>
  </si>
  <si>
    <t xml:space="preserve">Root Cause Identified. </t>
  </si>
  <si>
    <t>Replaced the old permission. Removed the old District permissions. Testing and POV Pending</t>
  </si>
  <si>
    <t>MSB ACCT - BKK - Add Sales Tax and Freight Line Items on Vendor Check History Report When Include Details Is Checked</t>
  </si>
  <si>
    <t>Analysis Started</t>
  </si>
  <si>
    <t xml:space="preserve">Completed the SP Changes. 
RDLC Changes Completed.  CSV changes. </t>
  </si>
  <si>
    <t>Batches Job type not added for district in sync setting and after mapping gateways to schools transactions are not received</t>
  </si>
  <si>
    <t>14.3 S1</t>
  </si>
  <si>
    <t>MSB ACCT - BKK - Malad HS - OOB Prior Year Trial Balance</t>
  </si>
  <si>
    <t>Data Fix made on DEV. Waiting on customer OK to complete on PROD. 
Closing the Story.  Still waiting on the Customer. Depending on the feedback from the Customer, we will either create a Task to update PROD or Create a new defect for further investigations</t>
  </si>
  <si>
    <t>Delivered the script file to client POC</t>
  </si>
  <si>
    <t>Waiting on Customer</t>
  </si>
  <si>
    <t>MSB ACCT - BKK - Modify ImportFromMsb Job to Create Batches (14.3)</t>
  </si>
  <si>
    <t>Rijo / Karthik</t>
  </si>
  <si>
    <t>PR Completed.  No Testing Required for this.</t>
  </si>
  <si>
    <t xml:space="preserve">Dev Complete. PR to be created today. </t>
  </si>
  <si>
    <t>Issues found in Migrations. PR Completed.</t>
  </si>
  <si>
    <t>14.3 S1 - Stretch</t>
  </si>
  <si>
    <t>MSB ACCT - BKK - Modernize Import from MSB UI (14.3)</t>
  </si>
  <si>
    <t>In progress (It's in Dev)</t>
  </si>
  <si>
    <t>Waiting to Completed 46358</t>
  </si>
  <si>
    <t xml:space="preserve">46107	</t>
  </si>
  <si>
    <t>MSB ACCT - BKK - AUTOMATION - Add Automation Tests (Dist Admin Screen)</t>
  </si>
  <si>
    <t>Role mgmt.Test scripts is in progress</t>
  </si>
  <si>
    <t>https://dev.azure.com/heartlandschools/Accounting/_git/MSBAccounting-NewSchoolBooks/pullrequest/39669
https://dev.azure.com/heartlandschools/Accounting/_git/MSBAccounting-NewSchoolBooks/pullrequest/39737</t>
  </si>
  <si>
    <t>11/11/2024
11/15/2024</t>
  </si>
  <si>
    <t>Test Scripts written for Dist Admin Screen/  Role Managment screen</t>
  </si>
  <si>
    <t>SRX24716</t>
  </si>
  <si>
    <t>MSB ACCT - BKK - Twin Rivers USD - Duplicate Detail Lines on Bank Rec Report</t>
  </si>
  <si>
    <t>Qadir/ Rijo</t>
  </si>
  <si>
    <t>Data Fix on Prod. 
Verified by the client, Completed</t>
  </si>
  <si>
    <t>SRX24722</t>
  </si>
  <si>
    <t>MSB ACCT - BKK - Elk Grove / Laguna Creek - Import from MSB Batches Missing Payment Installments</t>
  </si>
  <si>
    <t>Sushmitha/Qadir</t>
  </si>
  <si>
    <t>Sushmitha replicated the scenario for the PO to verify if a MSB feature works with Import From MSB.</t>
  </si>
  <si>
    <t>Analysis Still in progress by Qadir</t>
  </si>
  <si>
    <t>SRX24748</t>
  </si>
  <si>
    <t>MSB ACCT - BKK - Uncleared Checks on Bank Rec (East Central High School)</t>
  </si>
  <si>
    <t xml:space="preserve">46481	</t>
  </si>
  <si>
    <t xml:space="preserve">Macroscope items were reviewed and delegated to the devs by Qadir </t>
  </si>
  <si>
    <t>Clarifications required on some of the sanitize HTML Scripts. Completed 6/20 items. Target was 2</t>
  </si>
  <si>
    <t>Issues with using the Sanitize HTML JS library</t>
  </si>
  <si>
    <t>SRX24811</t>
  </si>
  <si>
    <t xml:space="preserve">	MSB ACCT - BKK - Remove Failed Imports from MSB Import Screen (Clark Magnet)	
</t>
  </si>
  <si>
    <t>New escalation added on 19th Nov</t>
  </si>
  <si>
    <t>Added today</t>
  </si>
  <si>
    <t xml:space="preserve">Soft Delete queries ready. </t>
  </si>
  <si>
    <t>ClientDev</t>
  </si>
  <si>
    <t>1. Logged in as super admin user, before switching to school navigated to Configuration menu "Payment Gateways" is not there in the list".
2. Logged in as super admin user, switched to school &gt; "Payment Gateways" is listed under Configuration menu . After clicking Payment Gateways , screen loads and getting internal error request</t>
  </si>
  <si>
    <t>Migration issue. Client Development. Its in Testing</t>
  </si>
  <si>
    <t>Escalation</t>
  </si>
  <si>
    <t>SRX24815</t>
  </si>
  <si>
    <t>Rijo P R</t>
  </si>
  <si>
    <t>MSB ACCT - BKK - Date Field Locked When Creating a Cash Transfer Reversal</t>
  </si>
  <si>
    <t>Karthikeyan</t>
  </si>
  <si>
    <t>No Comments</t>
  </si>
  <si>
    <t>https://dev.azure.com/heartlandschools/Accounting/_git/MSBAccounting-NewSchoolBooks/pullrequest/39454</t>
  </si>
  <si>
    <t>Michael Rose</t>
  </si>
  <si>
    <t>14.2 S3</t>
  </si>
  <si>
    <t>MSB ACCT - BKK - Unposted entries do not appear back in Bank Rec line items</t>
  </si>
  <si>
    <t>https://dev.azure.com/heartlandschools/Accounting/_git/MSBAccounting-NewSchoolBooks/pullrequest/39427</t>
  </si>
  <si>
    <t>Rijo P R /Karthik</t>
  </si>
  <si>
    <t>Won't be closing this. AC points still not finalized, having discussions with Michael and Sarah</t>
  </si>
  <si>
    <t xml:space="preserve">MSB ACCT - BKK - (Clark Magnet) Deposits Not Showing In Import From MSB Screen (SRX24449)	
</t>
  </si>
  <si>
    <t>https://dev.azure.com/heartlandschools/Accounting/_git/MSBAccounting-NewSchoolBooks/pullrequest/39490</t>
  </si>
  <si>
    <t>no Comments</t>
  </si>
  <si>
    <t xml:space="preserve">MSB ACCT - BKK - Malad HS - OOB Prior Year Trial Balance	
</t>
  </si>
  <si>
    <t xml:space="preserve">This is a story investigating the accounting data for a customer. Only coding involved will be a data fix. </t>
  </si>
  <si>
    <t>MSB ACCT - BKK - Datafix - Header total not matching to the line total amounts in Bank Rec. History report</t>
  </si>
  <si>
    <t xml:space="preserve">Done </t>
  </si>
  <si>
    <t xml:space="preserve">24243	</t>
  </si>
  <si>
    <t>MSB ACCT - BKK - [Regression] ImportFromMSB-Internal error after fixing the transactions with missing GL account</t>
  </si>
  <si>
    <t>No PR since the issue was fixed with data fix on cert db</t>
  </si>
  <si>
    <t>testing completed
 No SP for this since we found this during regression testing.</t>
  </si>
  <si>
    <t>MSB ACCT - BKK - [Regression] Beginning balance changes "zero" after unposting a bank rec that was done for first time</t>
  </si>
  <si>
    <t>https://dev.azure.com/heartlandschools/Accounting/_git/MSBAccounting-NewSchoolBooks/pullrequest/39524</t>
  </si>
  <si>
    <t>No SP for this since we found this during regression testing.</t>
  </si>
  <si>
    <t>MSB ACCT - BKK - [Regression] Rollback statement date shows "Invalid date" in the unpost message for a bank rec with no school settings saved</t>
  </si>
  <si>
    <t>testing completed
No SP for this since we found this during regression testing.</t>
  </si>
  <si>
    <t>Rijo P R /Karthik/Sushmitha</t>
  </si>
  <si>
    <t>MSB Accounting - BKK - Regression - 14.2 (Targeted)</t>
  </si>
  <si>
    <t>MSB ACCT - BKK - [Regression] Beginning balance changes to "zero" after unposting a bank rec that was done for first time</t>
  </si>
  <si>
    <t>14.2 S2</t>
  </si>
  <si>
    <t>MSB ACCT - BKK - Clark Magnet - Previously Cleared PY Checks Showing on July Bank Rec</t>
  </si>
  <si>
    <t>Escalation - With Data Fix. Fix Confirmed by Support.</t>
  </si>
  <si>
    <t>SRX24146</t>
  </si>
  <si>
    <t>MSB ACCT - BKK - Elk Grove USD / Pleasant Grove High School - Import from MSB Timeout Error</t>
  </si>
  <si>
    <t>MSB ACCT - BKK - Data Cleanup - Bank Deposit Duplicate Records</t>
  </si>
  <si>
    <t>https://dev.azure.com/heartlandschools/Accounting/_git/MSBAccounting-NewSchoolBooks/pullrequest/39413</t>
  </si>
  <si>
    <t>MSB ACCT - BKK - Create New Bank Rec Header for Each Unique Statement Date</t>
  </si>
  <si>
    <t>https://dev.azure.com/heartlandschools/Accounting/_git/MSBAccounting-NewSchoolBooks/pullrequest/39274</t>
  </si>
  <si>
    <t xml:space="preserve">14.2 S2 </t>
  </si>
  <si>
    <t>MSB ACCT - BKK - Error while completing the reconciliation for a school with no previous bank recs available</t>
  </si>
  <si>
    <t>https://dev.azure.com/heartlandschools/Accounting/_git/MSBAccounting-NewSchoolBooks/pullrequest/39331</t>
  </si>
  <si>
    <t xml:space="preserve">SRX24398	
</t>
  </si>
  <si>
    <t>MSB - ACCT - BKK - (East Central HS) Cleared Checks Showing on Bank Rec</t>
  </si>
  <si>
    <t xml:space="preserve">24183	</t>
  </si>
  <si>
    <t>MSB ACCT - BKK - Data Fix - Previously Cleared Lines Showing On Bank Rec Reports</t>
  </si>
  <si>
    <t>MSB ACCT - BKK - Open Journal Check Does Not Include Entries on Statement Date</t>
  </si>
  <si>
    <t>https://dev.azure.com/heartlandschools/Accounting/_git/MSBAccounting-NewSchoolBooks/pullrequest/39373</t>
  </si>
  <si>
    <t>14.2 S2 - Stretch</t>
  </si>
  <si>
    <t>MSB ACCT - BKK - Create Job for Converting payments to ImportFromMsb headers and Lines</t>
  </si>
  <si>
    <t>Aborted the story. And decided to do a major redesign of the Import from MSB feature starting from next sprint</t>
  </si>
  <si>
    <t>Carried to next sprint</t>
  </si>
  <si>
    <t xml:space="preserve">SRX24449 </t>
  </si>
  <si>
    <t xml:space="preserve">MSB ACCT - BKK - (Clark Magnet) Deposits Not Showing In Import From MSB Screen 	
</t>
  </si>
  <si>
    <t>Carried to next sprint -  Defect 24222</t>
  </si>
  <si>
    <t>MSB ACCT - BKK - Unposting Bank A Unclears Cash Transfer in Bank B</t>
  </si>
  <si>
    <t>MSB ACCT - BKK - Data Cleanup - Duplicate Bank Rec transactions in multi school Bank Rec report (Related-24085)</t>
  </si>
  <si>
    <t xml:space="preserve">MSB ACCT - BKK - Data Fix - Previously Cleared Lines Showing On Bank Rec Reports	</t>
  </si>
  <si>
    <t>14.2 S1</t>
  </si>
  <si>
    <t>MSB ACCT - BKK - Change How Bank Deposit Edits Are Saved to the Database to Prevent Duplicate Records</t>
  </si>
  <si>
    <t>https://dev.azure.com/heartlandschools/Accounting/_git/MSBAccounting-NewSchoolBooks/pullrequest/39124</t>
  </si>
  <si>
    <t>https://dev.azure.com/heartlandschools/Accounting/_git/MSBAccounting-NewSchoolBooks/pullrequest/39244</t>
  </si>
  <si>
    <t>In testing</t>
  </si>
  <si>
    <t>SRX23990</t>
  </si>
  <si>
    <t>MSB ACCT - BKK - McMinnville HS &amp; Twin Rivers USD - Previously Cleared Lines Showing On Bank Rec Reports</t>
  </si>
  <si>
    <t>MSB ACCT - BKK - Route cause analysis for Twin rivers district schools variance issues after beginning balance update</t>
  </si>
  <si>
    <t>No PR</t>
  </si>
  <si>
    <t xml:space="preserve">Only sql update query changes, So no PR for this. </t>
  </si>
  <si>
    <t>MSB ACCT - BKK - Root cause analysis for variance of $63 issue with twin rivers school</t>
  </si>
  <si>
    <t>14.2 S1 - Stretch</t>
  </si>
  <si>
    <t>team</t>
  </si>
  <si>
    <t>14.1 S3</t>
  </si>
  <si>
    <t xml:space="preserve">MSB ACCT - BKK - Pleasanton USD / Amador Valley HS - Duplicate and Partial Duplicate Batches in Import from MSB	
</t>
  </si>
  <si>
    <t>https://dev.azure.com/heartlandschools/Accounting/_git/MSBAccounting-NewSchoolBooks/pullrequest/39031</t>
  </si>
  <si>
    <t>Development has been completed. Testing is on Hold.
Need another data setup task on MSB side to be completed to start testing.</t>
  </si>
  <si>
    <t>MSB ACCT - BKK - Write Data Validation Script for Year End/Beg Bal</t>
  </si>
  <si>
    <t>https://dev.azure.com/heartlandschools/Accounting/_git/MSBAccounting-NewSchoolBooks/pullrequest/38960</t>
  </si>
  <si>
    <t>MSB ACCT - BKK - [Regression] SSO login user is able to login to a disabled school</t>
  </si>
  <si>
    <t>https://dev.azure.com/heartlandschools/Accounting/_git/MSBAccounting-NewSchoolBooks/pullrequest/38995</t>
  </si>
  <si>
    <t>James Varney</t>
  </si>
  <si>
    <t>Sushmitha/Vaishnavi</t>
  </si>
  <si>
    <t>MSB ACCT - BKK - AUTOMATION - Add Automation Tests (Create School)</t>
  </si>
  <si>
    <t>https://dev.azure.com/heartlandschools/Accounting/_git/MSBAccounting-NewSchoolBooks/pullrequest/39009
https://dev.azure.com/heartlandschools/Accounting/_git/MSBAccounting-NewSchoolBooks/pullrequest/38827</t>
  </si>
  <si>
    <t xml:space="preserve">	MSB Accounting - BKK - Regression - 14.1</t>
  </si>
  <si>
    <t>Testing only</t>
  </si>
  <si>
    <t>14.1 S3 - Stretch</t>
  </si>
  <si>
    <t>Only sql update query changes, So no PR for this. Testing in progress and carried for next sprint.</t>
  </si>
  <si>
    <t>MSB ACCT - BKK - User Role Blocked from Entering POs Due to Not Having GL Account Maintenance Permission</t>
  </si>
  <si>
    <t>MSB ACCT - BKK - [Regression] "Schooladmin" role has "Configuration" permission by default</t>
  </si>
  <si>
    <t>Reviewer 1</t>
  </si>
  <si>
    <t>Reviewer 2</t>
  </si>
  <si>
    <t>14.1 S2</t>
  </si>
  <si>
    <t>Karthikeyan/ Rijo</t>
  </si>
  <si>
    <t>MSB ACCT - BKK - Add Year-End Fund Transfer separator in PY Account Detail Report</t>
  </si>
  <si>
    <t>https://dev.azure.com/heartlandschools/Accounting/_git/MSBAccounting-NewSchoolBooks/pullrequest/38756</t>
  </si>
  <si>
    <t>MSB ACCT - BKK - Add Year-End Fund Transfer separator in PY Account Snapshot Report</t>
  </si>
  <si>
    <t>https://dev.azure.com/heartlandschools/Accounting/_git/MSBAccounting-NewSchoolBooks/pullrequest/38757</t>
  </si>
  <si>
    <t>14.1 S2 Stretch</t>
  </si>
  <si>
    <t>14.1.S2</t>
  </si>
  <si>
    <t>Updating the automation scripts</t>
  </si>
  <si>
    <t>1. Year-End Fund Transfer seperator is updated with addition lines of deposits associated with that year                                           
2. Begining balance field is blank but there should be zero dollar amout updated</t>
  </si>
  <si>
    <t>MSB ACCT - BKK - Cash Transfer Data Issue When Reversing a Reversal</t>
  </si>
  <si>
    <t>SRX23820</t>
  </si>
  <si>
    <t>MSB ACCT - BKK - Pleasanton USD / Amador Valley HS - Duplicate and Partial Duplicate Batches in Import from MSB</t>
  </si>
  <si>
    <t>SRX23925</t>
  </si>
  <si>
    <t>MSB ACCT - BKK - Elk Grove - Site Controller Role Blocked from Entering POs Due to Not Having GL Account Maintenance Permission</t>
  </si>
  <si>
    <t>SRX23746</t>
  </si>
  <si>
    <t>MSB ACCT - BKK - Elk Grove - Update Role Assignments</t>
  </si>
  <si>
    <t>SRX23960</t>
  </si>
  <si>
    <t>MSB ACCT - BKK - Glenns Ferry HS - Sale Tax Error on Check / OOB After Year End</t>
  </si>
  <si>
    <t>MSB ACCT - BKK - McMinnville HS - Previously Cleared Lines Showing On Bank Rec Reports</t>
  </si>
  <si>
    <t>14.1 S1</t>
  </si>
  <si>
    <t xml:space="preserve">23713	</t>
  </si>
  <si>
    <t>MSB ACCT - BKK - Bank Rec Reports Showing Wrong Reconciliation Date</t>
  </si>
  <si>
    <t>https://dev.azure.com/heartlandschools/Accounting/_git/MSBAccounting-NewSchoolBooks/pullrequest/38621</t>
  </si>
  <si>
    <t>MSB ACCT - BKK - [Regression] Providers are not listed in providers UI page (13.8)</t>
  </si>
  <si>
    <t>No PR as this was a web config issue. Background jobs were not running.</t>
  </si>
  <si>
    <t xml:space="preserve">23812	</t>
  </si>
  <si>
    <t>MSB ACCT - BKK - [Regression] Bank Rec History Report-Prior year BankRec dates not available after Year End Process (13.8)</t>
  </si>
  <si>
    <t>https://dev.azure.com/heartlandschools/Accounting/_git/MSBAccounting-NewSchoolBooks/pullrequest/38387</t>
  </si>
  <si>
    <r>
      <rPr>
        <sz val="10"/>
        <color rgb="FF000000"/>
        <rFont val="Arial"/>
        <scheme val="minor"/>
      </rPr>
      <t xml:space="preserve">14.1 S1 </t>
    </r>
    <r>
      <rPr>
        <b/>
        <sz val="10"/>
        <color rgb="FF000000"/>
        <rFont val="Arial"/>
        <scheme val="minor"/>
      </rPr>
      <t>Stretch</t>
    </r>
  </si>
  <si>
    <t>Carried for next sprint.</t>
  </si>
  <si>
    <t xml:space="preserve">	MSB ACCT - BKK - [Regression] Providers are not listed in providers UI page (13.8)</t>
  </si>
  <si>
    <t>13.8 S 8</t>
  </si>
  <si>
    <t>MSB ACCT - BKK - Exclude MSB Payments by Product Provider - UI</t>
  </si>
  <si>
    <t>https://dev.azure.com/heartlandschools/Accounting/_git/MSBAccounting-NewSchoolBooks/pullrequest/38226</t>
  </si>
  <si>
    <t>MSB ACCT - BKK - Fix All Data (CY &amp; PY) for Oneida &amp; McMinnville</t>
  </si>
  <si>
    <t>https://dev.azure.com/heartlandschools/Accounting/_git/MSBAccounting-NewSchoolBooks/pullrequest/38212</t>
  </si>
  <si>
    <t xml:space="preserve">23468	</t>
  </si>
  <si>
    <t>MSB ACCT - BKK - Root Cause - Fix Variance issue in Bank rec process for Oneida and McMinnville</t>
  </si>
  <si>
    <t xml:space="preserve">45235	</t>
  </si>
  <si>
    <t>MSB ACCT - BKK - Data Fix - End to End Testing Prior to Current Year</t>
  </si>
  <si>
    <t>Only verification and testing of data. No code changes or data updates.</t>
  </si>
  <si>
    <t>23711 </t>
  </si>
  <si>
    <t>MSB ACCT - BKK - Glendale/Clark Magnet - Balance Sheet/SOR variance</t>
  </si>
  <si>
    <t>https://dev.azure.com/heartlandschools/Accounting/_git/MSBAccounting-NewSchoolBooks/pullrequest/38098</t>
  </si>
  <si>
    <t>MSB ACCT - BKK - Feature Flags Implementation - New Beginning Balance Model vs Current Data Model</t>
  </si>
  <si>
    <t>https://dev.azure.com/heartlandschools/Accounting/_git/MSBAccounting-NewSchoolBooks/pullrequest/38221</t>
  </si>
  <si>
    <t>13.8 S8</t>
  </si>
  <si>
    <t>13.8 S7</t>
  </si>
  <si>
    <t>1. An internal error occurred during your request! error occured in Import from MSB screen after including new payment provider
2. Header column is displayed at the bottom of the grid.
3. Header field data not properly aligned when data in grid exists in more than one page</t>
  </si>
  <si>
    <t xml:space="preserve">45382	</t>
  </si>
  <si>
    <t>1.Oneida-Tenant233 Cash accounts beg bal , Ending Bal is not matching with Other accounts beg bal , Ending Bal
2.Oneida-Tenant243 Fiscal year 21-22 beg bal is updated with 0 beg bal and negative ending balance and for the next upcoming years beg and ending balances are updated with negative amount
3.Oneida-Tenant236 Fiscal year 22-23 PY account snapshot report Debit amount , Ending balance mismatches with other reports and
4.McMinnville-Tenant 157,158,159- CY and PY Account Snapshot report shows an unnecessary line item of Total amount in the top of the report. Beginning and ending balance mismatch</t>
  </si>
  <si>
    <t>Unable to perform Bank reconciliation for Oneida and McMinnville tenants. Getting error message while processing Bank reconciliation in Dev environment. This issue is occuring for all the tenants.</t>
  </si>
  <si>
    <t xml:space="preserve">	MSB ACCT - BKK - Data Fix - End to End Testing Prior to Current Year</t>
  </si>
  <si>
    <t xml:space="preserve">	MSB ACCT - BKK - UI Create to Manage ABP Features</t>
  </si>
  <si>
    <t>Scope of this story is only for testing</t>
  </si>
  <si>
    <t>MSB ACCT - BKK - Fix All Data (CY &amp; PY) for Oneida &amp; McMinville</t>
  </si>
  <si>
    <t>https://dev.azure.com/heartlandschools/Accounting/_git/MSBAccounting-NewSchoolBooks/pullrequest/38031</t>
  </si>
  <si>
    <t>Michael Rose/Karthik/Rijo</t>
  </si>
  <si>
    <t xml:space="preserve">	MSB ACCT - BKK - Feature Flags Implementation - New Beginning Balance Model vs Current Data Model</t>
  </si>
  <si>
    <t>https://dev.azure.com/heartlandschools/Accounting/_git/MSBAccounting-NewSchoolBooks/pullrequest/38096</t>
  </si>
  <si>
    <t>13.8 S7 [STRETCH]</t>
  </si>
  <si>
    <t>Michael Rose/Rijo</t>
  </si>
  <si>
    <t>MSB ACCT - BKK - Exclude MSB Payments by Product Provider - UI (14.0)</t>
  </si>
  <si>
    <t>Moved to Sprint 8</t>
  </si>
  <si>
    <t>MSB ACCT - BKK - Double Click During Journal Process Opens Multiple Journals, Confirmation Dialogues (14.0)</t>
  </si>
  <si>
    <t xml:space="preserve">	MSB ACCT - BKK - Fix BankRecStatusReport (14.0)</t>
  </si>
  <si>
    <t>SRX23223</t>
  </si>
  <si>
    <t>MSB ACCT - BKK - Elk Grove - Create DUR for GL Accounts</t>
  </si>
  <si>
    <t>SRX23220</t>
  </si>
  <si>
    <t>MSB ACCT - BKK - Elk Grove - Fix Super Admin Access for All Schools</t>
  </si>
  <si>
    <t>MSB ACCT - BKK - Change Default Sort Order in Vendor Maintenance to A-Z on Vendor Number (14.0)</t>
  </si>
  <si>
    <t>13.8 S6</t>
  </si>
  <si>
    <t>MSB ACCT - BKK - AUTOMATION - Add Automation Tests (District Setup)</t>
  </si>
  <si>
    <t>https://dev.azure.com/heartlandschools/Accounting/_git/MSBAccounting-NewSchoolBooks/pullrequest/37799</t>
  </si>
  <si>
    <t>vaishnavi</t>
  </si>
  <si>
    <t>https://dev.azure.com/heartlandschools/Accounting/_git/MSBAccounting-NewSchoolBooks/pullrequest/37867</t>
  </si>
  <si>
    <t>Rijo, Karthi, Qadir</t>
  </si>
  <si>
    <r>
      <rPr>
        <sz val="10"/>
        <color rgb="FF000000"/>
        <rFont val="Arial"/>
        <scheme val="minor"/>
      </rPr>
      <t xml:space="preserve">
</t>
    </r>
    <r>
      <rPr>
        <sz val="10"/>
        <color rgb="FF000000"/>
        <rFont val="Arial"/>
        <scheme val="minor"/>
      </rPr>
      <t>MSB ACCT - BKK - Data Fix - Current Year</t>
    </r>
  </si>
  <si>
    <t>Only DB query changes</t>
  </si>
  <si>
    <t>Story has only query update, no code changes.</t>
  </si>
  <si>
    <t>MSB ACCT - BKK - Prior Year</t>
  </si>
  <si>
    <t>Sushmitha, Vaishnavi</t>
  </si>
  <si>
    <r>
      <rPr>
        <sz val="10"/>
        <color rgb="FF000000"/>
        <rFont val="Arial"/>
        <scheme val="minor"/>
      </rPr>
      <t xml:space="preserve">
</t>
    </r>
    <r>
      <rPr>
        <sz val="10"/>
        <color rgb="FF000000"/>
        <rFont val="Arial"/>
        <scheme val="minor"/>
      </rPr>
      <t>MSB ACCT - BKK - Data Fix - End to End Testing Prior to Current Year</t>
    </r>
  </si>
  <si>
    <t>Testing story not yet started.</t>
  </si>
  <si>
    <t>13.8.S6</t>
  </si>
  <si>
    <t>SRX23127</t>
  </si>
  <si>
    <t>SRX22997</t>
  </si>
  <si>
    <t>MSB ACCT - BKK - Cash Transfer Entry Causing Variance on Bank Rec (Corbett HS)</t>
  </si>
  <si>
    <t>13.8 S5</t>
  </si>
  <si>
    <t>MSB ACCT - BKK - AUTOMATION - Add Automation Tests (Non-SSO Login)</t>
  </si>
  <si>
    <t>https://dev.azure.com/heartlandschools/Accounting/_git/MSBAccounting-NewSchoolBooks/pullrequest/37605</t>
  </si>
  <si>
    <t>PR Created to implement the automation scripts as part of Testing.</t>
  </si>
  <si>
    <t>https://dev.azure.com/heartlandschools/Accounting/_git/MSBAccounting-NewSchoolBooks/pullrequest/37672</t>
  </si>
  <si>
    <t>Karthi, Rijo, Qadir</t>
  </si>
  <si>
    <t>MSB ACCT - BKK - Data fix - Script for fixing the uncleared flag for older entries to stop them appearing in CY reports (EPIC)</t>
  </si>
  <si>
    <t>Identified more difference in source data during Data fix.</t>
  </si>
  <si>
    <t xml:space="preserve">13.8 S4 </t>
  </si>
  <si>
    <t>MSB ACCT - BKK - PY Bank Deposit History - Missing Cleared Bank Deposits after Year End process</t>
  </si>
  <si>
    <t>https://dev.azure.com/heartlandschools/Accounting/_git/MSBAccounting-NewSchoolBooks/pullrequest/37319</t>
  </si>
  <si>
    <t>MSB ACCT - BKK - Variance issue in Bank rec process</t>
  </si>
  <si>
    <t>Depends on 23488 to be completed first, So the current status is blocked.</t>
  </si>
  <si>
    <t>13.8 S4 - Stretch</t>
  </si>
  <si>
    <t>Karthikeyan, Qadir</t>
  </si>
  <si>
    <t>MSB ACCT - BKK - Data fix - Script for fixing the uncleared flag for older bank deposits to stop them appearing in CY reports</t>
  </si>
  <si>
    <t>We need to give data fix for all the previous year's uncleared / undeleted transactions, and also need to update balance for all those accounts as well. So currently analysing the impacts about the new datafix updates. Carried for next sprint.</t>
  </si>
  <si>
    <t>MSB ACCT - BKK - Exclude MSB Payments by Product Provider - Job and Exclusion Logic</t>
  </si>
  <si>
    <t>https://dev.azure.com/heartlandschools/Accounting/_git/MSBAccounting-NewSchoolBooks/pullrequest/37472</t>
  </si>
  <si>
    <t>Worked on this one along with Michael. The PR was created by Michael Rose.</t>
  </si>
  <si>
    <t>MSB ACCT - BKK - PY Cleared Bank Recs are available in CY Unpost Bank Rec after the Year End process</t>
  </si>
  <si>
    <t>https://dev.azure.com/heartlandschools/Accounting/_git/MSBAccounting-NewSchoolBooks/pullrequest/37360</t>
  </si>
  <si>
    <t>MSB ACCT - BKK - Re-engineer ImportFromMSB process to resolve Payment Batch Import errors</t>
  </si>
  <si>
    <t>The story got deprioritized and pushed back to backlog. Will be picked and will continue on future release.</t>
  </si>
  <si>
    <t>13.8 S4</t>
  </si>
  <si>
    <t>MSB ACCT - BKK - PY Vendor check history report - Summary does not show the records after the Year End process</t>
  </si>
  <si>
    <t>No Defects in Sprint 5</t>
  </si>
  <si>
    <t>13.8 S3</t>
  </si>
  <si>
    <t>MSB ACCT - BKK - Update Areas that Use IsDeleted/IsCleared Flags for Compatibility with YE Changes</t>
  </si>
  <si>
    <t>https://dev.azure.com/heartlandschools/Accounting/_git/MSBAccounting-NewSchoolBooks/pullrequest/37138</t>
  </si>
  <si>
    <t>MSB ACCT - BKK - Simplify YE - Soft Delete All PY Entries During Year End and Include All in New SOY Beginning Balance Calculation</t>
  </si>
  <si>
    <t>Dev already completed in previous sprint. So testing only done on this sprint for this story.</t>
  </si>
  <si>
    <t xml:space="preserve"> MSB ACCT - BKK - Super Admin User cannot switch to a newly created school.</t>
  </si>
  <si>
    <t>https://dev.azure.com/heartlandschools/Accounting/_git/MSBAccounting-NewSchoolBooks/pullrequest/37079</t>
  </si>
  <si>
    <t xml:space="preserve">13.8 S3 </t>
  </si>
  <si>
    <t>MSB ACCT - BKK - Transition Beginning Balances in Production</t>
  </si>
  <si>
    <t>This story contains only testing effort. Local environment testing has been completed. QA environment testing is pending.</t>
  </si>
  <si>
    <t>MSB ACCT - BKK - Pendo - Change from Internally-hosted to Pendo-hosted Client Configuration and Changing Where Pendo Script Is Injected</t>
  </si>
  <si>
    <t>https://dev.azure.com/heartlandschools/Accounting/_git/MSBAccounting-NewSchoolBooks/pullrequest/37116</t>
  </si>
  <si>
    <t>13.8 S3 - Stretch</t>
  </si>
  <si>
    <t>MSB ACCT - BKK - Transfer history report does not show transfer history records after the Year End process</t>
  </si>
  <si>
    <t>https://dev.azure.com/heartlandschools/Accounting/_git/MSBAccounting-NewSchoolBooks/pullrequest/37169</t>
  </si>
  <si>
    <t>MSB ACCT - BKK - PY Account Analysis summary report shows the current year encumbered balance</t>
  </si>
  <si>
    <t>https://dev.azure.com/heartlandschools/Accounting/_git/MSBAccounting-NewSchoolBooks/pullrequest/37218</t>
  </si>
  <si>
    <t>Dev completed. Carried for next sprint to completing the POV and testing.</t>
  </si>
  <si>
    <t>https://dev.azure.com/heartlandschools/Accounting/_git/MSBAccounting-NewSchoolBooks/pullrequest/37267</t>
  </si>
  <si>
    <t>Bounceback reported.</t>
  </si>
  <si>
    <t>MSB ACCT - BKK - Prior year BankRec dates should be available for selection in Bank Rec History Report after the Year End Process</t>
  </si>
  <si>
    <t>https://dev.azure.com/heartlandschools/Accounting/_git/MSBAccounting-NewSchoolBooks/pullrequest/37238</t>
  </si>
  <si>
    <t>Change the way to handle data preserve in bank rec selection from flag to id</t>
  </si>
  <si>
    <t>MSB ACCT - BKK - Super Admin User cannot switch to a newly created school.</t>
  </si>
  <si>
    <t xml:space="preserve">22922	</t>
  </si>
  <si>
    <t xml:space="preserve">MSB ACCT - BKK - PY Account Snapshot Report - Incorrect Beg Bal, Debits, Credits	
</t>
  </si>
  <si>
    <t>13.8 S2</t>
  </si>
  <si>
    <t>23357	MSB ACCT -BKK - Import from MSB - Validation for payments data fails.</t>
  </si>
  <si>
    <t>https://dev.azure.com/heartlandschools/Accounting/_git/MSBAccounting-NewSchoolBooks/pullrequest/36846</t>
  </si>
  <si>
    <t>MSB ACCT - BKK - Change Income/Expense and Due to Student Body Calculation and Rollover to a Transfer Entry</t>
  </si>
  <si>
    <t>https://dev.azure.com/heartlandschools/Accounting/_git/MSBAccounting-NewSchoolBooks/pullrequest/37011</t>
  </si>
  <si>
    <t>Spelling correction for the existing part</t>
  </si>
  <si>
    <t>Story carried.</t>
  </si>
  <si>
    <t>MSB ACCT - BKK - Update Stored Procedure for PY Account Summary and PY Account Details Report Beginning Balances</t>
  </si>
  <si>
    <t>https://dev.azure.com/heartlandschools/Accounting/_git/MSBAccounting-NewSchoolBooks/pullrequest/36978</t>
  </si>
  <si>
    <t>Dev completed. Testing moved to next sprint.</t>
  </si>
  <si>
    <t>13.8 S2 - Stretch</t>
  </si>
  <si>
    <t>MSB ACCT - BKK - Update Stored Procedure for other reports with Beginning Balance issues</t>
  </si>
  <si>
    <t>MSB ACCT - BKK - PY Account Snapshot Report - Incorrect Beg Bal, Debits, Credits</t>
  </si>
  <si>
    <t>https://dev.azure.com/heartlandschools/Accounting/_git/MSBAccounting-NewSchoolBooks/pullrequest/37035</t>
  </si>
  <si>
    <t>Offshore Team</t>
  </si>
  <si>
    <t>MSB ACCT - Cert Smoke Test for 13.7.1 Hotfix</t>
  </si>
  <si>
    <t>MSB ACCT -BKK - Import from MSB - Validation for payments data fails.</t>
  </si>
  <si>
    <t>Blue Bear - Create Standard Stock Option in MSB</t>
  </si>
  <si>
    <t>Tracks Workscreen allows only @99999 and Max amount able to set in Prompt for price $9999999</t>
  </si>
  <si>
    <t>13.8 S1</t>
  </si>
  <si>
    <t>MSB ACCT - BKK - Transfer amount is not shown as a negative amount for the 'From account' in category detail report (13.8)</t>
  </si>
  <si>
    <t>https://dev.azure.com/heartlandschools/Accounting/_git/MSBAccounting-NewSchoolBooks/pullrequest/36728</t>
  </si>
  <si>
    <t>Change Font Size for Total on the Report.</t>
  </si>
  <si>
    <t>MSB ACCT - BKK - [Regression] Import From Receipting - Deposit date is recorded as the previous date of the date selector (13.7)</t>
  </si>
  <si>
    <t>https://dev.azure.com/heartlandschools/Accounting/_git/MSBAccounting-NewSchoolBooks/pullrequest/36612</t>
  </si>
  <si>
    <t>Karthikeyan G</t>
  </si>
  <si>
    <t>https://dev.azure.com/heartlandschools/Accounting/_git/MSBAccounting-NewSchoolBooks/pullrequest/36683</t>
  </si>
  <si>
    <t>Hard coded string needs to be constant.</t>
  </si>
  <si>
    <t>If a normal expense balance is "negative", then with the transfer money would actually be moving from the Due to Student Body account to the expense account to cover the negative.</t>
  </si>
  <si>
    <t>Dev completed.Testing in progress.</t>
  </si>
  <si>
    <t>SRX22375</t>
  </si>
  <si>
    <t>MSB ACCT - BKK - Incorrect Sales Tax and Freight Amounts on Computer Checks</t>
  </si>
  <si>
    <t>https://dev.azure.com/heartlandschools/Accounting/_git/MSBAccounting-NewSchoolBooks/pullrequest/36786</t>
  </si>
  <si>
    <t>MSB ACCT - BKK - [Regression] Sync GL Accounts Fails to Start Syncing</t>
  </si>
  <si>
    <t xml:space="preserve">	MSB ACCT - BKK - [Regression] Cash account balances in the GL account maintenance showing as negative balance (13.7)</t>
  </si>
  <si>
    <t>https://dev.azure.com/heartlandschools/Accounting/_git/MSBAccounting-NewSchoolBooks/pullrequest/36664</t>
  </si>
  <si>
    <t>13.7 S3</t>
  </si>
  <si>
    <t xml:space="preserve">44200	</t>
  </si>
  <si>
    <t>MSB Accounting - BKK - Regression - (13.7)</t>
  </si>
  <si>
    <t>-- NA --</t>
  </si>
  <si>
    <t>Regression story, having sub tasks.</t>
  </si>
  <si>
    <t>MSB ACCT - BKK - [Regression] Clicking on Journal button also makes Void Check button go into waiting indicator mode</t>
  </si>
  <si>
    <t>https://dev.azure.com/heartlandschools/Accounting/_git/MSBAccounting-NewSchoolBooks/pullrequest/36436</t>
  </si>
  <si>
    <t>Satisfied AC, Approved</t>
  </si>
  <si>
    <t>MSB ACCT - BKK - [Regression] Sync GL Accounts to MSB - Status not changing and an error pop-up after completing sync</t>
  </si>
  <si>
    <t>https://dev.azure.com/heartlandschools/Accounting/_git/MSBAccounting-NewSchoolBooks/pullrequest/36460</t>
  </si>
  <si>
    <t>MSB ACCT - BKK - [Regression] Internal error message while mapping the newly added school to the district admin user</t>
  </si>
  <si>
    <t>https://dev.azure.com/heartlandschools/Accounting/_git/MSBAccounting-NewSchoolBooks/pullrequest/36497</t>
  </si>
  <si>
    <t>MSB ACCT - BKK - [Regression] CSV export Data mismatch with Bank Deposit History and PY Bank Deposit History Report data</t>
  </si>
  <si>
    <t>https://dev.azure.com/heartlandschools/Accounting/_git/MSBAccounting-NewSchoolBooks/pullrequest/36570</t>
  </si>
  <si>
    <t>MSB ACCT - BKK - [Regression] ImportPaymentJobs are not running</t>
  </si>
  <si>
    <t>No PR. The issue was with the web config, updated and the issue fixed on QA.</t>
  </si>
  <si>
    <t>Abdulqadir Varawala</t>
  </si>
  <si>
    <t>MSB ACCT - ABP - Logging in with incorrect login credentials shows error but does not load any further page</t>
  </si>
  <si>
    <t>Scope of this story is only Testing</t>
  </si>
  <si>
    <t>Rijo PR</t>
  </si>
  <si>
    <t>23106	MSB ACCT - ABP - ImportFromMSB : New Transactions are not received from MSB</t>
  </si>
  <si>
    <t>MSB ACCT - BKK - ImportPaymentJob Failing with error "The operation is not valid for the state of the transaction"</t>
  </si>
  <si>
    <r>
      <rPr>
        <sz val="10"/>
        <color rgb="FF000000"/>
        <rFont val="Arial"/>
        <scheme val="minor"/>
      </rPr>
      <t xml:space="preserve">13.7 S3 </t>
    </r>
    <r>
      <rPr>
        <b/>
        <sz val="10"/>
        <color rgb="FF000000"/>
        <rFont val="Arial"/>
        <scheme val="minor"/>
      </rPr>
      <t>Stretch</t>
    </r>
  </si>
  <si>
    <t>Not creating PR since this is a stretch item and is part of the next release(13.8)</t>
  </si>
  <si>
    <t>MSB ACCT - ABP - ImportFromMSB : New Transactions are not received from MSB</t>
  </si>
  <si>
    <t>MSB ACCT - BKK - [Regression] Tax and Freight amount is re-added while adding an Invoice to Manual check entry</t>
  </si>
  <si>
    <t>MSB ACCT - BKK - [Regression] Cash account balances in the GL account maintenance showing as negative balance</t>
  </si>
  <si>
    <t xml:space="preserve">MSB ACCT - BKK - Transfer amount is not shown as a negative amount for the 'From account' in category detail report (13.8)
</t>
  </si>
  <si>
    <t>13.7 S2</t>
  </si>
  <si>
    <t>MSB ACCT - TECH DEBT - Upgrade ABP Framework - SSO Works on Updated Framework (13.7)</t>
  </si>
  <si>
    <t>https://dev.azure.com/heartlandschools/Accounting/_git/MSBAccounting-NewSchoolBooks/pullrequest/36192</t>
  </si>
  <si>
    <t xml:space="preserve">PR made to test on Dev Server. </t>
  </si>
  <si>
    <t>MSB ACCT - ABP - Creating a new Category hides the existing and new Category from displaying</t>
  </si>
  <si>
    <t>https://dev.azure.com/heartlandschools/Accounting/_git/MSBAccounting-NewSchoolBooks/pullrequest/36191</t>
  </si>
  <si>
    <t>MSB ACCT - ABP - Creating a new Print group hides the existing and new print group from displaying</t>
  </si>
  <si>
    <t>MSB ACCT - ABP - Purchase Order History Report does not show the records for selected date range</t>
  </si>
  <si>
    <t>https://dev.azure.com/heartlandschools/Accounting/_git/MSBAccounting-NewSchoolBooks/pullrequest/36249</t>
  </si>
  <si>
    <t>MSB ACCT - ABP - Open Purchase Order Report does not show the records for selected date range</t>
  </si>
  <si>
    <t>MSB ACCT - ABP - Creating a new Bank Account, the message shows up as "already used" while it is actually unused</t>
  </si>
  <si>
    <t>Being Fixed</t>
  </si>
  <si>
    <t>https://dev.azure.com/heartlandschools/Accounting/_git/MSBAccounting-NewSchoolBooks/pullrequest/36316</t>
  </si>
  <si>
    <t>Deployment delay from Client side</t>
  </si>
  <si>
    <t>Michael made some structural changes to the way emailing logs works and this related issue got fixed</t>
  </si>
  <si>
    <t>Client</t>
  </si>
  <si>
    <t>Smoke Test Finding</t>
  </si>
  <si>
    <t>MSB ACCT - BKK - Error Syncing GL Accounts to MSB When Account Is Null (13.7)</t>
  </si>
  <si>
    <t>3 sp</t>
  </si>
  <si>
    <t>https://dev.azure.com/heartlandschools/Accounting/_git/MSBAccounting-NewSchoolBooks/pullrequest/36079</t>
  </si>
  <si>
    <t>MSB ACCT - TECH DEBT - Upgrade ABP Framework - Sync GL Accounts Page - Page loads incorrectly</t>
  </si>
  <si>
    <t>0 sp</t>
  </si>
  <si>
    <t>No story points estimated for this yet, since it was found while merging the latest ABP framework updates.</t>
  </si>
  <si>
    <t>MSB ACCT - Improve the Bank reconciliation clearing items background process</t>
  </si>
  <si>
    <t>MSB ACCT - Bank Reconciliation - Clean Up Unnecessary Data</t>
  </si>
  <si>
    <t xml:space="preserve">No code changes made for this one Since it is related about sql query preparation for Prod DB </t>
  </si>
  <si>
    <t>MSB ACCT - Downgrade the error priority from Error to Debug for user linking events</t>
  </si>
  <si>
    <t>1 sp</t>
  </si>
  <si>
    <t>https://dev.azure.com/heartlandschools/Accounting/_git/MSBAccounting-NewSchoolBooks/pullrequest/35730</t>
  </si>
  <si>
    <t>Matt Schutz</t>
  </si>
  <si>
    <t>MSB ACCT - BKK - Total Liabilities and Amount Due to Student Body balance field displays as "#Error" in Balance sheet report</t>
  </si>
  <si>
    <t>https://dev.azure.com/heartlandschools/Accounting/_git/MSBAccounting-NewSchoolBooks/pullrequest/35881</t>
  </si>
  <si>
    <t>Satisfied AC, Approved, not showing #Error</t>
  </si>
  <si>
    <t>The Total Assets must equal the Total Liabilities and Amount Due to Student Body for it to be correct</t>
  </si>
  <si>
    <t>Since it is created from regression finding defect there is no story point for this.</t>
  </si>
  <si>
    <t>Regression story</t>
  </si>
  <si>
    <t>13 sp</t>
  </si>
  <si>
    <t>13.7.S1</t>
  </si>
  <si>
    <t>MSB ACCT - BKK - Unable to Save School Settings - Error Message</t>
  </si>
  <si>
    <t>MSB ACCT - ImportFromMSB : New Transactions are not received from MSB</t>
  </si>
  <si>
    <t>MSB ACCT - Creating a new GL Account does not complete successfully</t>
  </si>
  <si>
    <t>13.6.S3</t>
  </si>
  <si>
    <t>MSB ACCT - BKK - Total Liabilities and Amount Due to Student Body balance field displays as  "#Error" in Balance sheet report</t>
  </si>
  <si>
    <t>13.6 Sprint 1</t>
  </si>
  <si>
    <t>MSB ACCT - BKK - Balance Sheet Calculations Do Not Include Beginning Balance Amount</t>
  </si>
  <si>
    <t>Printing using the preloaded forms is not successful for 1099 Form Printing. Unable to preview the preloaded forms.</t>
  </si>
  <si>
    <t>13.6 Sprint 2 Stretch</t>
  </si>
  <si>
    <t>MSB ACCT - BKK - Multiple Reports shows Blank When Generated Through Month End Process</t>
  </si>
  <si>
    <t>MSB ACCT - BKK - PY Account Summary Report - Incorrect Beg Bal, Debits, Credits</t>
  </si>
  <si>
    <t>Completed testing and reported issue . The fix for issue is not finalized</t>
  </si>
  <si>
    <t>MSB ACCT - BKK - PY Account Detail Report - Beginning Balances for Some Accounts Are Incorrect</t>
  </si>
  <si>
    <t>MSB ACCT BKK - Fix Log Entries Page Pagination (13.5)</t>
  </si>
  <si>
    <t>2 sp</t>
  </si>
  <si>
    <t>Use predicate for filtering the data.</t>
  </si>
  <si>
    <r>
      <rPr>
        <sz val="10"/>
        <rFont val="Arial"/>
      </rPr>
      <t xml:space="preserve">35264
</t>
    </r>
    <r>
      <rPr>
        <u/>
        <sz val="10"/>
        <color rgb="FF1155CC"/>
        <rFont val="Arial"/>
      </rPr>
      <t>https://dev.azure.com/heartlandschools/Accounting/_git/MSBAccounting-NewSchoolBooks/pullrequest/35264</t>
    </r>
  </si>
  <si>
    <t>MSB ACCT - BKK - School Groups Data Structure Create</t>
  </si>
  <si>
    <r>
      <rPr>
        <sz val="10"/>
        <rFont val="Arial"/>
      </rPr>
      <t xml:space="preserve">35342
</t>
    </r>
    <r>
      <rPr>
        <u/>
        <sz val="10"/>
        <color rgb="FF1155CC"/>
        <rFont val="Arial"/>
      </rPr>
      <t>https://dev.azure.com/heartlandschools/Accounting/_git/MSBAccounting-NewSchoolBooks/pullrequest/35342</t>
    </r>
  </si>
  <si>
    <t>1. .First() will throw an exception if id is incorrectly passed. There should be a method in the schoolgroupsrepository to get by id directly. (Look at Tenant Manager in GetCurrentDistrictId ().
2. Rename to "schoolgroup" . group is a keyword used in C# for LINQ.</t>
  </si>
  <si>
    <t>Need to add field for active/inactive status and make SchoolGroupName unique per DistrictId</t>
  </si>
  <si>
    <t>MSB ACCT - BKK - Preload Form defaults automatically (Implementation) (13.6)</t>
  </si>
  <si>
    <t>5 sp</t>
  </si>
  <si>
    <t>35406
https://dev.azure.com/heartlandschools/Accounting/_git/MSBAccounting-NewSchoolBooks/pullrequest/35406</t>
  </si>
  <si>
    <t>The name of the page in the Management menu also should be updated to "Form Templates" for consistencyy</t>
  </si>
  <si>
    <t>13-Feb-2024: Completed Testing and created a bounceback</t>
  </si>
  <si>
    <t>13.6 Sprint 1 - Stretch</t>
  </si>
  <si>
    <t>35412
https://dev.azure.com/heartlandschools/Accounting/_git/MSBAccounting-NewSchoolBooks/pullrequest/35412</t>
  </si>
  <si>
    <t>https://dev.azure.com/heartlandschools/Accounting/_git/MSBAccounting-NewSchoolBooks/pullrequest/35465</t>
  </si>
  <si>
    <t>https://dev.azure.com/heartlandschools/Accounting/_git/MSBAccounting-NewSchoolBooks/pullrequest/35462</t>
  </si>
  <si>
    <t>https://dev.azure.com/heartlandschools/Accounting/_git/MSBAccounting-NewSchoolBooks/pullrequest/35570</t>
  </si>
  <si>
    <t>Include all the uncleared amounts in beginning balance calculation.</t>
  </si>
  <si>
    <t>27-Feb: QA reported defect, added related user story(43797) for complete resolution.</t>
  </si>
  <si>
    <t>MSB ACCT - BKK - Root Cause for Twin Rivers Out of Balance Bank Rec</t>
  </si>
  <si>
    <t>No code changes, no PR. Found the root cause and created a story for some structural changes for Bank Rec process as the issue fix.</t>
  </si>
  <si>
    <t>https://dev.azure.com/heartlandschools/Accounting/_git/MSBAccounting-NewSchoolBooks/pullrequest/35616</t>
  </si>
  <si>
    <t>https://dev.azure.com/heartlandschools/Accounting/_git/MSBAccounting-NewSchoolBooks/pullrequest/35626</t>
  </si>
  <si>
    <t>27-Feb: Testing Completed</t>
  </si>
  <si>
    <t>When Default date range is selected in Balance Sheet Report , data mismatches with Balance Sheet Report and Account analysis summary report</t>
  </si>
  <si>
    <t xml:space="preserve">MSB ACCT - BKK - Bank Rec Report Notes Spacing Correction (13.6)        
</t>
  </si>
  <si>
    <t>1sp</t>
  </si>
  <si>
    <r>
      <rPr>
        <sz val="10"/>
        <rFont val="Arial"/>
      </rPr>
      <t xml:space="preserve">35048
</t>
    </r>
    <r>
      <rPr>
        <u/>
        <sz val="10"/>
        <color rgb="FF1155CC"/>
        <rFont val="Arial"/>
      </rPr>
      <t>https://dev.azure.com/heartlandschools/Accounting/_git/MSBAccounting-NewSchoolBooks/pullrequest/35048</t>
    </r>
  </si>
  <si>
    <t>18/01/2024</t>
  </si>
  <si>
    <t>Satisfied the Acceptance Criterias</t>
  </si>
  <si>
    <t>MSB ACCT - BKK - Typographical error on flyout messages upon completing many entry tasks</t>
  </si>
  <si>
    <r>
      <rPr>
        <sz val="10"/>
        <rFont val="Arial"/>
      </rPr>
      <t xml:space="preserve">35081
</t>
    </r>
    <r>
      <rPr>
        <u/>
        <sz val="10"/>
        <color rgb="FF1155CC"/>
        <rFont val="Arial"/>
      </rPr>
      <t>https://dev.azure.com/heartlandschools/Accounting/_git/MSBAccounting-NewSchoolBooks/pullrequest/35081</t>
    </r>
  </si>
  <si>
    <t>19/01/2024</t>
  </si>
  <si>
    <t>Batch header updated with $0.0 when the batch has transaction of  Product with GL mapped and unit price 0.0</t>
  </si>
  <si>
    <t>Flyout message not updated in Purchase Order - Cancel and re-open , Manual check and void check entry Journal , Bank reconciliation screen and Consolidate screen</t>
  </si>
  <si>
    <t>Priority got reduced and moved it to backlog. Also assigned it to Sarah(Client PO) for more info on the fix.</t>
  </si>
  <si>
    <t>Root Cause category</t>
  </si>
  <si>
    <t>Design</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</si>
  <si>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</si>
  <si>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</si>
  <si>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</si>
  <si>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</si>
  <si>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</si>
  <si>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</si>
  <si>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</si>
  <si>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</si>
  <si>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</si>
  <si>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</si>
  <si>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</si>
  <si>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</si>
  <si>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</si>
  <si>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</si>
  <si>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</si>
  <si>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MSB ACCT - BKK - Implement Pendo</t>
  </si>
  <si>
    <t>1. Repositories to be used in the NewBlueBear.Application project.
2. Define MaxLength annotation.
3. Js file rename.</t>
  </si>
  <si>
    <r>
      <rPr>
        <sz val="10"/>
        <rFont val="Arial"/>
      </rPr>
      <t xml:space="preserve">34897
</t>
    </r>
    <r>
      <rPr>
        <u/>
        <sz val="10"/>
        <color rgb="FF1155CC"/>
        <rFont val="Arial"/>
      </rPr>
      <t>https://dev.azure.com/heartlandschools/Accounting/_git/MSBAccounting-NewSchoolBooks/pullrequest/34897</t>
    </r>
  </si>
  <si>
    <t>For checking the restricted page status, Can be done with pendoRestrictedPageRepository.FirstOrDefault instead of pendoRestrictedPageRepository.GetAll</t>
  </si>
  <si>
    <t>There are two parts of this, 
Part 1 - restricting the Pendo tracking from Accounting side by blocking the pendo script in the page, 
Part 2 - another is adding page exclusion in the Pendo Dashboard. 
Current work satisfied the Acceptance Criteria for the Part 1.
Pendo is configured for excluding the same pages for the Part 2.
Satisfied the Acceptance Criterias (Part1)</t>
  </si>
  <si>
    <t>Abdulqadir</t>
  </si>
  <si>
    <t>MSB ACCT - BKK - Previously cleared cash transfers re-appears in Bank Reconciliation clear items</t>
  </si>
  <si>
    <t xml:space="preserve">
https://dev.azure.com/heartlandschools/Accounting/_git/MSBAccounting-NewSchoolBooks/pullrequest/34936</t>
  </si>
  <si>
    <t>MSB ACCT - Macroscope - Selenium WebDriver Update</t>
  </si>
  <si>
    <t>https://dev.azure.com/heartlandschools/Accounting/_git/MSBAccounting-NewSchoolBooks/pullrequest/34901</t>
  </si>
  <si>
    <t>MSB Accounting - BKK - Update Microsoft.Owin</t>
  </si>
  <si>
    <t>https://dev.azure.com/heartlandschools/Accounting/_git/MSBAccounting-NewSchoolBooks/pullrequest/34819</t>
  </si>
  <si>
    <t>MSB ACCT - Macroscope - ASP.NET MVC Bad Practices: Remediation</t>
  </si>
  <si>
    <t>https://dev.azure.com/heartlandschools/Accounting/_git/MSBAccounting-NewSchoolBooks/pullrequest/34939</t>
  </si>
  <si>
    <t>13.5 Sprint 2 Stretch</t>
  </si>
  <si>
    <r>
      <rPr>
        <sz val="10"/>
        <rFont val="Arial"/>
      </rPr>
      <t xml:space="preserve">35003
</t>
    </r>
    <r>
      <rPr>
        <u/>
        <sz val="10"/>
        <color rgb="FF1155CC"/>
        <rFont val="Arial"/>
      </rPr>
      <t>https://dev.azure.com/heartlandschools/Accounting/_git/MSBAccounting-NewSchoolBooks/pullrequest/35003</t>
    </r>
  </si>
  <si>
    <t>16/01/2024</t>
  </si>
  <si>
    <t>MSB ACCT - BKK - Integration - Don't Show $0.00 Line Items in Transactions without Account Number</t>
  </si>
  <si>
    <t>4 sp</t>
  </si>
  <si>
    <t>https://dev.azure.com/heartlandschools/Accounting/_git/MSBAccounting-NewSchoolBooks/pullrequest/34974</t>
  </si>
  <si>
    <t>We should get a list of these districts outside of this loop then make the check for client ID here,
Also we should have more meaningful naming. GetZeroDollarTransaction should be "zeroTransactions" and each item in the foreach should be something more meaningful</t>
  </si>
  <si>
    <t>MSB ACCT - BKK - Unpost Bank Rec Wrong 'Rolling Back To' Date and Amount</t>
  </si>
  <si>
    <r>
      <rPr>
        <sz val="10"/>
        <rFont val="Arial"/>
      </rPr>
      <t xml:space="preserve">35013  </t>
    </r>
    <r>
      <rPr>
        <u/>
        <sz val="10"/>
        <color rgb="FF1155CC"/>
        <rFont val="Arial"/>
      </rPr>
      <t>https://dev.azure.com/heartlandschools/Accounting/_git/MSBAccounting-NewSchoolBooks/pullrequest/35013</t>
    </r>
  </si>
  <si>
    <t>17/01/2024</t>
  </si>
  <si>
    <t xml:space="preserve">MSB ACCT - BKK - District Code/Name Search on Change School Page Does Not Allow Partial Searches        </t>
  </si>
  <si>
    <t>4sp</t>
  </si>
  <si>
    <t>https://dev.azure.com/heartlandschools/Accounting/_git/MSBAccounting-NewSchoolBooks/pullrequest/34969</t>
  </si>
  <si>
    <t xml:space="preserve">Development </t>
  </si>
  <si>
    <t>MSB ACCT - BKK - District Code/Name Search on Change School Page Does Not Allow Partial Searches\</t>
  </si>
  <si>
    <t>Defect Found</t>
  </si>
  <si>
    <t>CE</t>
  </si>
  <si>
    <t>Closed the story after discussing with the on Site QA. Planning for Smoke tests completed.
https://docs.google.com/spreadsheets/d/1GXkzspTZqmJNajlmuy0KjDHPYRdIxiexalfKX-muBbk/edit?gid=359784157#gid=359784157</t>
  </si>
  <si>
    <t>POV approved. Waiting for DB update in DEV environment. We are currently blocked by the DB not being restored from the Scrubbed prod copy. 
Raised the request on Wednesday (5-Mar) - Got the Data Today (Mar-12)
Work is in Progress.
Not a Blocker from Relevantz.</t>
  </si>
  <si>
    <t>MSB Accounting 14.7 Sprint 3</t>
  </si>
  <si>
    <t>This story and a related story from stretch [47278] was worked together since there was no way to seperate them out. There has been some additional changes required was found during development. Also some UI changes added to the scope and AC to show Payment items instead of payments in the 2nd table.</t>
  </si>
  <si>
    <t>MSB Accounting 15.0 Sprint 3</t>
  </si>
  <si>
    <t>MSB Accounting 15.1 Sprint 3 Stretch</t>
  </si>
  <si>
    <t>MSB Accounting 15.2 Sprint 1 Stretch</t>
  </si>
  <si>
    <t>MSB Accounting 15.3 Sprint 2 Stretch</t>
  </si>
  <si>
    <t>MSB Accounting 15.3 Sprint 3</t>
  </si>
  <si>
    <t>MSB Accounting 15.3 Sprint 3 Stretch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</si>
</sst>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409]d\-mmm\-yyyy;@"/>
    <numFmt numFmtId="166" formatCode="[$-409]d\-mmm\-yy;@"/>
  </numFmts>
  <fonts count="39">
    <font>
      <sz val="10"/>
      <color rgb="FF000000"/>
      <name val="Arial"/>
      <scheme val="minor"/>
    </font>
    <font>
      <b/>
      <sz val="10"/>
      <color rgb="FFFFFFFF"/>
      <name val="Calibri"/>
    </font>
    <font>
      <sz val="10"/>
      <color theme="1"/>
      <name val="Arial"/>
      <scheme val="minor"/>
    </font>
    <font>
      <sz val="10"/>
      <color theme="1"/>
      <name val="Arial"/>
    </font>
    <font>
      <sz val="10"/>
      <color rgb="FF000000"/>
      <name val="&quot;Arial&quot;"/>
    </font>
    <font>
      <u/>
      <sz val="10"/>
      <color rgb="FF0000FF"/>
      <name val="Arial"/>
    </font>
    <font>
      <sz val="10"/>
      <color rgb="FF1C2933"/>
      <name val="&quot;Helvetica Neue&quot;"/>
    </font>
    <font>
      <sz val="10"/>
      <color rgb="FF000000"/>
      <name val="Arial"/>
    </font>
    <font>
      <b/>
      <sz val="9"/>
      <color rgb="FFFFFFFF"/>
      <name val="&quot;Proxima Nova&quot;"/>
    </font>
    <font>
      <sz val="10"/>
      <color theme="1"/>
      <name val="&quot;Proxima Nova&quot;"/>
    </font>
    <font>
      <b/>
      <sz val="10"/>
      <color theme="1"/>
      <name val="Arial"/>
      <scheme val="minor"/>
    </font>
    <font>
      <sz val="10"/>
      <name val="Arial"/>
    </font>
    <font>
      <u/>
      <sz val="10"/>
      <color rgb="FF1155CC"/>
      <name val="Arial"/>
    </font>
    <font>
      <u/>
      <sz val="10"/>
      <color theme="10"/>
      <name val="Arial"/>
      <scheme val="minor"/>
    </font>
    <font>
      <sz val="10"/>
      <color rgb="FF000000"/>
      <name val="Arial"/>
      <charset val="1"/>
    </font>
    <font>
      <sz val="10"/>
      <color rgb="FF1C2933"/>
      <name val="Arial"/>
    </font>
    <font>
      <b/>
      <sz val="10"/>
      <color rgb="FF000000"/>
      <name val="Arial"/>
      <charset val="1"/>
    </font>
    <font>
      <sz val="10"/>
      <color rgb="FF1C2933"/>
      <name val="Arial"/>
      <scheme val="minor"/>
    </font>
    <font>
      <b/>
      <sz val="10"/>
      <color rgb="FF000000"/>
      <name val="Arial"/>
      <scheme val="minor"/>
    </font>
    <font>
      <sz val="10"/>
      <color rgb="FF1C2933"/>
      <name val="Calibri"/>
    </font>
    <font>
      <sz val="11"/>
      <color rgb="FF1D1C1D"/>
      <name val="Slack-Lato"/>
      <charset val="1"/>
    </font>
    <font>
      <b/>
      <sz val="10"/>
      <color theme="1"/>
      <name val="Calibri"/>
    </font>
    <font>
      <b/>
      <sz val="10"/>
      <color rgb="FFFF0000"/>
      <name val="Arial"/>
      <scheme val="minor"/>
    </font>
    <font>
      <sz val="10"/>
      <color theme="1"/>
      <name val="Calibri"/>
    </font>
    <font>
      <sz val="10"/>
      <color rgb="FF000000"/>
      <name val="Calibri"/>
    </font>
    <font>
      <sz val="10"/>
      <color theme="0"/>
      <name val="Arial"/>
      <scheme val="minor"/>
    </font>
    <font>
      <u/>
      <sz val="10"/>
      <color rgb="FF000000"/>
      <name val="Arial"/>
      <scheme val="minor"/>
    </font>
    <font>
      <u/>
      <sz val="10"/>
      <color rgb="FF1155CC"/>
      <name val="Arial"/>
      <scheme val="minor"/>
    </font>
    <font>
      <sz val="10"/>
      <color rgb="FF2A3E51"/>
      <name val="Arial"/>
      <scheme val="minor"/>
    </font>
    <font>
      <sz val="10"/>
      <color rgb="FF2A3E51"/>
      <name val="Arial"/>
      <charset val="1"/>
    </font>
    <font>
      <b/>
      <sz val="10"/>
      <color theme="0"/>
      <name val="Arial"/>
      <scheme val="minor"/>
    </font>
    <font>
      <sz val="10"/>
      <color theme="1"/>
      <name val="Arial"/>
      <charset val="1"/>
    </font>
    <font>
      <sz val="10"/>
      <color rgb="FF00B050"/>
      <name val="Arial"/>
    </font>
    <font>
      <sz val="10"/>
      <color rgb="FF1D1C1D"/>
      <name val="Arial"/>
    </font>
    <font>
      <sz val="10"/>
      <color rgb="FF1D1C1D"/>
      <name val="Arial"/>
      <scheme val="minor"/>
    </font>
    <font>
      <sz val="10"/>
      <color rgb="FF1C2933"/>
      <name val="Arial"/>
      <charset val="1"/>
    </font>
    <font>
      <sz val="11"/>
      <color rgb="FF242424"/>
      <name val="Aptos Narrow"/>
      <charset val="1"/>
    </font>
    <font>
      <sz val="11"/>
      <color rgb="FF000000"/>
      <name val="Arial"/>
      <charset val="1"/>
    </font>
    <font>
      <sz val="10"/>
      <color rgb="FF242424"/>
      <name val="Arial"/>
      <scheme val="minor"/>
    </font>
  </fonts>
  <fills count="24">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FFFFF"/>
        <bgColor rgb="FFFFFFFF"/>
      </patternFill>
    </fill>
    <fill>
      <patternFill patternType="solid">
        <fgColor rgb="FF97247E"/>
        <bgColor rgb="FF97247E"/>
      </patternFill>
    </fill>
    <fill>
      <patternFill patternType="solid">
        <fgColor rgb="FFD9D9D9"/>
        <bgColor rgb="FFD9D9D9"/>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1" tint="0.34998626667073579"/>
        <bgColor indexed="64"/>
      </patternFill>
    </fill>
    <fill>
      <patternFill patternType="solid">
        <fgColor theme="6"/>
        <bgColor indexed="64"/>
      </patternFill>
    </fill>
    <fill>
      <patternFill patternType="solid">
        <fgColor rgb="FF00B050"/>
        <bgColor indexed="64"/>
      </patternFill>
    </fill>
    <fill>
      <patternFill patternType="solid">
        <fgColor rgb="FFFFFFFF"/>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7"/>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79998168889431442"/>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right/>
      <top/>
      <bottom style="thin">
        <color rgb="FF000000"/>
      </bottom>
      <diagonal/>
    </border>
    <border>
      <left/>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4"/>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right>
      <top style="thin">
        <color theme="1"/>
      </top>
      <bottom style="thin">
        <color theme="1"/>
      </bottom>
      <diagonal/>
    </border>
    <border>
      <left style="thin">
        <color theme="1"/>
      </left>
      <right style="thin">
        <color theme="0" tint="-4.9989318521683403E-2"/>
      </right>
      <top style="thin">
        <color theme="1"/>
      </top>
      <bottom style="thin">
        <color theme="0" tint="-4.9989318521683403E-2"/>
      </bottom>
      <diagonal/>
    </border>
    <border>
      <left style="thin">
        <color theme="0" tint="-4.9989318521683403E-2"/>
      </left>
      <right style="thin">
        <color theme="0" tint="-4.9989318521683403E-2"/>
      </right>
      <top style="thin">
        <color theme="1"/>
      </top>
      <bottom style="thin">
        <color theme="0" tint="-4.9989318521683403E-2"/>
      </bottom>
      <diagonal/>
    </border>
    <border>
      <left style="thin">
        <color theme="0" tint="-4.9989318521683403E-2"/>
      </left>
      <right style="thin">
        <color theme="1"/>
      </right>
      <top style="thin">
        <color theme="1"/>
      </top>
      <bottom style="thin">
        <color theme="0" tint="-4.9989318521683403E-2"/>
      </bottom>
      <diagonal/>
    </border>
    <border>
      <left style="thin">
        <color theme="1"/>
      </left>
      <right style="thin">
        <color theme="4"/>
      </right>
      <top style="thin">
        <color theme="1"/>
      </top>
      <bottom/>
      <diagonal/>
    </border>
    <border>
      <left style="thin">
        <color theme="4"/>
      </left>
      <right style="thin">
        <color theme="4"/>
      </right>
      <top style="thin">
        <color theme="1"/>
      </top>
      <bottom/>
      <diagonal/>
    </border>
    <border>
      <left style="thin">
        <color theme="4"/>
      </left>
      <right style="thin">
        <color theme="1"/>
      </right>
      <top style="thin">
        <color theme="1"/>
      </top>
      <bottom/>
      <diagonal/>
    </border>
    <border>
      <left style="thin">
        <color theme="1"/>
      </left>
      <right/>
      <top/>
      <bottom/>
      <diagonal/>
    </border>
    <border>
      <left style="thin">
        <color theme="1"/>
      </left>
      <right style="thin">
        <color theme="0" tint="-4.9989318521683403E-2"/>
      </right>
      <top/>
      <bottom style="thin">
        <color theme="0" tint="-4.9989318521683403E-2"/>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rgb="FF000000"/>
      </left>
      <right style="thin">
        <color rgb="FF000000"/>
      </right>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3" fillId="0" borderId="0" applyNumberFormat="0" applyFill="0" applyBorder="0" applyAlignment="0" applyProtection="0"/>
  </cellStyleXfs>
  <cellXfs count="729">
    <xf numFmtId="0" fontId="0" fillId="0" borderId="0" xfId="0"/>
    <xf numFmtId="0" fontId="1" fillId="2" borderId="1" xfId="0" applyFont="1" applyFill="1" applyBorder="1" applyAlignment="1">
      <alignment horizontal="center" wrapText="1"/>
    </xf>
    <xf numFmtId="0" fontId="2" fillId="0" borderId="1" xfId="0" applyFont="1" applyBorder="1"/>
    <xf numFmtId="0" fontId="2" fillId="0" borderId="0" xfId="0" applyFont="1"/>
    <xf numFmtId="0" fontId="1" fillId="3" borderId="1" xfId="0" applyFont="1" applyFill="1" applyBorder="1" applyAlignment="1">
      <alignment horizontal="center" wrapText="1"/>
    </xf>
    <xf numFmtId="0" fontId="3" fillId="0" borderId="1" xfId="0" applyFont="1" applyBorder="1" applyAlignment="1">
      <alignment horizontal="right"/>
    </xf>
    <xf numFmtId="0" fontId="3" fillId="0" borderId="1" xfId="0" applyFont="1" applyBorder="1" applyAlignment="1">
      <alignment horizontal="center" wrapText="1"/>
    </xf>
    <xf numFmtId="0" fontId="3" fillId="0" borderId="1" xfId="0" applyFont="1" applyBorder="1" applyAlignment="1">
      <alignment horizontal="center"/>
    </xf>
    <xf numFmtId="0" fontId="4" fillId="0" borderId="1" xfId="0" applyFont="1" applyBorder="1" applyAlignment="1">
      <alignment horizontal="center"/>
    </xf>
    <xf numFmtId="0" fontId="2" fillId="0" borderId="2" xfId="0" applyFont="1" applyBorder="1" applyAlignment="1">
      <alignment wrapText="1"/>
    </xf>
    <xf numFmtId="0" fontId="2" fillId="0" borderId="1" xfId="0" applyFont="1" applyBorder="1" applyAlignment="1">
      <alignment wrapText="1"/>
    </xf>
    <xf numFmtId="0" fontId="3" fillId="0" borderId="1" xfId="0" applyFont="1" applyBorder="1"/>
    <xf numFmtId="0" fontId="3" fillId="0" borderId="3" xfId="0" applyFont="1" applyBorder="1" applyAlignment="1">
      <alignment horizontal="center"/>
    </xf>
    <xf numFmtId="0" fontId="3" fillId="0" borderId="1" xfId="0" applyFont="1" applyBorder="1" applyAlignment="1">
      <alignment wrapText="1"/>
    </xf>
    <xf numFmtId="0" fontId="5" fillId="0" borderId="3" xfId="0" applyFont="1" applyBorder="1" applyAlignment="1">
      <alignment horizontal="center" wrapText="1"/>
    </xf>
    <xf numFmtId="164" fontId="3" fillId="0" borderId="3" xfId="0" applyNumberFormat="1"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vertical="center" wrapText="1"/>
    </xf>
    <xf numFmtId="164" fontId="3" fillId="0" borderId="1" xfId="0" applyNumberFormat="1" applyFont="1" applyBorder="1" applyAlignment="1">
      <alignment horizontal="center"/>
    </xf>
    <xf numFmtId="0" fontId="3" fillId="0" borderId="4" xfId="0" applyFont="1" applyBorder="1" applyAlignment="1">
      <alignment horizontal="right"/>
    </xf>
    <xf numFmtId="0" fontId="2" fillId="0" borderId="2" xfId="0" applyFont="1" applyBorder="1" applyAlignment="1">
      <alignment horizontal="center"/>
    </xf>
    <xf numFmtId="0" fontId="2" fillId="0" borderId="2" xfId="0" applyFont="1" applyBorder="1" applyAlignment="1">
      <alignment vertical="center" wrapText="1"/>
    </xf>
    <xf numFmtId="0" fontId="3" fillId="0" borderId="3" xfId="0" applyFont="1" applyBorder="1"/>
    <xf numFmtId="0" fontId="3" fillId="0" borderId="3" xfId="0" applyFont="1" applyBorder="1" applyAlignment="1">
      <alignment wrapText="1"/>
    </xf>
    <xf numFmtId="0" fontId="1" fillId="2" borderId="5" xfId="0" applyFont="1" applyFill="1" applyBorder="1" applyAlignment="1">
      <alignment horizontal="center" wrapText="1"/>
    </xf>
    <xf numFmtId="0" fontId="1" fillId="2" borderId="5" xfId="0" applyFont="1" applyFill="1" applyBorder="1" applyAlignment="1">
      <alignment wrapText="1"/>
    </xf>
    <xf numFmtId="0" fontId="1" fillId="2" borderId="5" xfId="0" applyFont="1" applyFill="1" applyBorder="1"/>
    <xf numFmtId="0" fontId="1" fillId="5" borderId="5" xfId="0" applyFont="1" applyFill="1" applyBorder="1" applyAlignment="1">
      <alignment horizontal="center" wrapText="1"/>
    </xf>
    <xf numFmtId="0" fontId="1" fillId="3" borderId="5" xfId="0" applyFont="1" applyFill="1" applyBorder="1" applyAlignment="1">
      <alignment horizontal="center" wrapText="1"/>
    </xf>
    <xf numFmtId="0" fontId="3" fillId="0" borderId="5" xfId="0" applyFont="1" applyBorder="1"/>
    <xf numFmtId="0" fontId="3" fillId="0" borderId="4" xfId="0" applyFont="1" applyBorder="1"/>
    <xf numFmtId="0" fontId="3" fillId="0" borderId="0" xfId="0" applyFont="1"/>
    <xf numFmtId="0" fontId="2" fillId="0" borderId="2" xfId="0" applyFont="1" applyBorder="1" applyAlignment="1">
      <alignment horizontal="center" wrapText="1"/>
    </xf>
    <xf numFmtId="0" fontId="2" fillId="0" borderId="1" xfId="0" applyFont="1" applyBorder="1" applyAlignment="1">
      <alignment horizontal="center" wrapText="1"/>
    </xf>
    <xf numFmtId="0" fontId="6" fillId="4" borderId="0" xfId="0" applyFont="1" applyFill="1" applyAlignment="1">
      <alignment horizontal="center" wrapText="1"/>
    </xf>
    <xf numFmtId="0" fontId="7" fillId="4" borderId="0" xfId="0" applyFont="1" applyFill="1" applyAlignment="1">
      <alignment horizontal="left" wrapText="1"/>
    </xf>
    <xf numFmtId="0" fontId="8" fillId="5" borderId="1" xfId="0" applyFont="1" applyFill="1" applyBorder="1" applyAlignment="1">
      <alignment horizontal="center"/>
    </xf>
    <xf numFmtId="0" fontId="9" fillId="4" borderId="4" xfId="0" applyFont="1" applyFill="1" applyBorder="1" applyAlignment="1">
      <alignment horizontal="center"/>
    </xf>
    <xf numFmtId="0" fontId="10" fillId="6" borderId="1" xfId="0" applyFont="1" applyFill="1" applyBorder="1"/>
    <xf numFmtId="0" fontId="5" fillId="0" borderId="1" xfId="0" applyFont="1" applyBorder="1" applyAlignment="1">
      <alignment horizontal="center" vertical="center" wrapText="1"/>
    </xf>
    <xf numFmtId="0" fontId="5" fillId="0" borderId="1" xfId="0" applyFont="1" applyBorder="1" applyAlignment="1">
      <alignment horizontal="center" wrapText="1"/>
    </xf>
    <xf numFmtId="0" fontId="14" fillId="0" borderId="1" xfId="0" applyFont="1" applyBorder="1" applyAlignment="1">
      <alignment readingOrder="1"/>
    </xf>
    <xf numFmtId="0" fontId="14" fillId="0" borderId="5" xfId="0" applyFont="1" applyBorder="1" applyAlignment="1">
      <alignment wrapText="1" readingOrder="1"/>
    </xf>
    <xf numFmtId="0" fontId="14" fillId="0" borderId="5" xfId="0" applyFont="1" applyBorder="1" applyAlignment="1">
      <alignment readingOrder="1"/>
    </xf>
    <xf numFmtId="0" fontId="13" fillId="0" borderId="5" xfId="1" applyBorder="1" applyAlignment="1">
      <alignment wrapText="1" readingOrder="1"/>
    </xf>
    <xf numFmtId="14" fontId="14" fillId="0" borderId="5" xfId="0" applyNumberFormat="1" applyFont="1" applyBorder="1" applyAlignment="1">
      <alignment readingOrder="1"/>
    </xf>
    <xf numFmtId="0" fontId="14" fillId="0" borderId="4" xfId="0" applyFont="1" applyBorder="1" applyAlignment="1">
      <alignment readingOrder="1"/>
    </xf>
    <xf numFmtId="0" fontId="14" fillId="0" borderId="3" xfId="0" applyFont="1" applyBorder="1" applyAlignment="1">
      <alignment wrapText="1" readingOrder="1"/>
    </xf>
    <xf numFmtId="0" fontId="14" fillId="0" borderId="3" xfId="0" applyFont="1" applyBorder="1" applyAlignment="1">
      <alignment readingOrder="1"/>
    </xf>
    <xf numFmtId="0" fontId="13" fillId="0" borderId="3" xfId="1" applyBorder="1" applyAlignment="1">
      <alignment wrapText="1" readingOrder="1"/>
    </xf>
    <xf numFmtId="14" fontId="14" fillId="0" borderId="3" xfId="0" applyNumberFormat="1" applyFont="1" applyBorder="1" applyAlignment="1">
      <alignment readingOrder="1"/>
    </xf>
    <xf numFmtId="0" fontId="7" fillId="0" borderId="1" xfId="0" applyFont="1" applyBorder="1"/>
    <xf numFmtId="0" fontId="15" fillId="0" borderId="1" xfId="0" applyFont="1" applyBorder="1"/>
    <xf numFmtId="0" fontId="3" fillId="0" borderId="8" xfId="0" applyFont="1" applyBorder="1"/>
    <xf numFmtId="0" fontId="3" fillId="0" borderId="2" xfId="0" applyFont="1" applyBorder="1" applyAlignment="1">
      <alignment horizontal="center" wrapText="1"/>
    </xf>
    <xf numFmtId="0" fontId="3" fillId="0" borderId="9" xfId="0" applyFont="1" applyBorder="1"/>
    <xf numFmtId="0" fontId="3" fillId="0" borderId="10" xfId="0" applyFont="1" applyBorder="1"/>
    <xf numFmtId="0" fontId="16" fillId="0" borderId="5" xfId="0" applyFont="1" applyBorder="1" applyAlignment="1">
      <alignment readingOrder="1"/>
    </xf>
    <xf numFmtId="0" fontId="1" fillId="2" borderId="5" xfId="0" applyFont="1" applyFill="1" applyBorder="1" applyAlignment="1">
      <alignment horizontal="center" vertical="center" wrapText="1"/>
    </xf>
    <xf numFmtId="0" fontId="7" fillId="0" borderId="6" xfId="0" applyFont="1" applyBorder="1"/>
    <xf numFmtId="0" fontId="7" fillId="0" borderId="5" xfId="0" applyFont="1" applyBorder="1"/>
    <xf numFmtId="0" fontId="1" fillId="2" borderId="10" xfId="0" applyFont="1" applyFill="1" applyBorder="1" applyAlignment="1">
      <alignment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left" vertical="top" wrapText="1"/>
    </xf>
    <xf numFmtId="0" fontId="2" fillId="0" borderId="2" xfId="0" applyFont="1" applyBorder="1" applyAlignment="1">
      <alignment horizontal="left" vertical="top" wrapText="1"/>
    </xf>
    <xf numFmtId="0" fontId="3" fillId="0" borderId="3" xfId="0" applyFont="1" applyBorder="1" applyAlignment="1">
      <alignment horizontal="left" vertical="top" wrapText="1"/>
    </xf>
    <xf numFmtId="164" fontId="3" fillId="0" borderId="3" xfId="0" applyNumberFormat="1" applyFont="1" applyBorder="1" applyAlignment="1">
      <alignment horizontal="left" vertical="top" wrapText="1"/>
    </xf>
    <xf numFmtId="0" fontId="3" fillId="0" borderId="4" xfId="0" applyFont="1" applyBorder="1" applyAlignment="1">
      <alignment horizontal="left" vertical="top" wrapText="1"/>
    </xf>
    <xf numFmtId="0" fontId="2" fillId="0" borderId="4" xfId="0" applyFont="1" applyBorder="1" applyAlignment="1">
      <alignment horizontal="left" vertical="top" wrapText="1"/>
    </xf>
    <xf numFmtId="0" fontId="6" fillId="4" borderId="1" xfId="0" applyFont="1" applyFill="1" applyBorder="1" applyAlignment="1">
      <alignment horizontal="left" vertical="top" wrapText="1"/>
    </xf>
    <xf numFmtId="0" fontId="14" fillId="0" borderId="3" xfId="0" applyFont="1" applyBorder="1" applyAlignment="1">
      <alignment horizontal="left" wrapText="1" readingOrder="1"/>
    </xf>
    <xf numFmtId="0" fontId="13" fillId="0" borderId="3" xfId="1" applyBorder="1" applyAlignment="1">
      <alignment horizontal="left" wrapText="1" readingOrder="1"/>
    </xf>
    <xf numFmtId="14" fontId="14" fillId="0" borderId="3" xfId="0" applyNumberFormat="1" applyFont="1" applyBorder="1" applyAlignment="1">
      <alignment horizontal="left" wrapText="1" readingOrder="1"/>
    </xf>
    <xf numFmtId="0" fontId="3" fillId="0" borderId="1" xfId="0" applyFont="1" applyBorder="1" applyAlignment="1">
      <alignment horizontal="left" wrapText="1"/>
    </xf>
    <xf numFmtId="0" fontId="14" fillId="0" borderId="10" xfId="0" applyFont="1" applyBorder="1" applyAlignment="1">
      <alignment horizontal="left" wrapText="1" readingOrder="1"/>
    </xf>
    <xf numFmtId="0" fontId="2" fillId="0" borderId="1" xfId="0" applyFont="1" applyBorder="1" applyAlignment="1">
      <alignment horizontal="left" wrapText="1"/>
    </xf>
    <xf numFmtId="0" fontId="0" fillId="0" borderId="1" xfId="0" applyBorder="1" applyAlignment="1">
      <alignment horizontal="left" wrapText="1"/>
    </xf>
    <xf numFmtId="0" fontId="14" fillId="0" borderId="4" xfId="0" applyFont="1" applyBorder="1" applyAlignment="1">
      <alignment horizontal="left" wrapText="1" readingOrder="1"/>
    </xf>
    <xf numFmtId="0" fontId="4" fillId="0" borderId="1" xfId="0" applyFont="1" applyBorder="1" applyAlignment="1">
      <alignment horizontal="left" wrapText="1"/>
    </xf>
    <xf numFmtId="0" fontId="2" fillId="0" borderId="2" xfId="0" applyFont="1" applyBorder="1" applyAlignment="1">
      <alignment horizontal="left" wrapText="1"/>
    </xf>
    <xf numFmtId="0" fontId="14" fillId="0" borderId="2" xfId="0" applyFont="1" applyBorder="1" applyAlignment="1">
      <alignment horizontal="left" wrapText="1" readingOrder="1"/>
    </xf>
    <xf numFmtId="0" fontId="2" fillId="0" borderId="4" xfId="0" applyFont="1" applyBorder="1" applyAlignment="1">
      <alignment horizontal="left" wrapText="1"/>
    </xf>
    <xf numFmtId="0" fontId="3" fillId="0" borderId="4" xfId="0" applyFont="1" applyBorder="1" applyAlignment="1">
      <alignment horizontal="left" wrapText="1"/>
    </xf>
    <xf numFmtId="0" fontId="14" fillId="0" borderId="1" xfId="0" applyFont="1" applyBorder="1" applyAlignment="1">
      <alignment horizontal="left" wrapText="1" readingOrder="1"/>
    </xf>
    <xf numFmtId="0" fontId="13" fillId="0" borderId="1" xfId="1" applyBorder="1" applyAlignment="1">
      <alignment horizontal="left" vertical="top" wrapText="1" readingOrder="1"/>
    </xf>
    <xf numFmtId="14" fontId="14" fillId="0" borderId="1" xfId="0" applyNumberFormat="1" applyFont="1" applyBorder="1" applyAlignment="1">
      <alignment horizontal="left" wrapText="1" readingOrder="1"/>
    </xf>
    <xf numFmtId="0" fontId="14" fillId="0" borderId="11" xfId="0" applyFont="1" applyBorder="1" applyAlignment="1">
      <alignment horizontal="left" wrapText="1" readingOrder="1"/>
    </xf>
    <xf numFmtId="0" fontId="14" fillId="0" borderId="9" xfId="0" applyFont="1" applyBorder="1" applyAlignment="1">
      <alignment horizontal="left" wrapText="1" readingOrder="1"/>
    </xf>
    <xf numFmtId="0" fontId="13" fillId="0" borderId="9" xfId="1" applyBorder="1" applyAlignment="1">
      <alignment horizontal="left" vertical="top" wrapText="1"/>
    </xf>
    <xf numFmtId="14" fontId="14" fillId="0" borderId="9" xfId="0" applyNumberFormat="1" applyFont="1" applyBorder="1" applyAlignment="1">
      <alignment horizontal="left" wrapText="1" readingOrder="1"/>
    </xf>
    <xf numFmtId="0" fontId="13" fillId="0" borderId="4" xfId="1" applyBorder="1" applyAlignment="1">
      <alignment horizontal="left" vertical="top" wrapText="1"/>
    </xf>
    <xf numFmtId="0" fontId="3" fillId="0" borderId="5" xfId="0" applyFont="1" applyBorder="1" applyAlignment="1">
      <alignment horizontal="left" wrapText="1"/>
    </xf>
    <xf numFmtId="0" fontId="0" fillId="0" borderId="1" xfId="0" applyBorder="1"/>
    <xf numFmtId="0" fontId="3" fillId="0" borderId="2" xfId="0" applyFont="1" applyBorder="1"/>
    <xf numFmtId="0" fontId="3" fillId="0" borderId="12" xfId="0" applyFont="1" applyBorder="1"/>
    <xf numFmtId="0" fontId="0" fillId="0" borderId="1" xfId="0" applyBorder="1" applyAlignment="1">
      <alignment wrapText="1"/>
    </xf>
    <xf numFmtId="0" fontId="14" fillId="0" borderId="13" xfId="0" applyFont="1" applyBorder="1" applyAlignment="1">
      <alignment horizontal="left" wrapText="1" readingOrder="1"/>
    </xf>
    <xf numFmtId="0" fontId="1" fillId="2" borderId="2" xfId="0" applyFont="1" applyFill="1" applyBorder="1" applyAlignment="1">
      <alignment horizontal="center" wrapText="1"/>
    </xf>
    <xf numFmtId="0" fontId="2" fillId="7" borderId="2" xfId="0" applyFont="1" applyFill="1" applyBorder="1" applyAlignment="1">
      <alignment horizontal="left" wrapText="1"/>
    </xf>
    <xf numFmtId="0" fontId="0" fillId="0" borderId="0" xfId="0" applyAlignment="1">
      <alignment wrapText="1"/>
    </xf>
    <xf numFmtId="0" fontId="13" fillId="0" borderId="9" xfId="1" applyBorder="1" applyAlignment="1">
      <alignment horizontal="left" wrapText="1"/>
    </xf>
    <xf numFmtId="0" fontId="3" fillId="0" borderId="1" xfId="0" applyFont="1" applyBorder="1" applyAlignment="1">
      <alignment horizontal="left"/>
    </xf>
    <xf numFmtId="0" fontId="17" fillId="0" borderId="0" xfId="0" applyFont="1"/>
    <xf numFmtId="0" fontId="1" fillId="2" borderId="10" xfId="0" applyFont="1" applyFill="1" applyBorder="1" applyAlignment="1">
      <alignment horizontal="center" wrapText="1"/>
    </xf>
    <xf numFmtId="0" fontId="1" fillId="2" borderId="10" xfId="0" applyFont="1" applyFill="1" applyBorder="1" applyAlignment="1">
      <alignment horizontal="center" vertical="center" wrapText="1"/>
    </xf>
    <xf numFmtId="0" fontId="1" fillId="5" borderId="10" xfId="0" applyFont="1" applyFill="1" applyBorder="1" applyAlignment="1">
      <alignment horizontal="center" wrapText="1"/>
    </xf>
    <xf numFmtId="0" fontId="1" fillId="3" borderId="10" xfId="0" applyFont="1" applyFill="1" applyBorder="1" applyAlignment="1">
      <alignment horizontal="center" wrapText="1"/>
    </xf>
    <xf numFmtId="0" fontId="1" fillId="2" borderId="1" xfId="0" applyFont="1" applyFill="1" applyBorder="1" applyAlignment="1">
      <alignment horizontal="center" vertical="center" wrapText="1"/>
    </xf>
    <xf numFmtId="0" fontId="14" fillId="0" borderId="13" xfId="0" applyFont="1" applyBorder="1" applyAlignment="1">
      <alignment horizontal="center" vertical="center" wrapText="1" readingOrder="1"/>
    </xf>
    <xf numFmtId="0" fontId="3" fillId="0" borderId="4" xfId="0" applyFont="1" applyBorder="1" applyAlignment="1">
      <alignment horizontal="center" vertical="center" wrapText="1"/>
    </xf>
    <xf numFmtId="0" fontId="0" fillId="0" borderId="0" xfId="0" applyAlignment="1">
      <alignment horizontal="center" vertical="center"/>
    </xf>
    <xf numFmtId="0" fontId="13" fillId="0" borderId="1" xfId="1" applyBorder="1" applyAlignment="1">
      <alignment horizontal="left" vertical="top" wrapText="1"/>
    </xf>
    <xf numFmtId="0" fontId="14" fillId="8" borderId="3" xfId="0" applyFont="1" applyFill="1" applyBorder="1" applyAlignment="1">
      <alignment horizontal="left" wrapText="1" readingOrder="1"/>
    </xf>
    <xf numFmtId="0" fontId="0" fillId="8" borderId="1" xfId="0" applyFill="1" applyBorder="1" applyAlignment="1">
      <alignment horizontal="left" wrapText="1"/>
    </xf>
    <xf numFmtId="0" fontId="2" fillId="9" borderId="1" xfId="0" applyFont="1" applyFill="1" applyBorder="1" applyAlignment="1">
      <alignment wrapText="1"/>
    </xf>
    <xf numFmtId="0" fontId="0" fillId="9" borderId="1" xfId="0" applyFill="1" applyBorder="1" applyAlignment="1">
      <alignment horizontal="left" wrapText="1"/>
    </xf>
    <xf numFmtId="0" fontId="0" fillId="0" borderId="14" xfId="0" applyBorder="1"/>
    <xf numFmtId="0" fontId="0" fillId="0" borderId="2" xfId="0" applyBorder="1"/>
    <xf numFmtId="0" fontId="0" fillId="0" borderId="2" xfId="0" applyBorder="1" applyAlignment="1">
      <alignment wrapText="1"/>
    </xf>
    <xf numFmtId="0" fontId="14" fillId="9" borderId="3" xfId="0" applyFont="1" applyFill="1" applyBorder="1" applyAlignment="1">
      <alignment wrapText="1" readingOrder="1"/>
    </xf>
    <xf numFmtId="14" fontId="14" fillId="0" borderId="3" xfId="0" applyNumberFormat="1" applyFont="1" applyBorder="1" applyAlignment="1">
      <alignment wrapText="1" readingOrder="1"/>
    </xf>
    <xf numFmtId="0" fontId="0" fillId="0" borderId="1" xfId="0" applyBorder="1" applyAlignment="1">
      <alignment horizontal="center" vertical="center"/>
    </xf>
    <xf numFmtId="0" fontId="0" fillId="0" borderId="1" xfId="0" applyBorder="1" applyAlignment="1">
      <alignment horizontal="center" wrapText="1"/>
    </xf>
    <xf numFmtId="0" fontId="14" fillId="0" borderId="1" xfId="0" applyFont="1" applyBorder="1" applyAlignment="1">
      <alignment wrapText="1" readingOrder="1"/>
    </xf>
    <xf numFmtId="0" fontId="14" fillId="9" borderId="9" xfId="0" applyFont="1" applyFill="1" applyBorder="1" applyAlignment="1">
      <alignment wrapText="1" readingOrder="1"/>
    </xf>
    <xf numFmtId="0" fontId="14" fillId="0" borderId="9" xfId="0" applyFont="1" applyBorder="1" applyAlignment="1">
      <alignment wrapText="1" readingOrder="1"/>
    </xf>
    <xf numFmtId="0" fontId="13" fillId="0" borderId="9" xfId="1" applyBorder="1" applyAlignment="1">
      <alignment wrapText="1" readingOrder="1"/>
    </xf>
    <xf numFmtId="14" fontId="14" fillId="0" borderId="9" xfId="0" applyNumberFormat="1" applyFont="1" applyBorder="1" applyAlignment="1">
      <alignment wrapText="1" readingOrder="1"/>
    </xf>
    <xf numFmtId="0" fontId="14" fillId="0" borderId="1" xfId="0" applyFont="1" applyBorder="1"/>
    <xf numFmtId="0" fontId="13" fillId="0" borderId="1" xfId="1" applyBorder="1" applyAlignment="1">
      <alignment wrapText="1"/>
    </xf>
    <xf numFmtId="0" fontId="2" fillId="0" borderId="6" xfId="0" applyFont="1" applyBorder="1" applyAlignment="1">
      <alignment wrapText="1"/>
    </xf>
    <xf numFmtId="0" fontId="3" fillId="0" borderId="5" xfId="0" applyFont="1" applyBorder="1" applyAlignment="1">
      <alignment horizontal="center"/>
    </xf>
    <xf numFmtId="0" fontId="0" fillId="0" borderId="5" xfId="0" applyBorder="1" applyAlignment="1">
      <alignment wrapText="1"/>
    </xf>
    <xf numFmtId="0" fontId="14" fillId="0" borderId="2" xfId="0" applyFont="1" applyBorder="1"/>
    <xf numFmtId="0" fontId="14" fillId="0" borderId="0" xfId="0" applyFont="1"/>
    <xf numFmtId="0" fontId="0" fillId="0" borderId="2" xfId="0" applyBorder="1" applyAlignment="1">
      <alignment horizontal="center" vertical="center"/>
    </xf>
    <xf numFmtId="0" fontId="0" fillId="0" borderId="10" xfId="0" applyBorder="1" applyAlignment="1">
      <alignment wrapText="1"/>
    </xf>
    <xf numFmtId="0" fontId="0" fillId="0" borderId="2" xfId="0" applyBorder="1" applyAlignment="1">
      <alignment horizontal="left" wrapText="1"/>
    </xf>
    <xf numFmtId="0" fontId="2" fillId="0" borderId="14" xfId="0" applyFont="1" applyBorder="1" applyAlignment="1">
      <alignment wrapText="1"/>
    </xf>
    <xf numFmtId="0" fontId="3" fillId="0" borderId="10" xfId="0" applyFont="1" applyBorder="1" applyAlignment="1">
      <alignment horizontal="center"/>
    </xf>
    <xf numFmtId="0" fontId="3" fillId="0" borderId="2" xfId="0" applyFont="1" applyBorder="1" applyAlignment="1">
      <alignment horizontal="center"/>
    </xf>
    <xf numFmtId="0" fontId="3" fillId="0" borderId="9" xfId="0" applyFont="1" applyBorder="1" applyAlignment="1">
      <alignment horizontal="left" vertical="top" wrapText="1"/>
    </xf>
    <xf numFmtId="0" fontId="0" fillId="0" borderId="1" xfId="0" applyBorder="1" applyAlignment="1">
      <alignment horizontal="center"/>
    </xf>
    <xf numFmtId="0" fontId="13" fillId="0" borderId="3" xfId="1" applyBorder="1" applyAlignment="1">
      <alignment horizontal="left" wrapText="1"/>
    </xf>
    <xf numFmtId="0" fontId="13" fillId="0" borderId="1" xfId="1" applyBorder="1" applyAlignment="1">
      <alignment horizontal="left" wrapText="1"/>
    </xf>
    <xf numFmtId="0" fontId="0" fillId="0" borderId="1" xfId="0" applyBorder="1" applyAlignment="1">
      <alignment horizontal="left" vertical="top" wrapText="1"/>
    </xf>
    <xf numFmtId="0" fontId="0" fillId="0" borderId="1" xfId="0" applyBorder="1" applyAlignment="1">
      <alignment horizontal="left" vertical="top"/>
    </xf>
    <xf numFmtId="0" fontId="14" fillId="0" borderId="0" xfId="0" applyFont="1" applyAlignment="1">
      <alignment horizontal="left" vertical="top"/>
    </xf>
    <xf numFmtId="0" fontId="2" fillId="0" borderId="6" xfId="0" applyFont="1" applyBorder="1" applyAlignment="1">
      <alignment horizontal="left" vertical="top" wrapText="1"/>
    </xf>
    <xf numFmtId="0" fontId="0" fillId="0" borderId="0" xfId="0" applyAlignment="1">
      <alignment horizontal="left" vertical="top"/>
    </xf>
    <xf numFmtId="0" fontId="2" fillId="9" borderId="1" xfId="0" applyFont="1" applyFill="1" applyBorder="1" applyAlignment="1">
      <alignment horizontal="left" vertical="top" wrapText="1"/>
    </xf>
    <xf numFmtId="0" fontId="0" fillId="0" borderId="2" xfId="0" applyBorder="1" applyAlignment="1">
      <alignment horizontal="center"/>
    </xf>
    <xf numFmtId="0" fontId="0" fillId="8" borderId="1" xfId="0" applyFill="1" applyBorder="1"/>
    <xf numFmtId="0" fontId="14" fillId="8" borderId="1" xfId="0" applyFont="1" applyFill="1" applyBorder="1" applyAlignment="1">
      <alignment horizontal="left" wrapText="1" readingOrder="1"/>
    </xf>
    <xf numFmtId="0" fontId="1" fillId="2" borderId="2" xfId="0" applyFont="1" applyFill="1" applyBorder="1" applyAlignment="1">
      <alignment horizontal="center" vertical="center" wrapText="1"/>
    </xf>
    <xf numFmtId="0" fontId="1" fillId="3" borderId="2" xfId="0" applyFont="1" applyFill="1" applyBorder="1" applyAlignment="1">
      <alignment horizontal="center" wrapText="1"/>
    </xf>
    <xf numFmtId="0" fontId="13" fillId="0" borderId="1" xfId="1" applyBorder="1"/>
    <xf numFmtId="14" fontId="0" fillId="0" borderId="1" xfId="0" applyNumberFormat="1" applyBorder="1" applyAlignment="1">
      <alignment wrapText="1"/>
    </xf>
    <xf numFmtId="0" fontId="0" fillId="0" borderId="6" xfId="0" applyBorder="1" applyAlignment="1">
      <alignment horizontal="left" vertical="top"/>
    </xf>
    <xf numFmtId="0" fontId="0" fillId="0" borderId="5" xfId="0" applyBorder="1" applyAlignment="1">
      <alignment horizontal="left" vertical="top" wrapText="1"/>
    </xf>
    <xf numFmtId="0" fontId="3" fillId="0" borderId="6" xfId="0" applyFont="1" applyBorder="1" applyAlignment="1">
      <alignment horizontal="left" vertical="top" wrapText="1"/>
    </xf>
    <xf numFmtId="0" fontId="3" fillId="0" borderId="5" xfId="0" applyFont="1" applyBorder="1" applyAlignment="1">
      <alignment horizontal="left" vertical="top" wrapText="1"/>
    </xf>
    <xf numFmtId="0" fontId="19" fillId="0" borderId="0" xfId="0" applyFont="1" applyAlignment="1">
      <alignment vertical="top"/>
    </xf>
    <xf numFmtId="0" fontId="0" fillId="10" borderId="1" xfId="0" applyFill="1" applyBorder="1"/>
    <xf numFmtId="0" fontId="3" fillId="0" borderId="1" xfId="0" applyFont="1" applyBorder="1" applyAlignment="1">
      <alignment horizontal="left" vertical="top"/>
    </xf>
    <xf numFmtId="0" fontId="3" fillId="0" borderId="6" xfId="0" applyFont="1" applyBorder="1" applyAlignment="1">
      <alignment horizontal="left" vertical="top"/>
    </xf>
    <xf numFmtId="0" fontId="3" fillId="0" borderId="5" xfId="0" applyFont="1" applyBorder="1" applyAlignment="1">
      <alignment horizontal="left" vertical="top"/>
    </xf>
    <xf numFmtId="14" fontId="14" fillId="0" borderId="1" xfId="0" applyNumberFormat="1" applyFont="1" applyBorder="1" applyAlignment="1">
      <alignment wrapText="1" readingOrder="1"/>
    </xf>
    <xf numFmtId="0" fontId="14" fillId="0" borderId="2" xfId="0" applyFont="1" applyBorder="1" applyAlignment="1">
      <alignment wrapText="1" readingOrder="1"/>
    </xf>
    <xf numFmtId="0" fontId="13" fillId="0" borderId="2" xfId="1" applyBorder="1" applyAlignment="1">
      <alignment wrapText="1"/>
    </xf>
    <xf numFmtId="14" fontId="0" fillId="0" borderId="1" xfId="0" applyNumberFormat="1" applyBorder="1"/>
    <xf numFmtId="0" fontId="0" fillId="7" borderId="1" xfId="0" applyFill="1" applyBorder="1"/>
    <xf numFmtId="0" fontId="0" fillId="7" borderId="2" xfId="0" applyFill="1" applyBorder="1"/>
    <xf numFmtId="0" fontId="18" fillId="0" borderId="1" xfId="0" applyFont="1" applyBorder="1"/>
    <xf numFmtId="0" fontId="18" fillId="0" borderId="1" xfId="0" applyFont="1" applyBorder="1" applyAlignment="1">
      <alignment horizontal="left" vertical="top"/>
    </xf>
    <xf numFmtId="0" fontId="14" fillId="0" borderId="1" xfId="0" applyFont="1" applyBorder="1" applyAlignment="1">
      <alignment horizontal="left" vertical="top" wrapText="1" readingOrder="1"/>
    </xf>
    <xf numFmtId="14" fontId="0" fillId="0" borderId="1" xfId="0" applyNumberFormat="1" applyBorder="1" applyAlignment="1">
      <alignment horizontal="left" vertical="top" wrapText="1"/>
    </xf>
    <xf numFmtId="14" fontId="14" fillId="0" borderId="3" xfId="0" applyNumberFormat="1" applyFont="1" applyBorder="1" applyAlignment="1">
      <alignment horizontal="left" vertical="top" wrapText="1" readingOrder="1"/>
    </xf>
    <xf numFmtId="0" fontId="14" fillId="0" borderId="3" xfId="0" applyFont="1" applyBorder="1" applyAlignment="1">
      <alignment horizontal="left" vertical="top" wrapText="1" readingOrder="1"/>
    </xf>
    <xf numFmtId="14" fontId="0" fillId="0" borderId="1" xfId="0" applyNumberFormat="1" applyBorder="1" applyAlignment="1">
      <alignment horizontal="left" vertical="top"/>
    </xf>
    <xf numFmtId="0" fontId="14" fillId="0" borderId="1" xfId="0" applyFont="1" applyBorder="1" applyAlignment="1">
      <alignment horizontal="left" vertical="top"/>
    </xf>
    <xf numFmtId="0" fontId="0" fillId="0" borderId="6" xfId="0" applyBorder="1" applyAlignment="1">
      <alignment horizontal="left" vertical="top" wrapText="1"/>
    </xf>
    <xf numFmtId="0" fontId="0" fillId="0" borderId="4" xfId="0" applyBorder="1"/>
    <xf numFmtId="0" fontId="14" fillId="0" borderId="2" xfId="0" applyFont="1" applyBorder="1" applyAlignment="1">
      <alignment horizontal="left" vertical="top"/>
    </xf>
    <xf numFmtId="0" fontId="0" fillId="0" borderId="2" xfId="0" applyBorder="1" applyAlignment="1">
      <alignment horizontal="center" wrapText="1"/>
    </xf>
    <xf numFmtId="0" fontId="14" fillId="0" borderId="6" xfId="0" applyFont="1" applyBorder="1" applyAlignment="1">
      <alignment wrapText="1" readingOrder="1"/>
    </xf>
    <xf numFmtId="0" fontId="2" fillId="0" borderId="5" xfId="0" applyFont="1" applyBorder="1" applyAlignment="1">
      <alignment horizontal="left" wrapText="1"/>
    </xf>
    <xf numFmtId="0" fontId="0" fillId="0" borderId="4" xfId="0" applyBorder="1" applyAlignment="1">
      <alignment horizontal="left" vertical="top"/>
    </xf>
    <xf numFmtId="0" fontId="0" fillId="0" borderId="2" xfId="0" applyBorder="1" applyAlignment="1">
      <alignment horizontal="left" vertical="top" wrapText="1"/>
    </xf>
    <xf numFmtId="0" fontId="0" fillId="0" borderId="2" xfId="0" applyBorder="1" applyAlignment="1">
      <alignment horizontal="left" vertical="top"/>
    </xf>
    <xf numFmtId="0" fontId="14" fillId="0" borderId="2" xfId="0" applyFont="1" applyBorder="1" applyAlignment="1">
      <alignment horizontal="left" vertical="top" wrapText="1" readingOrder="1"/>
    </xf>
    <xf numFmtId="0" fontId="13" fillId="0" borderId="2" xfId="1" applyBorder="1" applyAlignment="1">
      <alignment horizontal="left" vertical="top" wrapText="1"/>
    </xf>
    <xf numFmtId="14" fontId="14" fillId="0" borderId="9" xfId="0" applyNumberFormat="1" applyFont="1" applyBorder="1" applyAlignment="1">
      <alignment horizontal="left" vertical="top" wrapText="1" readingOrder="1"/>
    </xf>
    <xf numFmtId="0" fontId="14" fillId="0" borderId="9" xfId="0" applyFont="1" applyBorder="1" applyAlignment="1">
      <alignment horizontal="left" vertical="top" wrapText="1" readingOrder="1"/>
    </xf>
    <xf numFmtId="14" fontId="14" fillId="0" borderId="1" xfId="0" applyNumberFormat="1" applyFont="1" applyBorder="1" applyAlignment="1">
      <alignment horizontal="left" vertical="top" wrapText="1" readingOrder="1"/>
    </xf>
    <xf numFmtId="0" fontId="18" fillId="0" borderId="1" xfId="0" applyFont="1" applyBorder="1" applyAlignment="1">
      <alignment horizontal="left" vertical="top" wrapText="1"/>
    </xf>
    <xf numFmtId="0" fontId="0" fillId="0" borderId="1" xfId="0" applyBorder="1" applyAlignment="1">
      <alignment horizontal="left"/>
    </xf>
    <xf numFmtId="0" fontId="0" fillId="0" borderId="6" xfId="0" applyBorder="1" applyAlignment="1">
      <alignment horizontal="left"/>
    </xf>
    <xf numFmtId="0" fontId="14" fillId="0" borderId="1" xfId="0" applyFont="1" applyBorder="1" applyAlignment="1">
      <alignment horizontal="left"/>
    </xf>
    <xf numFmtId="0" fontId="0" fillId="0" borderId="5" xfId="0" applyBorder="1" applyAlignment="1">
      <alignment horizontal="left" wrapText="1"/>
    </xf>
    <xf numFmtId="0" fontId="0" fillId="0" borderId="0" xfId="0" applyAlignment="1">
      <alignment horizontal="left"/>
    </xf>
    <xf numFmtId="0" fontId="3" fillId="0" borderId="2" xfId="0" applyFont="1" applyBorder="1" applyAlignment="1">
      <alignment horizontal="left" vertical="top"/>
    </xf>
    <xf numFmtId="0" fontId="0" fillId="0" borderId="1" xfId="0" applyBorder="1" applyAlignment="1">
      <alignment horizontal="left" vertical="center" wrapText="1"/>
    </xf>
    <xf numFmtId="0" fontId="0" fillId="0" borderId="1" xfId="0" applyBorder="1" applyAlignment="1">
      <alignment horizontal="left" vertical="center"/>
    </xf>
    <xf numFmtId="0" fontId="14" fillId="0" borderId="1" xfId="0" applyFont="1" applyBorder="1" applyAlignment="1">
      <alignment horizontal="left" vertical="center"/>
    </xf>
    <xf numFmtId="0" fontId="0" fillId="0" borderId="5" xfId="0" applyBorder="1" applyAlignment="1">
      <alignment horizontal="left" vertical="center" wrapText="1"/>
    </xf>
    <xf numFmtId="0" fontId="0" fillId="0" borderId="5" xfId="0" applyBorder="1" applyAlignment="1">
      <alignment horizontal="left" vertical="center"/>
    </xf>
    <xf numFmtId="0" fontId="0" fillId="0" borderId="5" xfId="0" applyBorder="1" applyAlignment="1">
      <alignment horizontal="center" vertical="top" wrapText="1"/>
    </xf>
    <xf numFmtId="0" fontId="0" fillId="0" borderId="5" xfId="0" applyBorder="1" applyAlignment="1">
      <alignment horizontal="left"/>
    </xf>
    <xf numFmtId="0" fontId="0" fillId="0" borderId="4" xfId="0" applyBorder="1" applyAlignment="1">
      <alignment horizontal="left"/>
    </xf>
    <xf numFmtId="0" fontId="0" fillId="0" borderId="3" xfId="0" applyBorder="1" applyAlignment="1">
      <alignment horizontal="left" wrapText="1"/>
    </xf>
    <xf numFmtId="0" fontId="20" fillId="0" borderId="0" xfId="0" applyFont="1"/>
    <xf numFmtId="0" fontId="0" fillId="0" borderId="0" xfId="0" applyAlignment="1">
      <alignment horizontal="left" wrapText="1"/>
    </xf>
    <xf numFmtId="0" fontId="3" fillId="0" borderId="14" xfId="0" applyFont="1" applyBorder="1" applyAlignment="1">
      <alignment horizontal="left" vertical="top"/>
    </xf>
    <xf numFmtId="0" fontId="3" fillId="0" borderId="10" xfId="0" applyFont="1" applyBorder="1" applyAlignment="1">
      <alignment horizontal="left" vertical="top"/>
    </xf>
    <xf numFmtId="0" fontId="0" fillId="0" borderId="1" xfId="0" applyBorder="1" applyAlignment="1">
      <alignment vertical="top"/>
    </xf>
    <xf numFmtId="0" fontId="2" fillId="0" borderId="1" xfId="0" applyFont="1" applyBorder="1" applyAlignment="1">
      <alignment vertical="center"/>
    </xf>
    <xf numFmtId="0" fontId="2" fillId="0" borderId="2" xfId="0" applyFont="1" applyBorder="1" applyAlignment="1">
      <alignment vertical="center"/>
    </xf>
    <xf numFmtId="0" fontId="0" fillId="0" borderId="5" xfId="0" applyBorder="1" applyAlignment="1">
      <alignment horizontal="left" vertical="top"/>
    </xf>
    <xf numFmtId="0" fontId="13" fillId="0" borderId="0" xfId="1" applyAlignment="1">
      <alignment wrapText="1"/>
    </xf>
    <xf numFmtId="0" fontId="0" fillId="7" borderId="1" xfId="0" applyFill="1" applyBorder="1" applyAlignment="1">
      <alignment horizontal="left" wrapText="1"/>
    </xf>
    <xf numFmtId="0" fontId="0" fillId="7" borderId="1" xfId="0" applyFill="1" applyBorder="1" applyAlignment="1">
      <alignment horizontal="left"/>
    </xf>
    <xf numFmtId="0" fontId="14" fillId="7" borderId="0" xfId="0" applyFont="1" applyFill="1" applyAlignment="1">
      <alignment horizontal="left"/>
    </xf>
    <xf numFmtId="0" fontId="0" fillId="9" borderId="1" xfId="0" applyFill="1" applyBorder="1" applyAlignment="1">
      <alignment horizontal="left"/>
    </xf>
    <xf numFmtId="0" fontId="0" fillId="9" borderId="1" xfId="0" applyFill="1" applyBorder="1" applyAlignment="1">
      <alignment wrapText="1"/>
    </xf>
    <xf numFmtId="0" fontId="14" fillId="9" borderId="1" xfId="0" applyFont="1" applyFill="1" applyBorder="1" applyAlignment="1">
      <alignment horizontal="left"/>
    </xf>
    <xf numFmtId="0" fontId="0" fillId="0" borderId="6" xfId="0" applyBorder="1" applyAlignment="1">
      <alignment horizontal="left" wrapText="1"/>
    </xf>
    <xf numFmtId="0" fontId="0" fillId="9" borderId="5" xfId="0" applyFill="1" applyBorder="1"/>
    <xf numFmtId="0" fontId="0" fillId="9" borderId="2" xfId="0" applyFill="1" applyBorder="1" applyAlignment="1">
      <alignment horizontal="left"/>
    </xf>
    <xf numFmtId="0" fontId="0" fillId="9" borderId="2" xfId="0" applyFill="1" applyBorder="1" applyAlignment="1">
      <alignment wrapText="1"/>
    </xf>
    <xf numFmtId="0" fontId="0" fillId="9" borderId="2" xfId="0" applyFill="1" applyBorder="1" applyAlignment="1">
      <alignment horizontal="left" wrapText="1"/>
    </xf>
    <xf numFmtId="0" fontId="0" fillId="0" borderId="2" xfId="0" applyBorder="1" applyAlignment="1">
      <alignment horizontal="left"/>
    </xf>
    <xf numFmtId="0" fontId="14" fillId="9" borderId="2" xfId="0" applyFont="1" applyFill="1" applyBorder="1" applyAlignment="1">
      <alignment horizontal="left"/>
    </xf>
    <xf numFmtId="0" fontId="0" fillId="9" borderId="10" xfId="0" applyFill="1" applyBorder="1" applyAlignment="1">
      <alignment horizontal="left"/>
    </xf>
    <xf numFmtId="0" fontId="0" fillId="0" borderId="1" xfId="0" applyBorder="1" applyAlignment="1">
      <alignment vertical="top" wrapText="1"/>
    </xf>
    <xf numFmtId="0" fontId="3" fillId="0" borderId="1" xfId="0" applyFont="1" applyBorder="1" applyAlignment="1">
      <alignment vertical="top"/>
    </xf>
    <xf numFmtId="0" fontId="0" fillId="0" borderId="8" xfId="0" applyBorder="1" applyAlignment="1">
      <alignment horizontal="left"/>
    </xf>
    <xf numFmtId="0" fontId="0" fillId="0" borderId="8" xfId="0" applyBorder="1" applyAlignment="1">
      <alignment horizontal="left" wrapText="1"/>
    </xf>
    <xf numFmtId="0" fontId="0" fillId="0" borderId="8" xfId="0" applyBorder="1"/>
    <xf numFmtId="0" fontId="0" fillId="0" borderId="8" xfId="0" applyBorder="1" applyAlignment="1">
      <alignment wrapText="1"/>
    </xf>
    <xf numFmtId="0" fontId="0" fillId="0" borderId="15" xfId="0" applyBorder="1" applyAlignment="1">
      <alignment horizontal="left"/>
    </xf>
    <xf numFmtId="0" fontId="14" fillId="0" borderId="8" xfId="0" applyFont="1" applyBorder="1" applyAlignment="1">
      <alignment wrapText="1" readingOrder="1"/>
    </xf>
    <xf numFmtId="0" fontId="13" fillId="0" borderId="0" xfId="1" applyBorder="1" applyAlignment="1">
      <alignment wrapText="1"/>
    </xf>
    <xf numFmtId="14" fontId="14" fillId="0" borderId="8" xfId="0" applyNumberFormat="1" applyFont="1" applyBorder="1" applyAlignment="1">
      <alignment wrapText="1" readingOrder="1"/>
    </xf>
    <xf numFmtId="0" fontId="0" fillId="0" borderId="10" xfId="0" applyBorder="1" applyAlignment="1">
      <alignment horizontal="center" wrapText="1"/>
    </xf>
    <xf numFmtId="0" fontId="1" fillId="2" borderId="2" xfId="0" applyFont="1" applyFill="1" applyBorder="1" applyAlignment="1">
      <alignment horizontal="left" wrapText="1"/>
    </xf>
    <xf numFmtId="0" fontId="1" fillId="2" borderId="2" xfId="0" applyFont="1" applyFill="1" applyBorder="1" applyAlignment="1">
      <alignment horizontal="left" vertical="center" wrapText="1"/>
    </xf>
    <xf numFmtId="0" fontId="0" fillId="0" borderId="8" xfId="0" applyBorder="1" applyAlignment="1">
      <alignment horizontal="center" vertical="center"/>
    </xf>
    <xf numFmtId="0" fontId="2" fillId="0" borderId="5" xfId="0" applyFont="1" applyBorder="1" applyAlignment="1">
      <alignment vertical="center" wrapText="1"/>
    </xf>
    <xf numFmtId="0" fontId="2" fillId="0" borderId="10"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2" xfId="0" applyBorder="1" applyAlignment="1">
      <alignment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9" borderId="10" xfId="0" applyFill="1"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10" xfId="0" applyBorder="1" applyAlignment="1">
      <alignment vertical="center"/>
    </xf>
    <xf numFmtId="0" fontId="0" fillId="0" borderId="14" xfId="0" applyBorder="1" applyAlignment="1">
      <alignment vertical="center"/>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14"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0" fontId="21" fillId="7"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0" fillId="0" borderId="5" xfId="0" applyBorder="1" applyAlignment="1">
      <alignment vertical="center" wrapText="1"/>
    </xf>
    <xf numFmtId="0" fontId="0" fillId="0" borderId="10" xfId="0" applyBorder="1" applyAlignment="1">
      <alignment vertical="center" wrapText="1"/>
    </xf>
    <xf numFmtId="0" fontId="14" fillId="0" borderId="10" xfId="0" applyFont="1" applyBorder="1" applyAlignment="1">
      <alignment vertical="center" wrapText="1"/>
    </xf>
    <xf numFmtId="0" fontId="0" fillId="0" borderId="12" xfId="0" applyBorder="1" applyAlignment="1">
      <alignment vertical="center" wrapText="1"/>
    </xf>
    <xf numFmtId="0" fontId="0" fillId="0" borderId="3" xfId="0" applyBorder="1" applyAlignment="1">
      <alignment vertical="center" wrapText="1"/>
    </xf>
    <xf numFmtId="0" fontId="0" fillId="0" borderId="7" xfId="0" applyBorder="1" applyAlignment="1">
      <alignment vertical="center" wrapText="1"/>
    </xf>
    <xf numFmtId="0" fontId="1" fillId="2" borderId="2" xfId="0" applyFont="1" applyFill="1" applyBorder="1" applyAlignment="1">
      <alignment vertical="center" wrapText="1"/>
    </xf>
    <xf numFmtId="0" fontId="0" fillId="0" borderId="4" xfId="0" applyBorder="1" applyAlignment="1">
      <alignment horizontal="left" vertical="center" wrapText="1"/>
    </xf>
    <xf numFmtId="0" fontId="0" fillId="0" borderId="0" xfId="0" applyAlignment="1">
      <alignment vertical="center"/>
    </xf>
    <xf numFmtId="0" fontId="0" fillId="0" borderId="4" xfId="0" applyBorder="1" applyAlignment="1">
      <alignment vertical="center" wrapText="1"/>
    </xf>
    <xf numFmtId="0" fontId="0" fillId="0" borderId="4" xfId="0" applyBorder="1" applyAlignment="1">
      <alignment horizontal="center" vertical="center" wrapText="1"/>
    </xf>
    <xf numFmtId="0" fontId="0" fillId="11" borderId="0" xfId="0" applyFill="1" applyAlignment="1">
      <alignment vertical="center"/>
    </xf>
    <xf numFmtId="0" fontId="1" fillId="11" borderId="12"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0" borderId="4" xfId="0" applyBorder="1" applyAlignment="1">
      <alignment horizontal="left" vertical="center"/>
    </xf>
    <xf numFmtId="0" fontId="0" fillId="0" borderId="4" xfId="0" applyBorder="1" applyAlignment="1">
      <alignment horizontal="center" vertical="center"/>
    </xf>
    <xf numFmtId="0" fontId="0" fillId="0" borderId="13" xfId="0" applyBorder="1" applyAlignment="1">
      <alignment vertical="center" wrapText="1"/>
    </xf>
    <xf numFmtId="0" fontId="0" fillId="11" borderId="6" xfId="0" applyFill="1" applyBorder="1" applyAlignment="1">
      <alignment vertical="center" wrapText="1"/>
    </xf>
    <xf numFmtId="0" fontId="14" fillId="0" borderId="1" xfId="0" applyFont="1" applyBorder="1" applyAlignment="1">
      <alignment vertical="center" wrapText="1" readingOrder="1"/>
    </xf>
    <xf numFmtId="14" fontId="14" fillId="0" borderId="3" xfId="0" applyNumberFormat="1" applyFont="1" applyBorder="1" applyAlignment="1">
      <alignment vertical="center" wrapText="1" readingOrder="1"/>
    </xf>
    <xf numFmtId="0" fontId="0" fillId="9" borderId="1" xfId="0" applyFill="1" applyBorder="1" applyAlignment="1">
      <alignment vertical="center" wrapText="1"/>
    </xf>
    <xf numFmtId="0" fontId="2" fillId="0" borderId="6" xfId="0" applyFont="1" applyBorder="1" applyAlignment="1">
      <alignment horizontal="left" vertical="center" wrapText="1"/>
    </xf>
    <xf numFmtId="0" fontId="2" fillId="11" borderId="6" xfId="0" applyFont="1" applyFill="1" applyBorder="1" applyAlignment="1">
      <alignment horizontal="left" vertical="center" wrapText="1"/>
    </xf>
    <xf numFmtId="0" fontId="13" fillId="0" borderId="1" xfId="1" applyBorder="1" applyAlignment="1">
      <alignment horizontal="left" vertical="center" wrapText="1"/>
    </xf>
    <xf numFmtId="0" fontId="0" fillId="0" borderId="6" xfId="0" applyBorder="1" applyAlignment="1">
      <alignment vertical="center" wrapText="1"/>
    </xf>
    <xf numFmtId="0" fontId="0" fillId="9" borderId="1" xfId="0" applyFill="1" applyBorder="1" applyAlignment="1">
      <alignment horizontal="left" vertical="center" wrapText="1"/>
    </xf>
    <xf numFmtId="0" fontId="0" fillId="0" borderId="2" xfId="0" applyBorder="1" applyAlignment="1">
      <alignment horizontal="left" vertical="center"/>
    </xf>
    <xf numFmtId="0" fontId="0" fillId="11" borderId="14" xfId="0" applyFill="1" applyBorder="1" applyAlignment="1">
      <alignment vertical="center" wrapText="1"/>
    </xf>
    <xf numFmtId="0" fontId="0" fillId="0" borderId="2" xfId="0" applyBorder="1" applyAlignment="1">
      <alignment horizontal="left" vertical="center" wrapText="1"/>
    </xf>
    <xf numFmtId="0" fontId="0" fillId="9" borderId="6" xfId="0" applyFill="1" applyBorder="1" applyAlignment="1">
      <alignment horizontal="center" vertical="center"/>
    </xf>
    <xf numFmtId="0" fontId="0" fillId="0" borderId="8" xfId="0" applyBorder="1" applyAlignment="1">
      <alignment horizontal="left" vertical="center"/>
    </xf>
    <xf numFmtId="0" fontId="0" fillId="0" borderId="8" xfId="0" applyBorder="1" applyAlignment="1">
      <alignment vertical="center" wrapText="1"/>
    </xf>
    <xf numFmtId="0" fontId="0" fillId="11" borderId="8" xfId="0" applyFill="1" applyBorder="1" applyAlignment="1">
      <alignment vertical="center" wrapText="1"/>
    </xf>
    <xf numFmtId="0" fontId="0" fillId="0" borderId="10" xfId="0" applyBorder="1" applyAlignment="1">
      <alignment horizontal="center" vertical="center" wrapText="1"/>
    </xf>
    <xf numFmtId="0" fontId="0" fillId="11" borderId="10" xfId="0" applyFill="1" applyBorder="1" applyAlignment="1">
      <alignment horizontal="center" vertical="center" wrapText="1"/>
    </xf>
    <xf numFmtId="0" fontId="0" fillId="11" borderId="1" xfId="0" applyFill="1" applyBorder="1" applyAlignment="1">
      <alignment vertical="center"/>
    </xf>
    <xf numFmtId="0" fontId="0" fillId="0" borderId="0" xfId="0" applyAlignment="1">
      <alignment horizontal="left" vertical="center"/>
    </xf>
    <xf numFmtId="0" fontId="0" fillId="0" borderId="0" xfId="0" applyAlignment="1">
      <alignment vertical="center" wrapText="1"/>
    </xf>
    <xf numFmtId="0" fontId="1" fillId="2" borderId="15" xfId="0" applyFont="1" applyFill="1" applyBorder="1" applyAlignment="1">
      <alignment horizontal="center" vertical="center" wrapText="1"/>
    </xf>
    <xf numFmtId="0" fontId="14" fillId="0" borderId="6" xfId="0" applyFont="1" applyBorder="1" applyAlignment="1">
      <alignment vertical="center" wrapText="1" readingOrder="1"/>
    </xf>
    <xf numFmtId="0" fontId="0" fillId="0" borderId="6" xfId="0" applyBorder="1" applyAlignment="1">
      <alignment horizontal="left" vertical="center"/>
    </xf>
    <xf numFmtId="0" fontId="0" fillId="0" borderId="19" xfId="0" applyBorder="1" applyAlignment="1">
      <alignment vertical="center" wrapText="1"/>
    </xf>
    <xf numFmtId="0" fontId="0" fillId="0" borderId="9" xfId="0" applyBorder="1" applyAlignment="1">
      <alignment vertical="center" wrapText="1"/>
    </xf>
    <xf numFmtId="0" fontId="1" fillId="2" borderId="8" xfId="0" applyFont="1" applyFill="1" applyBorder="1" applyAlignment="1">
      <alignment vertical="center" wrapText="1"/>
    </xf>
    <xf numFmtId="0" fontId="0" fillId="0" borderId="20" xfId="0" applyBorder="1" applyAlignment="1">
      <alignment vertical="center" wrapText="1"/>
    </xf>
    <xf numFmtId="16" fontId="0" fillId="0" borderId="1" xfId="0" applyNumberFormat="1" applyBorder="1" applyAlignment="1">
      <alignment vertical="center"/>
    </xf>
    <xf numFmtId="0" fontId="18" fillId="0" borderId="20" xfId="0" applyFont="1" applyBorder="1" applyAlignment="1">
      <alignment horizontal="center" vertical="center" wrapText="1"/>
    </xf>
    <xf numFmtId="16" fontId="0" fillId="0" borderId="20" xfId="0" applyNumberFormat="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0" fillId="7" borderId="4" xfId="0" applyFill="1" applyBorder="1" applyAlignment="1">
      <alignment horizontal="left" vertical="center" wrapText="1"/>
    </xf>
    <xf numFmtId="0" fontId="0" fillId="7" borderId="1" xfId="0" applyFill="1" applyBorder="1" applyAlignment="1">
      <alignment horizontal="left" vertical="center" wrapText="1"/>
    </xf>
    <xf numFmtId="0" fontId="0" fillId="0" borderId="1" xfId="0" applyBorder="1" applyAlignment="1">
      <alignment horizontal="center" vertical="top" wrapText="1"/>
    </xf>
    <xf numFmtId="0" fontId="3" fillId="0" borderId="4" xfId="0" applyFont="1" applyBorder="1" applyAlignment="1">
      <alignment horizontal="center" vertical="center"/>
    </xf>
    <xf numFmtId="0" fontId="3" fillId="0" borderId="1" xfId="0" applyFont="1" applyBorder="1" applyAlignment="1">
      <alignment horizontal="center" vertical="center"/>
    </xf>
    <xf numFmtId="14" fontId="0" fillId="0" borderId="0" xfId="0" applyNumberFormat="1" applyAlignment="1">
      <alignment vertical="center"/>
    </xf>
    <xf numFmtId="0" fontId="1" fillId="5"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4" fillId="0" borderId="0" xfId="0" applyFont="1" applyAlignment="1">
      <alignment horizontal="center" vertical="center"/>
    </xf>
    <xf numFmtId="166" fontId="2" fillId="0" borderId="1" xfId="0" applyNumberFormat="1" applyFont="1" applyBorder="1" applyAlignment="1">
      <alignment vertical="center"/>
    </xf>
    <xf numFmtId="14" fontId="0" fillId="0" borderId="1" xfId="0" applyNumberFormat="1" applyBorder="1" applyAlignment="1">
      <alignment vertical="center"/>
    </xf>
    <xf numFmtId="0" fontId="1" fillId="2" borderId="31" xfId="0" applyFont="1" applyFill="1" applyBorder="1" applyAlignment="1">
      <alignment horizontal="center" vertical="center" wrapText="1"/>
    </xf>
    <xf numFmtId="0" fontId="1" fillId="2" borderId="35" xfId="0" applyFont="1" applyFill="1" applyBorder="1" applyAlignment="1">
      <alignment horizontal="center" vertical="center" wrapText="1"/>
    </xf>
    <xf numFmtId="14" fontId="1" fillId="2" borderId="35" xfId="0" applyNumberFormat="1" applyFont="1" applyFill="1" applyBorder="1" applyAlignment="1">
      <alignment horizontal="center" vertical="center" wrapText="1"/>
    </xf>
    <xf numFmtId="0" fontId="1" fillId="3" borderId="35" xfId="0" applyFont="1" applyFill="1" applyBorder="1" applyAlignment="1">
      <alignment horizontal="center" vertical="center" wrapText="1"/>
    </xf>
    <xf numFmtId="14" fontId="0" fillId="0" borderId="4" xfId="0" applyNumberFormat="1" applyBorder="1" applyAlignment="1">
      <alignment vertical="center"/>
    </xf>
    <xf numFmtId="0" fontId="25" fillId="14" borderId="0" xfId="0" applyFont="1" applyFill="1" applyAlignment="1">
      <alignment vertical="center"/>
    </xf>
    <xf numFmtId="0" fontId="13" fillId="0" borderId="0" xfId="1" applyAlignment="1">
      <alignment vertical="center"/>
    </xf>
    <xf numFmtId="0" fontId="0" fillId="9" borderId="11" xfId="0" applyFill="1" applyBorder="1" applyAlignment="1">
      <alignment vertical="center" wrapText="1"/>
    </xf>
    <xf numFmtId="16" fontId="0" fillId="0" borderId="0" xfId="0" applyNumberFormat="1" applyAlignment="1">
      <alignment vertical="center"/>
    </xf>
    <xf numFmtId="14" fontId="0" fillId="0" borderId="4" xfId="0" applyNumberFormat="1" applyBorder="1" applyAlignment="1">
      <alignment vertical="center" wrapText="1"/>
    </xf>
    <xf numFmtId="0" fontId="0" fillId="9" borderId="4" xfId="0" applyFill="1" applyBorder="1" applyAlignment="1">
      <alignment vertical="center" wrapText="1"/>
    </xf>
    <xf numFmtId="166" fontId="2" fillId="0" borderId="2" xfId="0" applyNumberFormat="1" applyFont="1" applyBorder="1" applyAlignment="1">
      <alignment vertical="center"/>
    </xf>
    <xf numFmtId="0" fontId="0" fillId="9" borderId="8" xfId="0" applyFill="1" applyBorder="1" applyAlignment="1">
      <alignment vertical="center" wrapText="1"/>
    </xf>
    <xf numFmtId="14" fontId="1" fillId="2" borderId="8" xfId="0" applyNumberFormat="1" applyFont="1" applyFill="1" applyBorder="1" applyAlignment="1">
      <alignment horizontal="center" vertical="center" wrapText="1"/>
    </xf>
    <xf numFmtId="0" fontId="1" fillId="3" borderId="8" xfId="0" applyFont="1" applyFill="1" applyBorder="1" applyAlignment="1">
      <alignment horizontal="center" vertical="center" wrapText="1"/>
    </xf>
    <xf numFmtId="14" fontId="0" fillId="0" borderId="8" xfId="0" applyNumberFormat="1" applyBorder="1" applyAlignment="1">
      <alignment vertical="center" wrapText="1"/>
    </xf>
    <xf numFmtId="0" fontId="18" fillId="0" borderId="1" xfId="0" applyFont="1" applyBorder="1" applyAlignment="1">
      <alignment vertical="center" wrapText="1"/>
    </xf>
    <xf numFmtId="0" fontId="25" fillId="14" borderId="1" xfId="0" applyFont="1" applyFill="1" applyBorder="1" applyAlignment="1">
      <alignment horizontal="center" vertical="center" wrapText="1"/>
    </xf>
    <xf numFmtId="0" fontId="13" fillId="0" borderId="1" xfId="1" applyBorder="1" applyAlignment="1">
      <alignment vertical="center" wrapText="1"/>
    </xf>
    <xf numFmtId="14" fontId="0" fillId="0" borderId="1" xfId="0" applyNumberFormat="1" applyBorder="1" applyAlignment="1">
      <alignment vertical="center" wrapText="1"/>
    </xf>
    <xf numFmtId="16" fontId="0" fillId="0" borderId="1" xfId="0" applyNumberFormat="1" applyBorder="1" applyAlignment="1">
      <alignment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6"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5" fillId="9" borderId="1" xfId="0" applyFont="1" applyFill="1" applyBorder="1" applyAlignment="1">
      <alignment horizontal="center" vertical="center" wrapText="1"/>
    </xf>
    <xf numFmtId="0" fontId="3" fillId="16" borderId="4" xfId="0" applyFont="1" applyFill="1" applyBorder="1" applyAlignment="1">
      <alignment horizontal="center" vertical="center"/>
    </xf>
    <xf numFmtId="0" fontId="18" fillId="9" borderId="1" xfId="0" applyFont="1" applyFill="1" applyBorder="1" applyAlignment="1">
      <alignment vertical="center" wrapText="1"/>
    </xf>
    <xf numFmtId="0" fontId="18" fillId="9" borderId="1" xfId="0" applyFont="1" applyFill="1" applyBorder="1" applyAlignment="1">
      <alignment horizontal="center" vertical="center" wrapText="1"/>
    </xf>
    <xf numFmtId="0" fontId="0" fillId="0" borderId="2" xfId="0" applyBorder="1" applyAlignment="1">
      <alignment vertical="center" wrapText="1"/>
    </xf>
    <xf numFmtId="0" fontId="0" fillId="0" borderId="14" xfId="0" applyBorder="1" applyAlignment="1">
      <alignment horizontal="center" vertical="center" wrapText="1"/>
    </xf>
    <xf numFmtId="0" fontId="0" fillId="9" borderId="4" xfId="0" applyFill="1" applyBorder="1" applyAlignment="1">
      <alignment horizontal="center" vertical="center" wrapText="1"/>
    </xf>
    <xf numFmtId="0" fontId="13" fillId="0" borderId="0" xfId="1" applyAlignment="1">
      <alignment vertical="center" wrapText="1"/>
    </xf>
    <xf numFmtId="15" fontId="0" fillId="0" borderId="1" xfId="0" applyNumberFormat="1" applyBorder="1" applyAlignment="1">
      <alignment vertical="center"/>
    </xf>
    <xf numFmtId="14" fontId="0" fillId="0" borderId="8" xfId="0" applyNumberFormat="1" applyBorder="1" applyAlignment="1">
      <alignment vertical="center"/>
    </xf>
    <xf numFmtId="14" fontId="0" fillId="0" borderId="15" xfId="0" applyNumberFormat="1" applyBorder="1" applyAlignment="1">
      <alignment vertical="center"/>
    </xf>
    <xf numFmtId="0" fontId="0" fillId="0" borderId="4" xfId="0" applyBorder="1" applyAlignment="1">
      <alignment horizontal="left" vertical="top" wrapText="1"/>
    </xf>
    <xf numFmtId="14" fontId="0" fillId="0" borderId="6" xfId="0" applyNumberFormat="1" applyBorder="1" applyAlignment="1">
      <alignment vertical="center"/>
    </xf>
    <xf numFmtId="0" fontId="0" fillId="9" borderId="1" xfId="0" applyFill="1" applyBorder="1" applyAlignment="1">
      <alignment horizontal="left" vertical="top" wrapText="1"/>
    </xf>
    <xf numFmtId="0" fontId="0" fillId="7" borderId="1" xfId="0" applyFill="1" applyBorder="1" applyAlignment="1">
      <alignment horizontal="center" vertical="center" wrapText="1"/>
    </xf>
    <xf numFmtId="14" fontId="0" fillId="0" borderId="0" xfId="0" applyNumberFormat="1" applyAlignment="1">
      <alignment vertical="center" wrapText="1"/>
    </xf>
    <xf numFmtId="0" fontId="0" fillId="0" borderId="0" xfId="0" applyAlignment="1">
      <alignment horizontal="center" vertical="center" wrapText="1"/>
    </xf>
    <xf numFmtId="0" fontId="25" fillId="14" borderId="0" xfId="0" applyFont="1" applyFill="1" applyAlignment="1">
      <alignment vertical="center" wrapText="1"/>
    </xf>
    <xf numFmtId="0" fontId="14" fillId="0" borderId="0" xfId="0" applyFont="1" applyAlignment="1">
      <alignment horizontal="center" vertical="center" wrapText="1"/>
    </xf>
    <xf numFmtId="16" fontId="0" fillId="0" borderId="0" xfId="0" applyNumberFormat="1" applyAlignment="1">
      <alignment vertical="center" wrapText="1"/>
    </xf>
    <xf numFmtId="0" fontId="0" fillId="7" borderId="0" xfId="0" applyFill="1" applyAlignment="1">
      <alignment vertical="center" wrapText="1"/>
    </xf>
    <xf numFmtId="0" fontId="0" fillId="9" borderId="0" xfId="0" applyFill="1" applyAlignment="1">
      <alignment horizontal="center" vertical="center" wrapText="1"/>
    </xf>
    <xf numFmtId="0" fontId="1" fillId="2" borderId="6"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13" fillId="7" borderId="1" xfId="1" applyFill="1" applyBorder="1"/>
    <xf numFmtId="0" fontId="3" fillId="7" borderId="1" xfId="0" applyFont="1" applyFill="1" applyBorder="1"/>
    <xf numFmtId="0" fontId="0" fillId="16" borderId="0" xfId="0" applyFill="1" applyAlignment="1">
      <alignment horizontal="center" vertical="center"/>
    </xf>
    <xf numFmtId="0" fontId="25" fillId="14" borderId="0" xfId="0" applyFont="1" applyFill="1" applyAlignment="1">
      <alignment horizontal="center" vertical="center"/>
    </xf>
    <xf numFmtId="14" fontId="0" fillId="0" borderId="0" xfId="0" applyNumberFormat="1" applyAlignment="1">
      <alignment horizontal="center" vertical="center"/>
    </xf>
    <xf numFmtId="0" fontId="14" fillId="0" borderId="0" xfId="0" applyFont="1" applyAlignment="1">
      <alignment horizontal="center"/>
    </xf>
    <xf numFmtId="0" fontId="14" fillId="0" borderId="0" xfId="0" applyFont="1" applyAlignment="1">
      <alignment horizontal="center" vertical="center"/>
    </xf>
    <xf numFmtId="0" fontId="0" fillId="0" borderId="0" xfId="0" applyAlignment="1">
      <alignment horizontal="center"/>
    </xf>
    <xf numFmtId="14" fontId="0" fillId="7" borderId="0" xfId="0" applyNumberFormat="1" applyFill="1" applyAlignment="1">
      <alignment horizontal="center" vertical="center"/>
    </xf>
    <xf numFmtId="0" fontId="1" fillId="2" borderId="36" xfId="0" applyFont="1" applyFill="1" applyBorder="1" applyAlignment="1">
      <alignment horizontal="center" vertical="center" wrapText="1"/>
    </xf>
    <xf numFmtId="0" fontId="25" fillId="16" borderId="0" xfId="0" applyFont="1" applyFill="1" applyAlignment="1">
      <alignment vertical="center"/>
    </xf>
    <xf numFmtId="15" fontId="0" fillId="0" borderId="2" xfId="0" applyNumberFormat="1" applyBorder="1" applyAlignment="1">
      <alignment vertical="center"/>
    </xf>
    <xf numFmtId="0" fontId="0" fillId="9" borderId="2" xfId="0" applyFill="1" applyBorder="1" applyAlignment="1">
      <alignment horizontal="center" vertical="center"/>
    </xf>
    <xf numFmtId="0" fontId="0" fillId="9" borderId="2" xfId="0" applyFill="1" applyBorder="1" applyAlignment="1">
      <alignment vertical="center" wrapText="1"/>
    </xf>
    <xf numFmtId="0" fontId="18" fillId="0" borderId="2" xfId="0" applyFont="1" applyBorder="1" applyAlignment="1">
      <alignment vertical="center" wrapText="1"/>
    </xf>
    <xf numFmtId="0" fontId="0" fillId="7" borderId="0" xfId="0" applyFill="1" applyAlignment="1">
      <alignment vertical="center"/>
    </xf>
    <xf numFmtId="0" fontId="25" fillId="9" borderId="0" xfId="0" applyFont="1" applyFill="1" applyAlignment="1">
      <alignment vertical="center"/>
    </xf>
    <xf numFmtId="0" fontId="1" fillId="2" borderId="1" xfId="0" applyFont="1" applyFill="1" applyBorder="1" applyAlignment="1">
      <alignment vertical="center" wrapText="1"/>
    </xf>
    <xf numFmtId="0" fontId="1" fillId="3" borderId="1" xfId="0" applyFont="1" applyFill="1" applyBorder="1" applyAlignment="1">
      <alignment horizontal="center" vertical="center" wrapText="1"/>
    </xf>
    <xf numFmtId="0" fontId="3" fillId="0" borderId="1" xfId="0" applyFont="1" applyBorder="1" applyAlignment="1">
      <alignment vertical="center"/>
    </xf>
    <xf numFmtId="0" fontId="13" fillId="0" borderId="1" xfId="1" applyBorder="1" applyAlignment="1">
      <alignment horizontal="center" vertical="center"/>
    </xf>
    <xf numFmtId="0" fontId="13" fillId="0" borderId="0" xfId="1" applyAlignment="1">
      <alignment vertical="top" wrapText="1"/>
    </xf>
    <xf numFmtId="0" fontId="3" fillId="0" borderId="5" xfId="0" applyFont="1" applyBorder="1" applyAlignment="1">
      <alignment horizontal="center" vertical="center"/>
    </xf>
    <xf numFmtId="0" fontId="14" fillId="0" borderId="0" xfId="0" applyFont="1" applyAlignment="1">
      <alignment vertical="center" wrapText="1"/>
    </xf>
    <xf numFmtId="0" fontId="25" fillId="16" borderId="0" xfId="0" applyFont="1" applyFill="1" applyAlignment="1">
      <alignment vertical="center" wrapText="1"/>
    </xf>
    <xf numFmtId="0" fontId="14" fillId="0" borderId="0" xfId="0" applyFont="1" applyAlignment="1">
      <alignment wrapText="1"/>
    </xf>
    <xf numFmtId="0" fontId="0" fillId="0" borderId="0" xfId="0" applyAlignment="1">
      <alignment horizontal="right" vertical="center"/>
    </xf>
    <xf numFmtId="0" fontId="0" fillId="13" borderId="0" xfId="0" applyFill="1" applyAlignment="1">
      <alignment vertical="center"/>
    </xf>
    <xf numFmtId="0" fontId="0" fillId="15" borderId="0" xfId="0" applyFill="1" applyAlignment="1">
      <alignment vertical="center"/>
    </xf>
    <xf numFmtId="0" fontId="14" fillId="0" borderId="19" xfId="0" applyFont="1" applyBorder="1" applyAlignment="1">
      <alignment vertical="center" wrapText="1"/>
    </xf>
    <xf numFmtId="0" fontId="14" fillId="0" borderId="1" xfId="0" applyFont="1" applyBorder="1" applyAlignment="1">
      <alignment vertical="center"/>
    </xf>
    <xf numFmtId="0" fontId="14" fillId="0" borderId="0" xfId="0" applyFont="1" applyAlignment="1">
      <alignment horizontal="center" wrapText="1"/>
    </xf>
    <xf numFmtId="0" fontId="13" fillId="0" borderId="1" xfId="1" applyBorder="1" applyAlignment="1">
      <alignment vertical="center"/>
    </xf>
    <xf numFmtId="0" fontId="3" fillId="7" borderId="1" xfId="0" applyFont="1" applyFill="1" applyBorder="1" applyAlignment="1">
      <alignment horizontal="center" vertical="center"/>
    </xf>
    <xf numFmtId="0" fontId="3" fillId="16" borderId="3" xfId="0" applyFont="1" applyFill="1" applyBorder="1" applyAlignment="1">
      <alignment horizontal="center" vertical="center"/>
    </xf>
    <xf numFmtId="0" fontId="25" fillId="9" borderId="0" xfId="0" applyFont="1" applyFill="1" applyAlignment="1">
      <alignment vertical="center" wrapText="1"/>
    </xf>
    <xf numFmtId="0" fontId="28" fillId="17" borderId="0" xfId="0" applyFont="1" applyFill="1" applyAlignment="1">
      <alignment wrapText="1"/>
    </xf>
    <xf numFmtId="14" fontId="0" fillId="7" borderId="0" xfId="0" applyNumberFormat="1" applyFill="1" applyAlignment="1">
      <alignment vertical="center" wrapText="1"/>
    </xf>
    <xf numFmtId="0" fontId="0" fillId="16" borderId="0" xfId="0" applyFill="1" applyAlignment="1">
      <alignment vertical="center" wrapText="1"/>
    </xf>
    <xf numFmtId="14" fontId="1" fillId="2" borderId="36" xfId="0" applyNumberFormat="1" applyFont="1" applyFill="1" applyBorder="1" applyAlignment="1">
      <alignment horizontal="center" vertical="center" wrapText="1"/>
    </xf>
    <xf numFmtId="0" fontId="1" fillId="3" borderId="36" xfId="0" applyFont="1" applyFill="1" applyBorder="1" applyAlignment="1">
      <alignment horizontal="center" vertical="center" wrapText="1"/>
    </xf>
    <xf numFmtId="14" fontId="30" fillId="18" borderId="1" xfId="0" applyNumberFormat="1" applyFont="1" applyFill="1" applyBorder="1" applyAlignment="1">
      <alignment vertical="center" wrapText="1"/>
    </xf>
    <xf numFmtId="14" fontId="30" fillId="18" borderId="36" xfId="0" applyNumberFormat="1" applyFont="1" applyFill="1" applyBorder="1" applyAlignment="1">
      <alignment vertical="center"/>
    </xf>
    <xf numFmtId="0" fontId="2" fillId="19" borderId="37" xfId="0" applyFont="1" applyFill="1" applyBorder="1" applyAlignment="1">
      <alignment vertical="center" wrapText="1"/>
    </xf>
    <xf numFmtId="0" fontId="2" fillId="19" borderId="38" xfId="0" applyFont="1" applyFill="1" applyBorder="1" applyAlignment="1">
      <alignment vertical="center" wrapText="1"/>
    </xf>
    <xf numFmtId="14" fontId="2" fillId="19" borderId="38" xfId="0" applyNumberFormat="1" applyFont="1" applyFill="1" applyBorder="1" applyAlignment="1">
      <alignment vertical="center" wrapText="1"/>
    </xf>
    <xf numFmtId="14" fontId="2" fillId="7" borderId="38" xfId="0" applyNumberFormat="1" applyFont="1" applyFill="1" applyBorder="1" applyAlignment="1">
      <alignment vertical="center" wrapText="1"/>
    </xf>
    <xf numFmtId="0" fontId="13" fillId="19" borderId="38" xfId="1" applyFill="1" applyBorder="1" applyAlignment="1">
      <alignment vertical="center" wrapText="1"/>
    </xf>
    <xf numFmtId="0" fontId="2" fillId="19" borderId="1" xfId="0" applyFont="1" applyFill="1" applyBorder="1" applyAlignment="1">
      <alignment vertical="center" wrapText="1"/>
    </xf>
    <xf numFmtId="0" fontId="2" fillId="19" borderId="39" xfId="0" applyFont="1" applyFill="1" applyBorder="1" applyAlignment="1">
      <alignment vertical="center" wrapText="1"/>
    </xf>
    <xf numFmtId="0" fontId="2" fillId="0" borderId="38" xfId="0" applyFont="1" applyBorder="1" applyAlignment="1">
      <alignment vertical="center" wrapText="1"/>
    </xf>
    <xf numFmtId="14" fontId="2" fillId="0" borderId="38" xfId="0" applyNumberFormat="1" applyFont="1" applyBorder="1" applyAlignment="1">
      <alignment vertical="center" wrapText="1"/>
    </xf>
    <xf numFmtId="0" fontId="29" fillId="0" borderId="0" xfId="0" applyFont="1" applyAlignment="1">
      <alignment horizontal="center" vertical="center"/>
    </xf>
    <xf numFmtId="0" fontId="3" fillId="7" borderId="1" xfId="0" applyFont="1" applyFill="1" applyBorder="1" applyAlignment="1">
      <alignment vertical="center"/>
    </xf>
    <xf numFmtId="0" fontId="0" fillId="7" borderId="1" xfId="0" applyFill="1" applyBorder="1" applyAlignment="1">
      <alignment vertical="center"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xf>
    <xf numFmtId="0" fontId="1" fillId="5" borderId="1" xfId="0" applyFont="1" applyFill="1" applyBorder="1" applyAlignment="1">
      <alignment horizontal="left" vertical="center"/>
    </xf>
    <xf numFmtId="0" fontId="1" fillId="3" borderId="1" xfId="0" applyFont="1" applyFill="1" applyBorder="1" applyAlignment="1">
      <alignment horizontal="left" vertical="center" wrapText="1"/>
    </xf>
    <xf numFmtId="0" fontId="3" fillId="0" borderId="1" xfId="0" applyFont="1" applyBorder="1" applyAlignment="1">
      <alignment horizontal="left" vertical="center"/>
    </xf>
    <xf numFmtId="0" fontId="3" fillId="7" borderId="1" xfId="0" applyFont="1" applyFill="1" applyBorder="1" applyAlignment="1">
      <alignment horizontal="left" vertical="center"/>
    </xf>
    <xf numFmtId="0" fontId="13" fillId="0" borderId="1" xfId="1" applyBorder="1" applyAlignment="1">
      <alignment horizontal="left" vertical="center"/>
    </xf>
    <xf numFmtId="0" fontId="0" fillId="0" borderId="0" xfId="0" applyAlignment="1">
      <alignment horizontal="left" vertical="center" wrapText="1"/>
    </xf>
    <xf numFmtId="14" fontId="2" fillId="9" borderId="38" xfId="0" applyNumberFormat="1" applyFont="1" applyFill="1" applyBorder="1" applyAlignment="1">
      <alignment vertical="center" wrapText="1"/>
    </xf>
    <xf numFmtId="0" fontId="0" fillId="9" borderId="0" xfId="0" applyFill="1"/>
    <xf numFmtId="0" fontId="0" fillId="7" borderId="1" xfId="0" applyFill="1" applyBorder="1" applyAlignment="1">
      <alignment vertical="top" wrapText="1"/>
    </xf>
    <xf numFmtId="0" fontId="2" fillId="0" borderId="1" xfId="0" applyFont="1" applyBorder="1" applyAlignment="1">
      <alignment vertical="top"/>
    </xf>
    <xf numFmtId="0" fontId="14" fillId="0" borderId="1" xfId="0" applyFont="1" applyBorder="1" applyAlignment="1">
      <alignment vertical="top"/>
    </xf>
    <xf numFmtId="15" fontId="0" fillId="0" borderId="1" xfId="0" applyNumberFormat="1" applyBorder="1" applyAlignment="1">
      <alignment vertical="top"/>
    </xf>
    <xf numFmtId="0" fontId="0" fillId="9" borderId="1" xfId="0" applyFill="1" applyBorder="1" applyAlignment="1">
      <alignment horizontal="center" vertical="top"/>
    </xf>
    <xf numFmtId="0" fontId="0" fillId="0" borderId="1" xfId="0" applyBorder="1" applyAlignment="1">
      <alignment horizontal="center" vertical="top"/>
    </xf>
    <xf numFmtId="0" fontId="0" fillId="9" borderId="1" xfId="0" applyFill="1" applyBorder="1" applyAlignment="1">
      <alignment vertical="top" wrapText="1"/>
    </xf>
    <xf numFmtId="0" fontId="0" fillId="0" borderId="0" xfId="0" applyAlignment="1">
      <alignment vertical="top"/>
    </xf>
    <xf numFmtId="0" fontId="2" fillId="0" borderId="0" xfId="0" applyFont="1" applyAlignment="1">
      <alignment vertical="center" wrapText="1"/>
    </xf>
    <xf numFmtId="14" fontId="2" fillId="0" borderId="0" xfId="0" applyNumberFormat="1" applyFont="1" applyAlignment="1">
      <alignment vertical="center" wrapText="1"/>
    </xf>
    <xf numFmtId="0" fontId="2" fillId="19" borderId="0" xfId="0" applyFont="1" applyFill="1" applyAlignment="1">
      <alignment vertical="center" wrapText="1"/>
    </xf>
    <xf numFmtId="0" fontId="32" fillId="9" borderId="3" xfId="0" applyFont="1" applyFill="1" applyBorder="1" applyAlignment="1">
      <alignment horizontal="left" vertical="center"/>
    </xf>
    <xf numFmtId="14" fontId="1" fillId="2" borderId="2"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14" fontId="30" fillId="18" borderId="2" xfId="0" applyNumberFormat="1" applyFont="1" applyFill="1" applyBorder="1" applyAlignment="1">
      <alignment vertical="center" wrapText="1"/>
    </xf>
    <xf numFmtId="14" fontId="30" fillId="18" borderId="2" xfId="0" applyNumberFormat="1" applyFont="1" applyFill="1" applyBorder="1" applyAlignment="1">
      <alignment vertical="center"/>
    </xf>
    <xf numFmtId="0" fontId="2" fillId="19" borderId="38" xfId="0" applyFont="1" applyFill="1" applyBorder="1" applyAlignment="1">
      <alignment horizontal="center" vertical="center" wrapText="1"/>
    </xf>
    <xf numFmtId="0" fontId="31" fillId="19" borderId="38" xfId="0" applyFont="1" applyFill="1" applyBorder="1" applyAlignment="1">
      <alignment horizontal="center" vertical="center"/>
    </xf>
    <xf numFmtId="0" fontId="31" fillId="0" borderId="38" xfId="0" applyFont="1" applyBorder="1" applyAlignment="1">
      <alignment horizontal="center" vertical="center"/>
    </xf>
    <xf numFmtId="0" fontId="25" fillId="16" borderId="38" xfId="0" applyFont="1" applyFill="1" applyBorder="1" applyAlignment="1">
      <alignment horizontal="center" vertical="center" wrapText="1"/>
    </xf>
    <xf numFmtId="0" fontId="25" fillId="16" borderId="0" xfId="0" applyFont="1" applyFill="1" applyAlignment="1">
      <alignment horizontal="center" vertical="center" wrapText="1"/>
    </xf>
    <xf numFmtId="0" fontId="2" fillId="19" borderId="37" xfId="0" applyFont="1" applyFill="1" applyBorder="1" applyAlignment="1">
      <alignment horizontal="left" vertical="top" wrapText="1"/>
    </xf>
    <xf numFmtId="0" fontId="2" fillId="19" borderId="38" xfId="0" applyFont="1" applyFill="1" applyBorder="1" applyAlignment="1">
      <alignment horizontal="left" vertical="top" wrapText="1"/>
    </xf>
    <xf numFmtId="14" fontId="2" fillId="19" borderId="38" xfId="0" applyNumberFormat="1" applyFont="1" applyFill="1" applyBorder="1" applyAlignment="1">
      <alignment horizontal="left" vertical="top" wrapText="1"/>
    </xf>
    <xf numFmtId="0" fontId="2" fillId="9" borderId="5" xfId="0" applyFont="1" applyFill="1" applyBorder="1" applyAlignment="1">
      <alignment horizontal="left" vertical="top" wrapText="1"/>
    </xf>
    <xf numFmtId="0" fontId="13" fillId="9" borderId="1" xfId="1" applyFill="1" applyBorder="1" applyAlignment="1">
      <alignment horizontal="left" vertical="top" wrapText="1"/>
    </xf>
    <xf numFmtId="14" fontId="2" fillId="9" borderId="1" xfId="0" applyNumberFormat="1" applyFont="1" applyFill="1" applyBorder="1" applyAlignment="1">
      <alignment horizontal="left" vertical="top" wrapText="1"/>
    </xf>
    <xf numFmtId="0" fontId="0" fillId="9" borderId="1" xfId="0" applyFill="1" applyBorder="1" applyAlignment="1">
      <alignment horizontal="left" vertical="top"/>
    </xf>
    <xf numFmtId="14" fontId="2" fillId="0" borderId="38" xfId="0" applyNumberFormat="1" applyFont="1" applyBorder="1" applyAlignment="1">
      <alignment horizontal="left" vertical="top" wrapText="1"/>
    </xf>
    <xf numFmtId="0" fontId="2" fillId="0" borderId="38" xfId="0" applyFont="1" applyBorder="1" applyAlignment="1">
      <alignment horizontal="left" vertical="top" wrapText="1"/>
    </xf>
    <xf numFmtId="0" fontId="2" fillId="16" borderId="1" xfId="0" applyFont="1" applyFill="1" applyBorder="1" applyAlignment="1">
      <alignment horizontal="left" vertical="top" wrapText="1"/>
    </xf>
    <xf numFmtId="0" fontId="2" fillId="16" borderId="38" xfId="0" applyFont="1" applyFill="1" applyBorder="1" applyAlignment="1">
      <alignment horizontal="left" vertical="top" wrapText="1"/>
    </xf>
    <xf numFmtId="14" fontId="2" fillId="0" borderId="38" xfId="0" applyNumberFormat="1" applyFont="1" applyBorder="1" applyAlignment="1">
      <alignment horizontal="left" wrapText="1"/>
    </xf>
    <xf numFmtId="0" fontId="2" fillId="0" borderId="38" xfId="0" applyFont="1" applyBorder="1" applyAlignment="1">
      <alignment horizontal="left" wrapText="1"/>
    </xf>
    <xf numFmtId="0" fontId="2" fillId="9" borderId="5" xfId="0" applyFont="1" applyFill="1" applyBorder="1" applyAlignment="1">
      <alignment horizontal="left" wrapText="1"/>
    </xf>
    <xf numFmtId="0" fontId="2" fillId="9" borderId="1" xfId="0" applyFont="1" applyFill="1" applyBorder="1" applyAlignment="1">
      <alignment horizontal="left" wrapText="1"/>
    </xf>
    <xf numFmtId="0" fontId="2" fillId="20" borderId="1" xfId="0" applyFont="1" applyFill="1" applyBorder="1" applyAlignment="1">
      <alignment horizontal="left" wrapText="1"/>
    </xf>
    <xf numFmtId="0" fontId="2" fillId="19" borderId="38" xfId="0" applyFont="1" applyFill="1" applyBorder="1" applyAlignment="1">
      <alignment horizontal="left" wrapText="1"/>
    </xf>
    <xf numFmtId="14" fontId="2" fillId="19" borderId="38" xfId="0" applyNumberFormat="1" applyFont="1" applyFill="1" applyBorder="1" applyAlignment="1">
      <alignment horizontal="left" wrapText="1"/>
    </xf>
    <xf numFmtId="0" fontId="14" fillId="0" borderId="0" xfId="0" applyFont="1" applyAlignment="1">
      <alignment horizontal="left"/>
    </xf>
    <xf numFmtId="0" fontId="13" fillId="9" borderId="1" xfId="1" applyFill="1" applyBorder="1" applyAlignment="1">
      <alignment horizontal="left" wrapText="1"/>
    </xf>
    <xf numFmtId="0" fontId="2" fillId="16" borderId="1" xfId="0" applyFont="1" applyFill="1" applyBorder="1" applyAlignment="1">
      <alignment horizontal="left" wrapText="1"/>
    </xf>
    <xf numFmtId="0" fontId="3" fillId="16" borderId="3" xfId="0" applyFont="1" applyFill="1" applyBorder="1" applyAlignment="1">
      <alignment horizontal="left" vertical="center"/>
    </xf>
    <xf numFmtId="0" fontId="0" fillId="9" borderId="4" xfId="0" applyFill="1" applyBorder="1" applyAlignment="1">
      <alignment horizontal="left" vertical="top"/>
    </xf>
    <xf numFmtId="0" fontId="0" fillId="9" borderId="6" xfId="0" applyFill="1" applyBorder="1" applyAlignment="1">
      <alignment horizontal="left" vertical="top"/>
    </xf>
    <xf numFmtId="0" fontId="0" fillId="9" borderId="2" xfId="0" applyFill="1" applyBorder="1" applyAlignment="1">
      <alignment horizontal="left" vertical="top" wrapText="1"/>
    </xf>
    <xf numFmtId="0" fontId="0" fillId="9" borderId="2" xfId="0" applyFill="1" applyBorder="1" applyAlignment="1">
      <alignment horizontal="left" vertical="top"/>
    </xf>
    <xf numFmtId="0" fontId="0" fillId="9" borderId="4" xfId="0" applyFill="1" applyBorder="1" applyAlignment="1">
      <alignment horizontal="left" vertical="top" wrapText="1"/>
    </xf>
    <xf numFmtId="0" fontId="3" fillId="16" borderId="3" xfId="0" applyFont="1" applyFill="1" applyBorder="1" applyAlignment="1">
      <alignment horizontal="left"/>
    </xf>
    <xf numFmtId="0" fontId="14" fillId="9" borderId="1" xfId="0" applyFont="1" applyFill="1" applyBorder="1" applyAlignment="1">
      <alignment horizontal="left" vertical="top"/>
    </xf>
    <xf numFmtId="0" fontId="1" fillId="2" borderId="6"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3" fillId="0" borderId="0" xfId="0" applyFont="1" applyAlignment="1">
      <alignment horizontal="left" vertical="top"/>
    </xf>
    <xf numFmtId="0" fontId="13" fillId="0" borderId="1" xfId="1" applyBorder="1" applyAlignment="1">
      <alignment horizontal="left" vertical="top"/>
    </xf>
    <xf numFmtId="0" fontId="13" fillId="7" borderId="1" xfId="1" applyFill="1" applyBorder="1" applyAlignment="1">
      <alignment horizontal="left" vertical="top"/>
    </xf>
    <xf numFmtId="0" fontId="3" fillId="7" borderId="1" xfId="0" applyFont="1" applyFill="1" applyBorder="1" applyAlignment="1">
      <alignment horizontal="left" vertical="top"/>
    </xf>
    <xf numFmtId="0" fontId="3" fillId="0" borderId="4" xfId="0" applyFont="1" applyBorder="1" applyAlignment="1">
      <alignment horizontal="left" vertical="top"/>
    </xf>
    <xf numFmtId="0" fontId="33" fillId="0" borderId="0" xfId="0" applyFont="1" applyAlignment="1">
      <alignment horizontal="left" vertical="top" wrapText="1"/>
    </xf>
    <xf numFmtId="0" fontId="32" fillId="9" borderId="3" xfId="0" applyFont="1" applyFill="1" applyBorder="1" applyAlignment="1">
      <alignment horizontal="left" vertical="top"/>
    </xf>
    <xf numFmtId="14" fontId="1" fillId="2" borderId="2" xfId="0" applyNumberFormat="1" applyFont="1" applyFill="1" applyBorder="1" applyAlignment="1">
      <alignment horizontal="left" vertical="center" wrapText="1"/>
    </xf>
    <xf numFmtId="0" fontId="1" fillId="3" borderId="2" xfId="0" applyFont="1" applyFill="1" applyBorder="1" applyAlignment="1">
      <alignment horizontal="left" vertical="center" wrapText="1"/>
    </xf>
    <xf numFmtId="14" fontId="30" fillId="18" borderId="2" xfId="0" applyNumberFormat="1" applyFont="1" applyFill="1" applyBorder="1" applyAlignment="1">
      <alignment horizontal="left" vertical="center" wrapText="1"/>
    </xf>
    <xf numFmtId="14" fontId="30" fillId="18" borderId="2" xfId="0" applyNumberFormat="1" applyFont="1" applyFill="1" applyBorder="1" applyAlignment="1">
      <alignment horizontal="left" vertical="center"/>
    </xf>
    <xf numFmtId="14" fontId="2" fillId="9" borderId="6" xfId="0" applyNumberFormat="1" applyFont="1" applyFill="1" applyBorder="1" applyAlignment="1">
      <alignment horizontal="left" vertical="top" wrapText="1"/>
    </xf>
    <xf numFmtId="0" fontId="2" fillId="16" borderId="0" xfId="0" applyFont="1" applyFill="1" applyAlignment="1">
      <alignment horizontal="left" vertical="top" wrapText="1"/>
    </xf>
    <xf numFmtId="0" fontId="0" fillId="9" borderId="0" xfId="0" applyFill="1" applyAlignment="1">
      <alignment horizontal="left" vertical="top"/>
    </xf>
    <xf numFmtId="0" fontId="14" fillId="9" borderId="1" xfId="0" applyFont="1" applyFill="1" applyBorder="1" applyAlignment="1">
      <alignment horizontal="left" vertical="top" wrapText="1"/>
    </xf>
    <xf numFmtId="0" fontId="3" fillId="0" borderId="13" xfId="0" applyFont="1" applyBorder="1" applyAlignment="1">
      <alignment horizontal="left"/>
    </xf>
    <xf numFmtId="0" fontId="3" fillId="0" borderId="6" xfId="0" applyFont="1" applyBorder="1"/>
    <xf numFmtId="0" fontId="33" fillId="0" borderId="1" xfId="0" applyFont="1" applyBorder="1" applyAlignment="1">
      <alignment horizontal="left" vertical="top" wrapText="1"/>
    </xf>
    <xf numFmtId="0" fontId="1" fillId="3" borderId="2" xfId="0" applyFont="1" applyFill="1" applyBorder="1" applyAlignment="1">
      <alignment horizontal="left" vertical="top" wrapText="1"/>
    </xf>
    <xf numFmtId="0" fontId="2" fillId="21" borderId="1" xfId="0" applyFont="1" applyFill="1" applyBorder="1" applyAlignment="1">
      <alignment horizontal="left" vertical="top" wrapText="1"/>
    </xf>
    <xf numFmtId="0" fontId="3" fillId="9" borderId="3" xfId="0" applyFont="1" applyFill="1" applyBorder="1" applyAlignment="1">
      <alignment horizontal="left" vertical="top"/>
    </xf>
    <xf numFmtId="14" fontId="0" fillId="9" borderId="1" xfId="0" applyNumberFormat="1" applyFill="1" applyBorder="1" applyAlignment="1">
      <alignment horizontal="left" vertical="top" wrapText="1"/>
    </xf>
    <xf numFmtId="14" fontId="2" fillId="9" borderId="1" xfId="0" applyNumberFormat="1" applyFont="1" applyFill="1" applyBorder="1" applyAlignment="1">
      <alignment horizontal="left" wrapText="1"/>
    </xf>
    <xf numFmtId="14" fontId="2" fillId="9" borderId="6" xfId="0" applyNumberFormat="1" applyFont="1" applyFill="1" applyBorder="1" applyAlignment="1">
      <alignment horizontal="left" wrapText="1"/>
    </xf>
    <xf numFmtId="0" fontId="0" fillId="9" borderId="4" xfId="0" applyFill="1" applyBorder="1" applyAlignment="1">
      <alignment horizontal="left" wrapText="1"/>
    </xf>
    <xf numFmtId="0" fontId="0" fillId="0" borderId="13" xfId="0" applyBorder="1" applyAlignment="1">
      <alignment horizontal="left" vertical="top" wrapText="1"/>
    </xf>
    <xf numFmtId="0" fontId="0" fillId="0" borderId="11" xfId="0" applyBorder="1" applyAlignment="1">
      <alignment horizontal="left" vertical="top" wrapText="1"/>
    </xf>
    <xf numFmtId="0" fontId="2" fillId="9" borderId="2" xfId="0" applyFont="1" applyFill="1" applyBorder="1" applyAlignment="1">
      <alignment horizontal="left" vertical="top" wrapText="1"/>
    </xf>
    <xf numFmtId="14" fontId="2" fillId="9" borderId="2" xfId="0" applyNumberFormat="1" applyFont="1" applyFill="1" applyBorder="1" applyAlignment="1">
      <alignment horizontal="left" vertical="top" wrapText="1"/>
    </xf>
    <xf numFmtId="14" fontId="2" fillId="9" borderId="14" xfId="0" applyNumberFormat="1" applyFont="1" applyFill="1" applyBorder="1" applyAlignment="1">
      <alignment horizontal="left" vertical="top" wrapText="1"/>
    </xf>
    <xf numFmtId="0" fontId="13" fillId="0" borderId="1" xfId="1" applyBorder="1" applyAlignment="1">
      <alignment vertical="top" wrapText="1"/>
    </xf>
    <xf numFmtId="0" fontId="13" fillId="7" borderId="1" xfId="1" applyFill="1" applyBorder="1" applyAlignment="1">
      <alignment vertical="top"/>
    </xf>
    <xf numFmtId="0" fontId="3" fillId="7" borderId="1" xfId="0" applyFont="1" applyFill="1" applyBorder="1" applyAlignment="1">
      <alignment vertical="top"/>
    </xf>
    <xf numFmtId="0" fontId="1" fillId="2" borderId="14"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5" borderId="2" xfId="0" applyFont="1" applyFill="1" applyBorder="1" applyAlignment="1">
      <alignment horizontal="left" vertical="top" wrapText="1"/>
    </xf>
    <xf numFmtId="0" fontId="7" fillId="22" borderId="1" xfId="0" applyFont="1" applyFill="1" applyBorder="1" applyAlignment="1">
      <alignment horizontal="left" vertical="top"/>
    </xf>
    <xf numFmtId="0" fontId="2" fillId="16" borderId="2" xfId="0" applyFont="1" applyFill="1" applyBorder="1" applyAlignment="1">
      <alignment horizontal="left" vertical="top" wrapText="1"/>
    </xf>
    <xf numFmtId="0" fontId="7" fillId="9" borderId="1" xfId="0" applyFont="1" applyFill="1" applyBorder="1" applyAlignment="1">
      <alignment horizontal="left" vertical="top"/>
    </xf>
    <xf numFmtId="0" fontId="3" fillId="9" borderId="1" xfId="0" applyFont="1" applyFill="1" applyBorder="1" applyAlignment="1">
      <alignment horizontal="left" vertical="top"/>
    </xf>
    <xf numFmtId="0" fontId="34" fillId="0" borderId="0" xfId="0" applyFont="1" applyAlignment="1">
      <alignment wrapText="1"/>
    </xf>
    <xf numFmtId="0" fontId="0" fillId="0" borderId="10" xfId="0" applyBorder="1"/>
    <xf numFmtId="0" fontId="0" fillId="0" borderId="5" xfId="0" applyBorder="1"/>
    <xf numFmtId="14" fontId="0" fillId="0" borderId="2" xfId="0" applyNumberFormat="1" applyBorder="1" applyAlignment="1">
      <alignment horizontal="left" vertical="top" wrapText="1"/>
    </xf>
    <xf numFmtId="0" fontId="2" fillId="9" borderId="0" xfId="0" applyFont="1" applyFill="1" applyAlignment="1">
      <alignment horizontal="left" vertical="top" wrapText="1"/>
    </xf>
    <xf numFmtId="0" fontId="14" fillId="0" borderId="1" xfId="0" applyFont="1" applyBorder="1" applyAlignment="1">
      <alignment wrapText="1"/>
    </xf>
    <xf numFmtId="14" fontId="0" fillId="9" borderId="1" xfId="0" applyNumberFormat="1" applyFill="1" applyBorder="1" applyAlignment="1">
      <alignment horizontal="left" wrapText="1"/>
    </xf>
    <xf numFmtId="14" fontId="0" fillId="0" borderId="1" xfId="0" applyNumberFormat="1" applyBorder="1" applyAlignment="1">
      <alignment horizontal="left" wrapText="1"/>
    </xf>
    <xf numFmtId="0" fontId="13" fillId="0" borderId="1" xfId="1" applyBorder="1" applyAlignment="1">
      <alignment horizontal="left"/>
    </xf>
    <xf numFmtId="14" fontId="0" fillId="0" borderId="1" xfId="0" applyNumberFormat="1" applyBorder="1" applyAlignment="1">
      <alignment horizontal="left"/>
    </xf>
    <xf numFmtId="0" fontId="2" fillId="9" borderId="10" xfId="0" applyFont="1" applyFill="1" applyBorder="1" applyAlignment="1">
      <alignment horizontal="left" wrapText="1"/>
    </xf>
    <xf numFmtId="14" fontId="0" fillId="0" borderId="2" xfId="0" applyNumberFormat="1" applyBorder="1" applyAlignment="1">
      <alignment horizontal="left" wrapText="1"/>
    </xf>
    <xf numFmtId="0" fontId="2" fillId="9" borderId="2" xfId="0" applyFont="1" applyFill="1" applyBorder="1" applyAlignment="1">
      <alignment horizontal="left" wrapText="1"/>
    </xf>
    <xf numFmtId="0" fontId="0" fillId="0" borderId="0" xfId="0" applyAlignment="1">
      <alignment horizontal="right"/>
    </xf>
    <xf numFmtId="0" fontId="13" fillId="0" borderId="2" xfId="1" applyBorder="1" applyAlignment="1">
      <alignment horizontal="left" vertical="top"/>
    </xf>
    <xf numFmtId="14" fontId="0" fillId="0" borderId="2" xfId="0" applyNumberFormat="1" applyBorder="1" applyAlignment="1">
      <alignment horizontal="left" vertical="top"/>
    </xf>
    <xf numFmtId="0" fontId="0" fillId="0" borderId="10" xfId="0" applyBorder="1" applyAlignment="1">
      <alignment horizontal="left" vertical="top"/>
    </xf>
    <xf numFmtId="0" fontId="0" fillId="0" borderId="14" xfId="0" applyBorder="1" applyAlignment="1">
      <alignment horizontal="left" vertical="top"/>
    </xf>
    <xf numFmtId="0" fontId="0" fillId="0" borderId="2" xfId="0" applyBorder="1" applyAlignment="1">
      <alignment horizontal="right"/>
    </xf>
    <xf numFmtId="0" fontId="13" fillId="0" borderId="2" xfId="1" applyBorder="1" applyAlignment="1">
      <alignment horizontal="left" wrapText="1"/>
    </xf>
    <xf numFmtId="0" fontId="13" fillId="0" borderId="2" xfId="1" applyBorder="1"/>
    <xf numFmtId="0" fontId="0" fillId="0" borderId="1" xfId="0" applyBorder="1" applyAlignment="1">
      <alignment horizontal="right" indent="1"/>
    </xf>
    <xf numFmtId="0" fontId="0" fillId="0" borderId="1" xfId="0" applyBorder="1" applyAlignment="1">
      <alignment horizontal="right"/>
    </xf>
    <xf numFmtId="0" fontId="3" fillId="7" borderId="5" xfId="0" applyFont="1" applyFill="1" applyBorder="1"/>
    <xf numFmtId="0" fontId="3" fillId="7" borderId="5"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7" borderId="5" xfId="0" applyFont="1" applyFill="1" applyBorder="1" applyAlignment="1">
      <alignment horizontal="left" vertical="top"/>
    </xf>
    <xf numFmtId="0" fontId="35" fillId="9" borderId="1" xfId="0" applyFont="1" applyFill="1" applyBorder="1" applyAlignment="1">
      <alignment wrapText="1"/>
    </xf>
    <xf numFmtId="0" fontId="35" fillId="0" borderId="1" xfId="0" applyFont="1" applyBorder="1" applyAlignment="1">
      <alignment wrapText="1"/>
    </xf>
    <xf numFmtId="0" fontId="2" fillId="9" borderId="4" xfId="0" applyFont="1" applyFill="1" applyBorder="1" applyAlignment="1">
      <alignment horizontal="left" wrapText="1"/>
    </xf>
    <xf numFmtId="14" fontId="0" fillId="0" borderId="4" xfId="0" applyNumberFormat="1" applyBorder="1" applyAlignment="1">
      <alignment horizontal="left" wrapText="1"/>
    </xf>
    <xf numFmtId="0" fontId="0" fillId="0" borderId="4" xfId="0" applyBorder="1" applyAlignment="1">
      <alignment horizontal="left" wrapText="1"/>
    </xf>
    <xf numFmtId="0" fontId="0" fillId="0" borderId="4" xfId="0" applyBorder="1" applyAlignment="1">
      <alignment wrapText="1"/>
    </xf>
    <xf numFmtId="0" fontId="0" fillId="0" borderId="2" xfId="0" applyBorder="1" applyAlignment="1">
      <alignment vertical="top" wrapText="1"/>
    </xf>
    <xf numFmtId="0" fontId="0" fillId="7" borderId="2" xfId="0" applyFill="1" applyBorder="1" applyAlignment="1">
      <alignment vertical="top" wrapText="1"/>
    </xf>
    <xf numFmtId="0" fontId="0" fillId="9" borderId="2" xfId="0" applyFill="1" applyBorder="1" applyAlignment="1">
      <alignment vertical="top" wrapText="1"/>
    </xf>
    <xf numFmtId="0" fontId="0" fillId="0" borderId="2" xfId="0" applyBorder="1" applyAlignment="1">
      <alignment vertical="top"/>
    </xf>
    <xf numFmtId="0" fontId="1" fillId="2" borderId="14" xfId="0" applyFont="1" applyFill="1" applyBorder="1" applyAlignment="1">
      <alignment horizontal="center" vertical="center" wrapText="1"/>
    </xf>
    <xf numFmtId="0" fontId="3" fillId="0" borderId="0" xfId="0" applyFont="1" applyAlignment="1">
      <alignment vertical="center"/>
    </xf>
    <xf numFmtId="0" fontId="3" fillId="0" borderId="7" xfId="0" applyFont="1" applyBorder="1" applyAlignment="1">
      <alignment horizontal="left" vertical="top" wrapText="1"/>
    </xf>
    <xf numFmtId="0" fontId="13" fillId="0" borderId="4" xfId="1" applyBorder="1" applyAlignment="1">
      <alignment horizontal="left" vertical="top"/>
    </xf>
    <xf numFmtId="0" fontId="13" fillId="7" borderId="4" xfId="1" applyFill="1" applyBorder="1" applyAlignment="1">
      <alignment horizontal="left" vertical="top"/>
    </xf>
    <xf numFmtId="0" fontId="13" fillId="7" borderId="1" xfId="1" applyFill="1" applyBorder="1" applyAlignment="1">
      <alignment horizontal="left"/>
    </xf>
    <xf numFmtId="0" fontId="3" fillId="7" borderId="1" xfId="0" applyFont="1" applyFill="1" applyBorder="1" applyAlignment="1">
      <alignment horizontal="left"/>
    </xf>
    <xf numFmtId="0" fontId="34" fillId="0" borderId="1" xfId="0" applyFont="1" applyBorder="1" applyAlignment="1">
      <alignment wrapText="1"/>
    </xf>
    <xf numFmtId="0" fontId="3" fillId="0" borderId="12" xfId="0" applyFont="1" applyBorder="1" applyAlignment="1">
      <alignment horizontal="left" vertical="top" wrapText="1"/>
    </xf>
    <xf numFmtId="0" fontId="13" fillId="7" borderId="2" xfId="1" applyFill="1" applyBorder="1" applyAlignment="1">
      <alignment horizontal="left" vertical="top"/>
    </xf>
    <xf numFmtId="0" fontId="3" fillId="7" borderId="2" xfId="0" applyFont="1" applyFill="1" applyBorder="1" applyAlignment="1">
      <alignment horizontal="left" vertical="top"/>
    </xf>
    <xf numFmtId="0" fontId="3" fillId="0" borderId="2" xfId="0" applyFont="1" applyBorder="1" applyAlignment="1">
      <alignment horizontal="left" vertical="top" wrapText="1"/>
    </xf>
    <xf numFmtId="0" fontId="3" fillId="7" borderId="4" xfId="0" applyFont="1" applyFill="1" applyBorder="1" applyAlignment="1">
      <alignment horizontal="left" vertical="top"/>
    </xf>
    <xf numFmtId="0" fontId="2" fillId="0" borderId="2" xfId="0" applyFont="1" applyBorder="1" applyAlignment="1">
      <alignment vertical="top"/>
    </xf>
    <xf numFmtId="0" fontId="14" fillId="0" borderId="2" xfId="0" applyFont="1" applyBorder="1" applyAlignment="1">
      <alignment vertical="top"/>
    </xf>
    <xf numFmtId="15" fontId="0" fillId="0" borderId="2" xfId="0" applyNumberFormat="1" applyBorder="1" applyAlignment="1">
      <alignment vertical="top"/>
    </xf>
    <xf numFmtId="0" fontId="0" fillId="9" borderId="2" xfId="0" applyFill="1" applyBorder="1" applyAlignment="1">
      <alignment horizontal="center" vertical="top"/>
    </xf>
    <xf numFmtId="0" fontId="0" fillId="0" borderId="2" xfId="0" applyBorder="1" applyAlignment="1">
      <alignment horizontal="center" vertical="top"/>
    </xf>
    <xf numFmtId="0" fontId="34" fillId="0" borderId="1" xfId="0" applyFont="1" applyBorder="1" applyAlignment="1">
      <alignment vertical="top" wrapText="1"/>
    </xf>
    <xf numFmtId="0" fontId="1" fillId="5" borderId="2" xfId="0" applyFont="1" applyFill="1" applyBorder="1" applyAlignment="1">
      <alignment horizontal="center" vertical="center" wrapText="1"/>
    </xf>
    <xf numFmtId="0" fontId="0" fillId="0" borderId="4" xfId="0" applyBorder="1" applyAlignment="1">
      <alignment vertical="center"/>
    </xf>
    <xf numFmtId="0" fontId="0" fillId="0" borderId="1" xfId="0" quotePrefix="1" applyBorder="1"/>
    <xf numFmtId="0" fontId="0" fillId="0" borderId="1" xfId="0" quotePrefix="1" applyBorder="1" applyAlignment="1">
      <alignment horizontal="left" vertical="top"/>
    </xf>
    <xf numFmtId="0" fontId="34" fillId="0" borderId="1" xfId="0" applyFont="1" applyBorder="1" applyAlignment="1">
      <alignment horizontal="left" vertical="top" wrapText="1"/>
    </xf>
    <xf numFmtId="0" fontId="0" fillId="0" borderId="0" xfId="0" applyAlignment="1">
      <alignment vertical="top" wrapText="1"/>
    </xf>
    <xf numFmtId="14" fontId="30" fillId="18" borderId="2" xfId="0" applyNumberFormat="1" applyFont="1" applyFill="1" applyBorder="1" applyAlignment="1">
      <alignment horizontal="center" vertical="center" wrapText="1"/>
    </xf>
    <xf numFmtId="0" fontId="20" fillId="0" borderId="1" xfId="0" applyFont="1" applyBorder="1"/>
    <xf numFmtId="0" fontId="2" fillId="9" borderId="8" xfId="0" applyFont="1" applyFill="1" applyBorder="1" applyAlignment="1">
      <alignment horizontal="left" wrapText="1"/>
    </xf>
    <xf numFmtId="15" fontId="0" fillId="0" borderId="8" xfId="0" applyNumberFormat="1" applyBorder="1" applyAlignment="1">
      <alignment vertical="top"/>
    </xf>
    <xf numFmtId="0" fontId="0" fillId="0" borderId="15" xfId="0" applyBorder="1"/>
    <xf numFmtId="0" fontId="14" fillId="0" borderId="8" xfId="0" applyFont="1" applyBorder="1"/>
    <xf numFmtId="0" fontId="0" fillId="0" borderId="9" xfId="0" applyBorder="1" applyAlignment="1">
      <alignment wrapText="1"/>
    </xf>
    <xf numFmtId="0" fontId="13" fillId="0" borderId="8" xfId="1" applyBorder="1" applyAlignment="1">
      <alignment wrapText="1"/>
    </xf>
    <xf numFmtId="0" fontId="0" fillId="0" borderId="14" xfId="0" applyBorder="1" applyAlignment="1">
      <alignment wrapText="1"/>
    </xf>
    <xf numFmtId="0" fontId="0" fillId="0" borderId="6" xfId="0" applyBorder="1"/>
    <xf numFmtId="0" fontId="18" fillId="0" borderId="6" xfId="0" applyFont="1" applyBorder="1" applyAlignment="1">
      <alignment wrapText="1"/>
    </xf>
    <xf numFmtId="0" fontId="0" fillId="0" borderId="15" xfId="0" applyBorder="1" applyAlignment="1">
      <alignment wrapText="1"/>
    </xf>
    <xf numFmtId="0" fontId="0" fillId="0" borderId="9" xfId="0" applyBorder="1"/>
    <xf numFmtId="15" fontId="0" fillId="0" borderId="1" xfId="0" applyNumberFormat="1" applyBorder="1" applyAlignment="1">
      <alignment horizontal="left" vertical="top" wrapText="1"/>
    </xf>
    <xf numFmtId="0" fontId="18" fillId="0" borderId="1" xfId="0" applyFont="1" applyBorder="1" applyAlignment="1">
      <alignment wrapText="1"/>
    </xf>
    <xf numFmtId="0" fontId="0" fillId="0" borderId="4" xfId="0" quotePrefix="1" applyBorder="1" applyAlignment="1">
      <alignment horizontal="left" vertical="top"/>
    </xf>
    <xf numFmtId="15" fontId="0" fillId="0" borderId="2" xfId="0" applyNumberFormat="1" applyBorder="1" applyAlignment="1">
      <alignment horizontal="left" vertical="top" wrapText="1"/>
    </xf>
    <xf numFmtId="0" fontId="3" fillId="0" borderId="13" xfId="0" applyFont="1" applyBorder="1" applyAlignment="1">
      <alignment horizontal="left" vertical="top" wrapText="1"/>
    </xf>
    <xf numFmtId="0" fontId="34" fillId="0" borderId="4" xfId="0" applyFont="1" applyBorder="1" applyAlignment="1">
      <alignment horizontal="left" vertical="top" wrapText="1"/>
    </xf>
    <xf numFmtId="0" fontId="20" fillId="0" borderId="2" xfId="0" applyFont="1" applyBorder="1" applyAlignment="1">
      <alignment wrapText="1"/>
    </xf>
    <xf numFmtId="0" fontId="0" fillId="0" borderId="14" xfId="0" applyBorder="1" applyAlignment="1">
      <alignment horizontal="left" vertical="top" wrapText="1"/>
    </xf>
    <xf numFmtId="0" fontId="0" fillId="0" borderId="10" xfId="0" applyBorder="1" applyAlignment="1">
      <alignment horizontal="left" vertical="top" wrapText="1"/>
    </xf>
    <xf numFmtId="0" fontId="20" fillId="0" borderId="2" xfId="0" applyFont="1" applyBorder="1" applyAlignment="1">
      <alignment horizontal="left"/>
    </xf>
    <xf numFmtId="14" fontId="0" fillId="0" borderId="1" xfId="0" applyNumberFormat="1" applyBorder="1" applyAlignment="1">
      <alignment vertical="top" wrapText="1"/>
    </xf>
    <xf numFmtId="0" fontId="2" fillId="9" borderId="1" xfId="0" applyFont="1" applyFill="1" applyBorder="1" applyAlignment="1">
      <alignment vertical="top" wrapText="1"/>
    </xf>
    <xf numFmtId="15" fontId="0" fillId="0" borderId="1" xfId="0" applyNumberFormat="1" applyBorder="1" applyAlignment="1">
      <alignment vertical="top" wrapText="1"/>
    </xf>
    <xf numFmtId="0" fontId="14" fillId="0" borderId="1" xfId="0" applyFont="1" applyBorder="1" applyAlignment="1">
      <alignment vertical="top" wrapText="1"/>
    </xf>
    <xf numFmtId="15" fontId="0" fillId="0" borderId="6" xfId="0" applyNumberFormat="1" applyBorder="1" applyAlignment="1">
      <alignment vertical="top"/>
    </xf>
    <xf numFmtId="0" fontId="3" fillId="7" borderId="4" xfId="0" applyFont="1" applyFill="1" applyBorder="1" applyAlignment="1">
      <alignment horizontal="left" vertical="top" wrapText="1"/>
    </xf>
    <xf numFmtId="0" fontId="2" fillId="9" borderId="2" xfId="0" applyFont="1" applyFill="1" applyBorder="1" applyAlignment="1">
      <alignment vertical="top" wrapText="1"/>
    </xf>
    <xf numFmtId="15" fontId="0" fillId="0" borderId="2" xfId="0" applyNumberFormat="1" applyBorder="1" applyAlignment="1">
      <alignment vertical="top" wrapText="1"/>
    </xf>
    <xf numFmtId="0" fontId="0" fillId="0" borderId="6" xfId="0" applyBorder="1" applyAlignment="1">
      <alignment wrapText="1"/>
    </xf>
    <xf numFmtId="15" fontId="0" fillId="0" borderId="14" xfId="0" applyNumberFormat="1" applyBorder="1" applyAlignment="1">
      <alignment vertical="top"/>
    </xf>
    <xf numFmtId="14" fontId="0" fillId="0" borderId="2" xfId="0" applyNumberFormat="1" applyBorder="1" applyAlignment="1">
      <alignment wrapText="1"/>
    </xf>
    <xf numFmtId="16" fontId="0" fillId="0" borderId="1" xfId="0" applyNumberFormat="1" applyBorder="1"/>
    <xf numFmtId="0" fontId="14" fillId="0" borderId="4" xfId="0" applyFont="1" applyBorder="1"/>
    <xf numFmtId="14" fontId="0" fillId="0" borderId="1" xfId="0" applyNumberFormat="1" applyBorder="1" applyAlignment="1">
      <alignment vertical="top"/>
    </xf>
    <xf numFmtId="0" fontId="36" fillId="0" borderId="0" xfId="0" applyFont="1" applyAlignment="1">
      <alignment wrapText="1"/>
    </xf>
    <xf numFmtId="14" fontId="0" fillId="0" borderId="2" xfId="0" applyNumberFormat="1" applyBorder="1"/>
    <xf numFmtId="0" fontId="0" fillId="0" borderId="14" xfId="0" applyBorder="1" applyAlignment="1">
      <alignment vertical="center" wrapText="1"/>
    </xf>
    <xf numFmtId="14" fontId="30" fillId="18" borderId="14" xfId="0" applyNumberFormat="1" applyFont="1" applyFill="1" applyBorder="1" applyAlignment="1">
      <alignment horizontal="left" vertical="center" wrapText="1"/>
    </xf>
    <xf numFmtId="0" fontId="20" fillId="0" borderId="1" xfId="0" applyFont="1" applyBorder="1" applyAlignment="1">
      <alignment wrapText="1"/>
    </xf>
    <xf numFmtId="0" fontId="14" fillId="0" borderId="1" xfId="0" applyFont="1" applyBorder="1" applyAlignment="1">
      <alignment horizontal="center" wrapText="1"/>
    </xf>
    <xf numFmtId="14" fontId="20" fillId="0" borderId="1" xfId="0" applyNumberFormat="1" applyFont="1" applyBorder="1" applyAlignment="1">
      <alignment wrapText="1"/>
    </xf>
    <xf numFmtId="14" fontId="20" fillId="0" borderId="2" xfId="0" applyNumberFormat="1" applyFont="1" applyBorder="1" applyAlignment="1">
      <alignment wrapText="1"/>
    </xf>
    <xf numFmtId="0" fontId="36" fillId="0" borderId="1" xfId="0" applyFont="1" applyBorder="1"/>
    <xf numFmtId="0" fontId="14" fillId="0" borderId="1" xfId="0" applyFont="1" applyBorder="1" applyAlignment="1">
      <alignment horizontal="center"/>
    </xf>
    <xf numFmtId="0" fontId="1" fillId="2" borderId="2" xfId="0" applyFont="1" applyFill="1" applyBorder="1" applyAlignment="1">
      <alignment horizontal="left" vertical="top"/>
    </xf>
    <xf numFmtId="0" fontId="36" fillId="0" borderId="5" xfId="0" applyFont="1" applyBorder="1"/>
    <xf numFmtId="14" fontId="30" fillId="18" borderId="14" xfId="0" applyNumberFormat="1" applyFont="1" applyFill="1" applyBorder="1" applyAlignment="1">
      <alignment horizontal="left" vertical="center"/>
    </xf>
    <xf numFmtId="0" fontId="37" fillId="0" borderId="1" xfId="0" applyFont="1" applyBorder="1" applyAlignment="1">
      <alignment wrapText="1"/>
    </xf>
    <xf numFmtId="14" fontId="1" fillId="2" borderId="1" xfId="0" applyNumberFormat="1" applyFont="1" applyFill="1" applyBorder="1" applyAlignment="1">
      <alignment horizontal="left" vertical="center" wrapText="1"/>
    </xf>
    <xf numFmtId="14" fontId="30" fillId="18" borderId="1" xfId="0" applyNumberFormat="1" applyFont="1" applyFill="1" applyBorder="1" applyAlignment="1">
      <alignment horizontal="left" vertical="center" wrapText="1"/>
    </xf>
    <xf numFmtId="0" fontId="3" fillId="0" borderId="2" xfId="0" applyFont="1" applyBorder="1" applyAlignment="1">
      <alignment horizontal="left" wrapText="1"/>
    </xf>
    <xf numFmtId="0" fontId="14" fillId="0" borderId="2" xfId="0" applyFont="1" applyBorder="1" applyAlignment="1">
      <alignment vertical="center"/>
    </xf>
    <xf numFmtId="14" fontId="30" fillId="18" borderId="1" xfId="0" applyNumberFormat="1" applyFont="1" applyFill="1" applyBorder="1" applyAlignment="1">
      <alignment horizontal="left" vertical="center"/>
    </xf>
    <xf numFmtId="0" fontId="14" fillId="0" borderId="2" xfId="0" applyFont="1" applyBorder="1" applyAlignment="1">
      <alignment horizontal="center"/>
    </xf>
    <xf numFmtId="0" fontId="1" fillId="2" borderId="14" xfId="0" applyFont="1" applyFill="1" applyBorder="1" applyAlignment="1">
      <alignment horizontal="left" vertical="center" wrapText="1"/>
    </xf>
    <xf numFmtId="14" fontId="30" fillId="18" borderId="12" xfId="0" applyNumberFormat="1" applyFont="1" applyFill="1" applyBorder="1" applyAlignment="1">
      <alignment horizontal="left" vertical="center" wrapText="1"/>
    </xf>
    <xf numFmtId="0" fontId="0" fillId="23" borderId="1" xfId="0" applyFill="1" applyBorder="1" applyAlignment="1">
      <alignment wrapText="1"/>
    </xf>
    <xf numFmtId="0" fontId="21" fillId="7" borderId="6" xfId="0" applyFont="1" applyFill="1" applyBorder="1" applyAlignment="1">
      <alignment horizontal="center" vertical="center" wrapText="1"/>
    </xf>
    <xf numFmtId="165" fontId="2" fillId="0" borderId="6" xfId="0" applyNumberFormat="1" applyFont="1" applyBorder="1" applyAlignment="1">
      <alignment vertical="center"/>
    </xf>
    <xf numFmtId="165" fontId="2" fillId="0" borderId="14" xfId="0" applyNumberFormat="1" applyFont="1" applyBorder="1" applyAlignment="1">
      <alignment vertical="center"/>
    </xf>
    <xf numFmtId="0" fontId="0" fillId="0" borderId="6" xfId="0" applyBorder="1" applyAlignment="1">
      <alignment vertical="top"/>
    </xf>
    <xf numFmtId="0" fontId="0" fillId="0" borderId="14" xfId="0" applyBorder="1" applyAlignment="1">
      <alignment vertical="top"/>
    </xf>
    <xf numFmtId="0" fontId="36" fillId="0" borderId="1" xfId="0" applyFont="1" applyBorder="1" applyAlignment="1">
      <alignment wrapText="1"/>
    </xf>
    <xf numFmtId="0" fontId="36" fillId="0" borderId="2" xfId="0" applyFont="1" applyBorder="1"/>
    <xf numFmtId="0" fontId="0" fillId="0" borderId="4" xfId="0" applyBorder="1" applyAlignment="1">
      <alignment horizontal="center"/>
    </xf>
    <xf numFmtId="14" fontId="0" fillId="0" borderId="0" xfId="0" applyNumberFormat="1"/>
    <xf numFmtId="0" fontId="3" fillId="0" borderId="4" xfId="0" applyFont="1" applyBorder="1" applyAlignment="1">
      <alignment vertical="center"/>
    </xf>
    <xf numFmtId="0" fontId="2" fillId="9" borderId="1" xfId="0" applyFont="1" applyFill="1" applyBorder="1" applyAlignment="1">
      <alignment horizontal="center" wrapText="1"/>
    </xf>
    <xf numFmtId="0" fontId="17" fillId="0" borderId="1" xfId="0" applyFont="1" applyBorder="1" applyAlignment="1">
      <alignment wrapText="1"/>
    </xf>
    <xf numFmtId="0" fontId="17" fillId="0" borderId="2" xfId="0" applyFont="1" applyBorder="1" applyAlignment="1">
      <alignment wrapText="1"/>
    </xf>
    <xf numFmtId="0" fontId="38" fillId="0" borderId="1" xfId="0" applyFont="1" applyBorder="1" applyAlignment="1">
      <alignment wrapText="1"/>
    </xf>
    <xf numFmtId="0" fontId="1" fillId="2" borderId="25" xfId="0" applyFont="1" applyFill="1" applyBorder="1" applyAlignment="1">
      <alignment horizontal="center" vertical="center" wrapText="1"/>
    </xf>
    <xf numFmtId="0" fontId="0" fillId="0" borderId="0" xfId="0" applyAlignment="1">
      <alignment vertical="center"/>
    </xf>
    <xf numFmtId="0" fontId="1" fillId="3" borderId="26" xfId="0" applyFont="1" applyFill="1" applyBorder="1" applyAlignment="1">
      <alignment horizontal="center" vertical="center" wrapText="1"/>
    </xf>
    <xf numFmtId="0" fontId="22" fillId="12" borderId="27" xfId="0" applyFont="1" applyFill="1" applyBorder="1" applyAlignment="1">
      <alignment horizontal="center" vertical="center"/>
    </xf>
    <xf numFmtId="0" fontId="22" fillId="12" borderId="28" xfId="0" applyFont="1" applyFill="1" applyBorder="1" applyAlignment="1">
      <alignment horizontal="center" vertical="center"/>
    </xf>
    <xf numFmtId="0" fontId="22" fillId="12" borderId="29" xfId="0" applyFont="1" applyFill="1" applyBorder="1" applyAlignment="1">
      <alignment horizontal="center" vertical="center"/>
    </xf>
    <xf numFmtId="0" fontId="18" fillId="13" borderId="11"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8" fillId="13" borderId="30" xfId="0" applyFont="1" applyFill="1" applyBorder="1" applyAlignment="1">
      <alignment horizontal="center" vertical="center" wrapText="1"/>
    </xf>
    <xf numFmtId="0" fontId="18" fillId="13" borderId="0" xfId="0" applyFont="1" applyFill="1" applyAlignment="1">
      <alignment horizontal="center" vertical="center" wrapText="1"/>
    </xf>
    <xf numFmtId="0" fontId="1" fillId="2" borderId="32" xfId="0" applyFont="1" applyFill="1" applyBorder="1" applyAlignment="1">
      <alignment horizontal="center" vertical="center" wrapText="1"/>
    </xf>
    <xf numFmtId="0" fontId="1" fillId="2" borderId="0" xfId="0" applyFont="1" applyFill="1" applyAlignment="1">
      <alignment horizontal="center" vertical="center" wrapText="1"/>
    </xf>
    <xf numFmtId="0" fontId="1" fillId="3" borderId="32"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22" fillId="12" borderId="33" xfId="0" applyFont="1" applyFill="1" applyBorder="1" applyAlignment="1">
      <alignment horizontal="center" vertical="center"/>
    </xf>
    <xf numFmtId="0" fontId="22" fillId="12" borderId="32" xfId="0" applyFont="1" applyFill="1" applyBorder="1" applyAlignment="1">
      <alignment horizontal="center" vertical="center"/>
    </xf>
    <xf numFmtId="0" fontId="22" fillId="12" borderId="34" xfId="0" applyFont="1" applyFill="1" applyBorder="1" applyAlignment="1">
      <alignment horizontal="center" vertical="center"/>
    </xf>
    <xf numFmtId="0" fontId="1" fillId="2" borderId="16"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22" fillId="12" borderId="17" xfId="0" applyFont="1" applyFill="1" applyBorder="1" applyAlignment="1">
      <alignment horizontal="center" vertical="center"/>
    </xf>
    <xf numFmtId="0" fontId="22" fillId="12" borderId="18" xfId="0" applyFont="1" applyFill="1"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1" xfId="0" applyBorder="1" applyAlignment="1">
      <alignment horizontal="center"/>
    </xf>
    <xf numFmtId="0" fontId="0" fillId="0" borderId="2" xfId="0" applyBorder="1" applyAlignment="1">
      <alignment horizontal="center" wrapText="1"/>
    </xf>
    <xf numFmtId="0" fontId="0" fillId="0" borderId="4" xfId="0" applyBorder="1" applyAlignment="1">
      <alignment horizontal="center" wrapText="1"/>
    </xf>
    <xf numFmtId="0" fontId="0" fillId="0" borderId="8" xfId="0" applyBorder="1" applyAlignment="1">
      <alignment horizontal="center"/>
    </xf>
    <xf numFmtId="0" fontId="2" fillId="0" borderId="2" xfId="0" applyFont="1" applyBorder="1" applyAlignment="1">
      <alignment horizontal="center" wrapText="1"/>
    </xf>
    <xf numFmtId="0" fontId="2" fillId="0" borderId="4" xfId="0" applyFont="1" applyBorder="1" applyAlignment="1">
      <alignment horizontal="center" wrapText="1"/>
    </xf>
    <xf numFmtId="0" fontId="0" fillId="0" borderId="2" xfId="0" applyBorder="1" applyAlignment="1">
      <alignment horizontal="center" vertical="center"/>
    </xf>
    <xf numFmtId="0" fontId="0" fillId="0" borderId="8" xfId="0" applyBorder="1" applyAlignment="1">
      <alignment horizontal="center" vertical="center"/>
    </xf>
    <xf numFmtId="0" fontId="14" fillId="0" borderId="2" xfId="0" applyFont="1" applyBorder="1" applyAlignment="1">
      <alignment horizontal="left" vertical="center" wrapText="1" readingOrder="1"/>
    </xf>
    <xf numFmtId="0" fontId="14" fillId="0" borderId="8" xfId="0" applyFont="1" applyBorder="1" applyAlignment="1">
      <alignment horizontal="left" vertical="center" wrapText="1" readingOrder="1"/>
    </xf>
    <xf numFmtId="0" fontId="14" fillId="0" borderId="6" xfId="0" applyFont="1" applyBorder="1" applyAlignment="1">
      <alignment horizontal="center" vertical="center" wrapText="1" readingOrder="1"/>
    </xf>
    <xf numFmtId="0" fontId="14" fillId="0" borderId="7" xfId="0" applyFont="1" applyBorder="1" applyAlignment="1">
      <alignment horizontal="center" vertical="center" wrapText="1" readingOrder="1"/>
    </xf>
    <xf numFmtId="0" fontId="14" fillId="0" borderId="5" xfId="0" applyFont="1" applyBorder="1" applyAlignment="1">
      <alignment horizontal="center" vertical="center" wrapText="1" readingOrder="1"/>
    </xf>
    <xf numFmtId="0" fontId="14" fillId="0" borderId="2" xfId="0" applyFont="1" applyBorder="1" applyAlignment="1">
      <alignment horizontal="center" vertical="center" wrapText="1" readingOrder="1"/>
    </xf>
    <xf numFmtId="0" fontId="14" fillId="0" borderId="8" xfId="0" applyFont="1" applyBorder="1" applyAlignment="1">
      <alignment horizontal="center" vertical="center" wrapText="1" readingOrder="1"/>
    </xf>
    <xf numFmtId="0" fontId="14" fillId="0" borderId="4" xfId="0" applyFont="1" applyBorder="1" applyAlignment="1">
      <alignment horizontal="center" vertical="center" wrapText="1" readingOrder="1"/>
    </xf>
    <xf numFmtId="0" fontId="2" fillId="0" borderId="6" xfId="0" applyFont="1" applyBorder="1" applyAlignment="1">
      <alignment wrapText="1"/>
    </xf>
    <xf numFmtId="0" fontId="10" fillId="6" borderId="0" xfId="0" applyFont="1" applyFill="1" applyAlignment="1"/>
    <xf numFmtId="0" fontId="0" fillId="0" borderId="0" xfId="0" applyAlignment="1"/>
    <xf numFmtId="0" fontId="11" fillId="0" borderId="7" xfId="0" applyFont="1" applyBorder="1" applyAlignment="1"/>
    <xf numFmtId="0" fontId="11" fillId="0" borderId="5" xfId="0" applyFont="1" applyBorder="1" applyAlignment="1"/>
  </cellXfs>
  <cellStyles count="2">
    <cellStyle name="Hyperlink" xfId="1" builtinId="8"/>
    <cellStyle name="Normal" xfId="0" builtinId="0"/>
  </cellStyles>
  <dxfs count="1068">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outline="0">
        <top style="thin">
          <color rgb="FF000000"/>
        </top>
      </border>
    </dxf>
    <dxf>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border diagonalUp="0" diagonalDown="0" outline="0">
        <left style="thin">
          <color rgb="FF000000"/>
        </left>
        <right style="thin">
          <color rgb="FF000000"/>
        </right>
        <top/>
        <bottom/>
      </bord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center" textRotation="0" wrapText="0" indent="0" justifyLastLine="0" shrinkToFit="0" readingOrder="0"/>
    </dxf>
    <dxf>
      <border outline="0">
        <bottom style="thin">
          <color theme="0" tint="-4.9989318521683403E-2"/>
        </bottom>
      </border>
    </dxf>
    <dxf>
      <border outline="0">
        <top style="thin">
          <color theme="1"/>
        </top>
      </border>
    </dxf>
    <dxf>
      <alignment horizontal="general" vertical="center"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horizontal="general" vertical="center" textRotation="0" wrapText="1" indent="0" justifyLastLine="0" shrinkToFit="0" readingOrder="0"/>
    </dxf>
    <dxf>
      <numFmt numFmtId="19" formatCode="m/d/yyyy"/>
      <alignment horizontal="general" vertical="center" textRotation="0" wrapText="0" indent="0" justifyLastLine="0" shrinkToFit="0" readingOrder="0"/>
      <border diagonalUp="0" diagonalDown="0" outline="0">
        <left style="thin">
          <color rgb="FF000000"/>
        </left>
        <right style="thin">
          <color rgb="FF000000"/>
        </right>
        <top/>
        <bottom/>
      </bord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border outline="0">
        <top style="thin">
          <color rgb="FF000000"/>
        </top>
      </border>
    </dxf>
    <dxf>
      <alignment horizontal="general" vertical="center" textRotation="0" wrapText="1" indent="0" justifyLastLine="0" shrinkToFit="0" readingOrder="0"/>
    </dxf>
    <dxf>
      <numFmt numFmtId="19" formatCode="m/d/yyyy"/>
      <alignment horizontal="general" vertical="center" textRotation="0" wrapText="0" indent="0" justifyLastLine="0" shrinkToFit="0" readingOrder="0"/>
      <border diagonalUp="0" diagonalDown="0" outline="0">
        <left style="thin">
          <color rgb="FF000000"/>
        </left>
        <right style="thin">
          <color rgb="FF000000"/>
        </right>
        <top/>
        <bottom/>
      </bord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border outline="0">
        <top style="thin">
          <color rgb="FF000000"/>
        </top>
      </border>
    </dxf>
    <dxf>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border diagonalUp="0" diagonalDown="0" outline="0">
        <left style="thin">
          <color rgb="FF000000"/>
        </left>
        <right style="thin">
          <color rgb="FF000000"/>
        </right>
        <top/>
        <bottom/>
      </bord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border outline="0">
        <top style="thin">
          <color rgb="FF000000"/>
        </top>
      </border>
    </dxf>
    <dxf>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border diagonalUp="0" diagonalDown="0" outline="0">
        <left style="thin">
          <color rgb="FF000000"/>
        </left>
        <right style="thin">
          <color rgb="FF000000"/>
        </right>
        <top/>
        <bottom/>
      </bord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border outline="0">
        <top style="thin">
          <color rgb="FF000000"/>
        </top>
      </border>
    </dxf>
    <dxf>
      <alignment horizontal="general" vertical="center" textRotation="0" wrapText="1" indent="0" justifyLastLine="0" shrinkToFit="0" readingOrder="0"/>
    </dxf>
    <dxf>
      <numFmt numFmtId="19" formatCode="m/d/yyyy"/>
      <alignment horizontal="general" vertical="center" textRotation="0" wrapText="0" indent="0" justifyLastLine="0" shrinkToFit="0" readingOrder="0"/>
      <border diagonalUp="0" diagonalDown="0" outline="0">
        <left style="thin">
          <color rgb="FF000000"/>
        </left>
        <right style="thin">
          <color rgb="FF000000"/>
        </right>
        <top/>
        <bottom/>
      </bord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border outline="0">
        <top style="thin">
          <color rgb="FF000000"/>
        </top>
      </border>
    </dxf>
    <dxf>
      <alignment horizontal="general" vertical="center" textRotation="0" wrapText="1" indent="0" justifyLastLine="0" shrinkToFit="0" readingOrder="0"/>
    </dxf>
    <dxf>
      <numFmt numFmtId="19" formatCode="m/d/yyyy"/>
      <alignment horizontal="general" vertical="center" textRotation="0" wrapText="0" indent="0" justifyLastLine="0" shrinkToFit="0" readingOrder="0"/>
      <border diagonalUp="0" diagonalDown="0" outline="0">
        <left style="thin">
          <color rgb="FF000000"/>
        </left>
        <right style="thin">
          <color rgb="FF000000"/>
        </right>
        <top/>
        <bottom/>
      </bord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tyles" Target="styles.xml"/><Relationship Id="rId135" Type="http://schemas.openxmlformats.org/officeDocument/2006/relationships/customXml" Target="../customXml/item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sheetMetadata" Target="metadata.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Preethi Rajasekaran" id="{DA11BFF8-9E03-4C61-A1B5-3AC26D84B802}" userId="S::preethi.rajasekaran@relevantz.com::f211105a-e340-4ea6-a12b-5d52b68bd7ea" providerId="AD"/>
  <person displayName="Mathanraj Rajamanickam" id="{729E108B-2778-4751-8A88-BD25FE34D2BA}" userId="S::mathanraj.rajamanickam@relevantz.com::366afdce-18c6-4390-9b1b-528db64b63e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6C55EB3-D098-4271-B9B2-C1302FF0193A}" name="Table25678910" displayName="Table25678910" ref="A1:AM15" totalsRowShown="0" headerRowDxfId="359" dataDxfId="358" tableBorderDxfId="357">
  <autoFilter ref="A1:AM15" xr:uid="{ECFF5885-5529-4045-AD09-44E836C888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autoFilter>
  <tableColumns count="39">
    <tableColumn id="1" xr3:uid="{9F420D03-48B9-471E-93FA-5CDEB8A16CA9}" name="S.No" dataDxfId="356"/>
    <tableColumn id="37" xr3:uid="{A4320EE8-1CEB-440B-9242-60BBF1399826}" name="Application Name" dataDxfId="355"/>
    <tableColumn id="36" xr3:uid="{E8FA9E1A-6BCE-4D14-B2DE-8750D81850EC}" name="Sprint Start Date" dataDxfId="354"/>
    <tableColumn id="35" xr3:uid="{19D9A5D7-10CF-484F-9965-EFE62573EB65}" name="Sprint End Date" dataDxfId="353"/>
    <tableColumn id="2" xr3:uid="{C255757F-2DE2-4C1B-86E7-247B2CA22A0C}" name="Sprint " dataDxfId="352"/>
    <tableColumn id="3" xr3:uid="{4E41C030-4414-436E-A4A5-1AC401C46782}" name="Developer" dataDxfId="351"/>
    <tableColumn id="4" xr3:uid="{BCE033E4-C70E-4E87-9E0B-ADE8010F5EE5}" name="Story ID/Defect ID" dataDxfId="350"/>
    <tableColumn id="5" xr3:uid="{97B253B2-853B-4EDB-84D7-28EEA036D71C}" name="Description" dataDxfId="349"/>
    <tableColumn id="6" xr3:uid="{0ED3E550-69A7-412F-8287-4E82E7B8729D}" name="Status" dataDxfId="348"/>
    <tableColumn id="7" xr3:uid="{10B5E89C-17C1-4825-B06E-3FFC17B50679}" name="Estimated(sp)" dataDxfId="347"/>
    <tableColumn id="8" xr3:uid="{427673FC-C9D6-49D0-91B5-2F839C43C0DF}" name="Actual(sp)" dataDxfId="346"/>
    <tableColumn id="39" xr3:uid="{EC1795E2-3B1F-427F-BA9B-E296293B8A89}" name="Actual Hours Worklog" dataDxfId="345"/>
    <tableColumn id="9" xr3:uid="{E553D75F-1266-4A95-960C-7CE855C3FF27}" name="Unit testing" dataDxfId="344"/>
    <tableColumn id="10" xr3:uid="{3A2D9BB8-6AA1-4945-9D81-3B3D822E4D11}" name="Peer Tested By" dataDxfId="343"/>
    <tableColumn id="11" xr3:uid="{D4E65546-3D40-4278-9E06-16D5C910747B}" name="Peer Tested Comments, if any" dataDxfId="342"/>
    <tableColumn id="12" xr3:uid="{95A468EC-06DB-4B45-A9F3-C839EA151986}" name="Peer Reviewed By" dataDxfId="341"/>
    <tableColumn id="13" xr3:uid="{8FF04D70-D3AB-410B-AAB2-1E04A2758408}" name="Peer Code Review Comments, if any" dataDxfId="340"/>
    <tableColumn id="14" xr3:uid="{600B5D08-97E3-4BC5-A251-F4232B96199F}" name="PR Number/Link" dataDxfId="339"/>
    <tableColumn id="15" xr3:uid="{742D41AC-BC12-4CB8-8433-ACE544427535}" name="PR Created Date" dataDxfId="338"/>
    <tableColumn id="16" xr3:uid="{C9D1C750-901F-4023-9844-567BFA768B33}" name="PR Approved Date" dataDxfId="337"/>
    <tableColumn id="17" xr3:uid="{D7F4CFCF-1461-44C6-AFF7-628A321D83AF}" name="Onsite Lead Code Review" dataDxfId="336"/>
    <tableColumn id="18" xr3:uid="{8B0E33DF-B6DB-45CF-9285-EC2AD36482A2}" name="Onsite Lead Code Review Comments, if any" dataDxfId="335"/>
    <tableColumn id="19" xr3:uid="{95F2D508-95AA-4893-95C6-625179E6AD6D}" name="Client Code Review" dataDxfId="334"/>
    <tableColumn id="20" xr3:uid="{981906EA-10B6-400B-B1B1-8419E53EAE62}" name="PR Approved Date2" dataDxfId="333"/>
    <tableColumn id="21" xr3:uid="{E0553C47-239F-460D-97E7-0E86FC2EA9E1}" name="Client Code Review Comments, if any" dataDxfId="332"/>
    <tableColumn id="22" xr3:uid="{5B9FF9D7-A821-4446-99CC-5581ED99CFCA}" name="Internal PO -POV Comments" dataDxfId="331"/>
    <tableColumn id="23" xr3:uid="{52BEB70C-9EBE-4680-A69A-B38ABDE6B8CA}" name="Client PO -POV Comments" dataDxfId="330"/>
    <tableColumn id="24" xr3:uid="{82620E0B-692C-47B4-8785-7339B84762DF}" name="Comments" dataDxfId="329"/>
    <tableColumn id="25" xr3:uid="{F91CF9FD-1016-4D47-9C4F-158DCE349F7A}" name="2/26/2025" dataDxfId="328"/>
    <tableColumn id="26" xr3:uid="{FA32894F-74EA-44A6-B8CD-1714CF5EBB00}" name="2/27/2025" dataDxfId="327"/>
    <tableColumn id="27" xr3:uid="{973798C9-199D-48B2-85C5-349348C739A8}" name="2/28/2025" dataDxfId="326"/>
    <tableColumn id="28" xr3:uid="{C660588F-1198-4D2F-AA6E-DAC54AD6C463}" name="3/3/2025" dataDxfId="325"/>
    <tableColumn id="29" xr3:uid="{B5232F93-4374-4B9E-851E-B43295C8A75A}" name="3/4/2025" dataDxfId="324"/>
    <tableColumn id="30" xr3:uid="{B9801583-1615-4CC8-AEAE-E0BA16939323}" name="3/5/2025" dataDxfId="323"/>
    <tableColumn id="31" xr3:uid="{E27BA65F-7114-4C13-B105-BFA43086DFAF}" name="3/6/2025" dataDxfId="322"/>
    <tableColumn id="32" xr3:uid="{7F9082F6-5A74-49C3-916F-9E2EEE5A9497}" name="3/7/2025" dataDxfId="321"/>
    <tableColumn id="33" xr3:uid="{EBE63635-1553-4A1A-A31B-240616E002C6}" name="3/10/2025" dataDxfId="320"/>
    <tableColumn id="34" xr3:uid="{F57555E6-9C3E-435C-89DE-5A38CFED7B70}" name="2/25/2025" dataDxfId="319"/>
    <tableColumn id="38" xr3:uid="{E99ED0FA-5E12-4A29-BE70-EE07A1FD8E8C}" name="Column11" dataDxfId="3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513052-1A34-4A62-B01F-C05A328C6508}" name="Table256789" displayName="Table256789" ref="A1:AM14" totalsRowShown="0" headerRowDxfId="308" dataDxfId="307" tableBorderDxfId="306">
  <autoFilter ref="A1:AM14" xr:uid="{ECFF5885-5529-4045-AD09-44E836C888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autoFilter>
  <tableColumns count="39">
    <tableColumn id="1" xr3:uid="{285717E8-9348-46DC-A52B-C2C6C05805AC}" name="S.No" dataDxfId="305"/>
    <tableColumn id="37" xr3:uid="{AF8CB4F0-F865-4050-9524-6DD9134D749A}" name="Application Name" dataDxfId="304">
      <calculatedColumnFormula>Dashboard!$J$1</calculatedColumnFormula>
    </tableColumn>
    <tableColumn id="36" xr3:uid="{F26E0A94-ADCF-49D2-B840-F729560F6627}" name="Sprint Start Date" dataDxfId="303">
      <calculatedColumnFormula>Dashboard!$F$1</calculatedColumnFormula>
    </tableColumn>
    <tableColumn id="35" xr3:uid="{B33B4371-BF2E-4F3A-9C03-C8D32872DE45}" name="Sprint End Date" dataDxfId="302">
      <calculatedColumnFormula>Dashboard!$H$1</calculatedColumnFormula>
    </tableColumn>
    <tableColumn id="2" xr3:uid="{3AD2A6BE-BABD-44AF-B6EE-DB2ADA099416}" name="Sprint " dataDxfId="301"/>
    <tableColumn id="3" xr3:uid="{6A674731-7B8B-41D5-AAE8-A152762F5324}" name="Developer" dataDxfId="300"/>
    <tableColumn id="4" xr3:uid="{A53089FE-1B8C-4787-9FEF-8E5176035605}" name="Story ID/Defect ID" dataDxfId="299"/>
    <tableColumn id="5" xr3:uid="{8742584B-BF1A-4C83-B575-140228A08332}" name="Description" dataDxfId="298"/>
    <tableColumn id="6" xr3:uid="{EF19D4A0-E17C-4066-BAAD-EB88180175CB}" name="Status" dataDxfId="297"/>
    <tableColumn id="7" xr3:uid="{2C3E7D2A-C34B-400F-BC6B-7DEE524EC161}" name="Estimated(sp)" dataDxfId="296"/>
    <tableColumn id="8" xr3:uid="{96714E20-B5D2-492C-A754-5FEF0AACC328}" name="Actual(sp)" dataDxfId="295"/>
    <tableColumn id="39" xr3:uid="{5445BBE4-EBC1-4332-B884-FD5E09CE4E25}" name="Actual Hours Worklog" dataDxfId="294"/>
    <tableColumn id="9" xr3:uid="{4444C58A-76B5-4D8A-B548-1B8043B965E0}" name="Unit testing" dataDxfId="293"/>
    <tableColumn id="10" xr3:uid="{B4CD9105-5580-41EA-AEAA-2652E24F9FFA}" name="Peer Tested By" dataDxfId="292"/>
    <tableColumn id="11" xr3:uid="{6B00D46A-AF30-4351-9999-A4A204509BC5}" name="Peer Tested Comments, if any" dataDxfId="291"/>
    <tableColumn id="12" xr3:uid="{AE5E777A-FBEA-4E58-B983-464254882079}" name="Peer Reviewed By" dataDxfId="290"/>
    <tableColumn id="13" xr3:uid="{99C2FCF9-8D26-4A08-8196-DA4B60C4839A}" name="Peer Code Review Comments, if any" dataDxfId="289"/>
    <tableColumn id="14" xr3:uid="{5909C0EB-1029-4FB0-8095-ABDDDEFEFC71}" name="PR Number/Link" dataDxfId="288"/>
    <tableColumn id="15" xr3:uid="{8619DAA0-D780-46B1-9D5A-042651A10AA1}" name="PR Created Date" dataDxfId="287"/>
    <tableColumn id="16" xr3:uid="{09B3D072-4A63-405B-BF85-6A792F5081D9}" name="PR Approved Date" dataDxfId="286"/>
    <tableColumn id="17" xr3:uid="{5149B54A-4A66-4621-BE66-4BFDD444EA49}" name="Onsite Lead Code Review" dataDxfId="285"/>
    <tableColumn id="18" xr3:uid="{2DBC7AB2-638D-4663-AFEC-DA89AEC31004}" name="Onsite Lead Code Review Comments, if any" dataDxfId="284"/>
    <tableColumn id="19" xr3:uid="{1A7E3C15-B817-494C-A8E2-09338F66C33C}" name="Client Code Review" dataDxfId="283"/>
    <tableColumn id="20" xr3:uid="{B28D80D3-C832-4F64-91D5-C77C56A8A29A}" name="PR Approved Date2" dataDxfId="282">
      <calculatedColumnFormula>UPPER(MID(Table256789[[#This Row],[2/12/2025]], 53, 2))</calculatedColumnFormula>
    </tableColumn>
    <tableColumn id="21" xr3:uid="{7BFF7E32-695A-4224-80F3-172C5AC032E1}" name="Client Code Review Comments, if any" dataDxfId="281"/>
    <tableColumn id="22" xr3:uid="{A220B3DD-860D-485F-A351-EF1E4D0DC88A}" name="Internal PO -POV Comments" dataDxfId="280"/>
    <tableColumn id="23" xr3:uid="{FA1F44FA-49D4-4CFB-81AE-4E0BD08BE1BB}" name="Client PO -POV Comments" dataDxfId="279"/>
    <tableColumn id="24" xr3:uid="{D01DBA6A-126E-4433-A527-0604245DEBC4}" name="Comments" dataDxfId="278"/>
    <tableColumn id="25" xr3:uid="{D6F6F9E2-DB83-4342-B932-A9A35B33526B}" name="2/12/2025" dataDxfId="277"/>
    <tableColumn id="26" xr3:uid="{0592CEE8-4A71-4E8E-962E-9459791FEFE4}" name="2/13/2025" dataDxfId="276"/>
    <tableColumn id="27" xr3:uid="{8A0D3560-CCC7-4523-AB0C-38D41E536C0C}" name="2/14/2025" dataDxfId="275"/>
    <tableColumn id="28" xr3:uid="{1F76C68D-1AF1-4828-AEB6-ECCE65083AFC}" name="2/17/2025" dataDxfId="274"/>
    <tableColumn id="29" xr3:uid="{A001CE60-6C1D-4067-A5D5-4590EA879B4F}" name="2/18/2025" dataDxfId="273"/>
    <tableColumn id="30" xr3:uid="{3E9EE033-8070-462D-BDC1-253F0CBEBB0D}" name="2/19/2025" dataDxfId="272"/>
    <tableColumn id="31" xr3:uid="{1F69ADA4-7FE0-4529-A5B7-29DA7BCF1AA9}" name="2/20/2025" dataDxfId="271"/>
    <tableColumn id="32" xr3:uid="{D3ED0AA5-1B9A-40E1-B430-F2139A3535B0}" name="2/21/2025" dataDxfId="270"/>
    <tableColumn id="33" xr3:uid="{8DF25953-E49B-4B40-8BC8-5A7B9C1CFADB}" name="2/24/2025" dataDxfId="269"/>
    <tableColumn id="34" xr3:uid="{7E6EC8C1-072B-459B-8DE5-F5B5BA5074DF}" name="2/25/2025" dataDxfId="268"/>
    <tableColumn id="38" xr3:uid="{76B5FC84-BC9E-40D2-B98C-30D83E662513}" name="Column11" dataDxfId="26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BE204B-5CBA-4450-BA93-38F14DB1137F}" name="Table25678" displayName="Table25678" ref="A1:AM14" totalsRowShown="0" headerRowDxfId="251" dataDxfId="250" tableBorderDxfId="249">
  <autoFilter ref="A1:AM14" xr:uid="{ECFF5885-5529-4045-AD09-44E836C888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autoFilter>
  <tableColumns count="39">
    <tableColumn id="1" xr3:uid="{44D12B76-E95A-4DC1-8A03-2847A5F80639}" name="S.No" dataDxfId="248"/>
    <tableColumn id="37" xr3:uid="{2F91363E-A41F-438C-B890-B0E729EF5602}" name="Application Name" dataDxfId="247">
      <calculatedColumnFormula>Dashboard!$J$1</calculatedColumnFormula>
    </tableColumn>
    <tableColumn id="36" xr3:uid="{2AF20003-8AE9-4168-8306-D1C14342FB46}" name="Sprint Start Date" dataDxfId="246">
      <calculatedColumnFormula>Dashboard!$F$1</calculatedColumnFormula>
    </tableColumn>
    <tableColumn id="35" xr3:uid="{1C65C22D-BEE5-4BD3-8073-11480BB2168D}" name="Sprint End Date" dataDxfId="245">
      <calculatedColumnFormula>Dashboard!$H$1</calculatedColumnFormula>
    </tableColumn>
    <tableColumn id="2" xr3:uid="{C90FD463-3B7D-4DC8-BA00-C20FB24CA5E6}" name="Sprint " dataDxfId="244"/>
    <tableColumn id="3" xr3:uid="{AD62ECB7-ED02-4431-9C5E-A0D166017CC1}" name="Developer" dataDxfId="243"/>
    <tableColumn id="4" xr3:uid="{03A53433-E9A1-449A-8CAA-9BC0274A545E}" name="Story ID/Defect ID" dataDxfId="242"/>
    <tableColumn id="5" xr3:uid="{E0B23C90-5DEB-42A7-8E1F-E317DC51756F}" name="Description" dataDxfId="241"/>
    <tableColumn id="6" xr3:uid="{D5B9B235-288F-4BFD-9584-F9D546E70186}" name="Status" dataDxfId="240"/>
    <tableColumn id="7" xr3:uid="{851F29B9-D020-454A-9E1D-D0F50862536E}" name="Estimated(sp)" dataDxfId="239"/>
    <tableColumn id="8" xr3:uid="{66F30C91-8B6B-423D-A843-895FE6CB8E09}" name="Actual(sp)" dataDxfId="238"/>
    <tableColumn id="39" xr3:uid="{BE648824-9B7A-41EA-A2FA-64735978BC41}" name="Actual Hours Worklog" dataDxfId="237"/>
    <tableColumn id="9" xr3:uid="{DD75187E-6736-4F78-95F7-6C608287BEC6}" name="Unit testing" dataDxfId="236"/>
    <tableColumn id="10" xr3:uid="{0862FA4C-50D0-479C-A715-AB05F8056CA1}" name="Peer Tested By" dataDxfId="235"/>
    <tableColumn id="11" xr3:uid="{38A8FEB0-B152-47C1-AF7F-B6DB411310C3}" name="Peer Tested Comments, if any" dataDxfId="234"/>
    <tableColumn id="12" xr3:uid="{EE984FD0-6BFF-4CDC-BBDC-1EEC41917871}" name="Peer Reviewed By" dataDxfId="233"/>
    <tableColumn id="13" xr3:uid="{ED17B9C8-301C-4F3C-9536-34F0FE61CB49}" name="Peer Code Review Comments, if any" dataDxfId="232"/>
    <tableColumn id="14" xr3:uid="{FF991A53-5890-4359-9241-9604E3E7BD0F}" name="PR Number/Link" dataDxfId="231"/>
    <tableColumn id="15" xr3:uid="{ACCBF67E-F361-4ACC-B2FA-E0C1B50ADF86}" name="PR Created Date" dataDxfId="230"/>
    <tableColumn id="16" xr3:uid="{A4962009-8943-45B6-9286-9E1BB5024CB8}" name="PR Approved Date" dataDxfId="229"/>
    <tableColumn id="17" xr3:uid="{E21750F2-218E-4858-88F1-F2DABF0F7BB1}" name="Onsite Lead Code Review" dataDxfId="228"/>
    <tableColumn id="18" xr3:uid="{353B1312-B003-450D-9D12-5E1617C8CB52}" name="Onsite Lead Code Review Comments, if any" dataDxfId="227"/>
    <tableColumn id="19" xr3:uid="{137DCBF6-C01A-49AE-99D6-1AF59AF70463}" name="Client Code Review" dataDxfId="226"/>
    <tableColumn id="20" xr3:uid="{0A7315E6-B315-4D7F-B24C-BF353663F296}" name="PR Approved Date2" dataDxfId="225">
      <calculatedColumnFormula>UPPER(MID(Table25678[[#This Row],[1/29/2025]], 53, 2))</calculatedColumnFormula>
    </tableColumn>
    <tableColumn id="21" xr3:uid="{08D61B11-1A33-4EA4-84F7-DE65C257C5BB}" name="Client Code Review Comments, if any" dataDxfId="224"/>
    <tableColumn id="22" xr3:uid="{DF67A1ED-F382-4B32-B673-3009B403F6A4}" name="Internal PO -POV Comments" dataDxfId="223"/>
    <tableColumn id="23" xr3:uid="{1AC1A4F5-8137-463F-BC30-D596D0C10E43}" name="Client PO -POV Comments" dataDxfId="222"/>
    <tableColumn id="24" xr3:uid="{989C35BC-9B85-4A72-A937-DD7EEB19F62B}" name="Comments" dataDxfId="221"/>
    <tableColumn id="25" xr3:uid="{F4628D9D-4442-4A1D-AED6-20981B080148}" name="1/29/2025" dataDxfId="220"/>
    <tableColumn id="26" xr3:uid="{D0FDB635-32D0-4032-8A1F-0564939B3788}" name="1/30/2025" dataDxfId="219"/>
    <tableColumn id="27" xr3:uid="{13AD0A1F-9B3F-46B3-948E-843E9740C935}" name="1/31/2025" dataDxfId="218"/>
    <tableColumn id="28" xr3:uid="{3687C2B4-3CA9-4C19-BE4F-ADCAF4ADCDD7}" name="2/3/2025" dataDxfId="217"/>
    <tableColumn id="29" xr3:uid="{5E1E40A8-C0AA-422B-BC1E-99FC1511FFB2}" name="2/4/2025" dataDxfId="216"/>
    <tableColumn id="30" xr3:uid="{A43FAE5B-F03B-4344-A3A6-2592C060ECFC}" name="2/5/2025" dataDxfId="215"/>
    <tableColumn id="31" xr3:uid="{09989519-8C69-4FF3-96BE-8DEAB77A05D4}" name="2/6/2025" dataDxfId="214"/>
    <tableColumn id="32" xr3:uid="{93199D0F-942E-43EA-B212-0C85EB912CE2}" name="2/7/2025" dataDxfId="213"/>
    <tableColumn id="33" xr3:uid="{CE61BC26-39C8-4708-A9DC-7C5616155E83}" name="2/10/2025" dataDxfId="212"/>
    <tableColumn id="34" xr3:uid="{B4F0281E-C000-4A13-AB8C-7604998349F5}" name="2/11/2025" dataDxfId="211"/>
    <tableColumn id="38" xr3:uid="{C1B426C7-6B4A-4016-AEFD-56A51CE3469F}" name="Column11" dataDxfId="2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F669E3-EBBB-405F-9339-B2A29669B379}" name="Table2567" displayName="Table2567" ref="A1:AM13" totalsRowShown="0" headerRowDxfId="197" dataDxfId="196" tableBorderDxfId="195">
  <autoFilter ref="A1:AM13" xr:uid="{ECFF5885-5529-4045-AD09-44E836C888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autoFilter>
  <tableColumns count="39">
    <tableColumn id="1" xr3:uid="{E72F2582-D03F-424A-95C0-C95315C32F3D}" name="S.No" dataDxfId="194"/>
    <tableColumn id="37" xr3:uid="{26F9D9E0-C6BB-449E-A589-81D736B5E824}" name="Application Name" dataDxfId="193">
      <calculatedColumnFormula>Dashboard!$J$1</calculatedColumnFormula>
    </tableColumn>
    <tableColumn id="36" xr3:uid="{A3ADE44C-82FD-423B-85D2-F6DA75498B00}" name="Sprint Start Date" dataDxfId="192">
      <calculatedColumnFormula>Dashboard!$F$1</calculatedColumnFormula>
    </tableColumn>
    <tableColumn id="35" xr3:uid="{A9CB42F7-16A1-4E44-9A23-16FD747C0682}" name="Sprint End Date" dataDxfId="191">
      <calculatedColumnFormula>Dashboard!$H$1</calculatedColumnFormula>
    </tableColumn>
    <tableColumn id="2" xr3:uid="{4CF71136-5CC0-4761-A38D-B188259D1D1E}" name="Sprint " dataDxfId="190"/>
    <tableColumn id="3" xr3:uid="{21203233-3985-4CBD-90A4-57C158CFEF9B}" name="Developer" dataDxfId="189"/>
    <tableColumn id="4" xr3:uid="{D1F17533-7F5E-48DD-928B-25A15F475859}" name="Story ID/Defect ID" dataDxfId="188"/>
    <tableColumn id="5" xr3:uid="{7F3F8BA8-BCC2-4334-83BA-345AB79E6C65}" name="Description" dataDxfId="187"/>
    <tableColumn id="6" xr3:uid="{A01E9ADB-FD13-4D87-8BCC-DB2D7290A204}" name="Status" dataDxfId="186"/>
    <tableColumn id="7" xr3:uid="{045C9EB1-AA35-4889-843F-733CF2681671}" name="Estimated(hrs/sp)" dataDxfId="185"/>
    <tableColumn id="8" xr3:uid="{37CCF055-052A-4195-B25E-0456451A0C81}" name="Actual(hrs/sp)" dataDxfId="184"/>
    <tableColumn id="39" xr3:uid="{331A1A4F-AC18-4980-B253-DE74E478CE5F}" name="Actual Hours Worklog" dataDxfId="183"/>
    <tableColumn id="9" xr3:uid="{982A41DD-8DAD-4A5C-BAD6-6F92F15C7BDE}" name="Unit testing" dataDxfId="182"/>
    <tableColumn id="10" xr3:uid="{8AE13A12-57BD-4C08-B811-D681B38C8F73}" name="Peer Tested By" dataDxfId="181"/>
    <tableColumn id="11" xr3:uid="{34C9D09A-9B93-4855-B475-471B7C4BA3D8}" name="Peer Tested Comments, if any" dataDxfId="180"/>
    <tableColumn id="12" xr3:uid="{76729439-7AA7-4E46-A0F3-FF176A306CF9}" name="Peer Reviewed By" dataDxfId="179"/>
    <tableColumn id="13" xr3:uid="{DA260BD7-CC25-4384-A94E-E88DCAF26C1E}" name="Peer Code Review Comments, if any" dataDxfId="178"/>
    <tableColumn id="14" xr3:uid="{FAD6AE91-0481-418A-8B01-6C831D098AB0}" name="PR Number/Link" dataDxfId="177"/>
    <tableColumn id="15" xr3:uid="{BCB0D76C-62A0-4E1A-9123-311EE7ECB761}" name="PR Created Date" dataDxfId="176"/>
    <tableColumn id="16" xr3:uid="{D2328EBA-BBD7-4278-A90E-F4254D12F587}" name="PR Approved Date" dataDxfId="175"/>
    <tableColumn id="17" xr3:uid="{AE404AAE-084A-4576-A42D-452F4777F11D}" name="Onsite Lead Code Review" dataDxfId="174"/>
    <tableColumn id="18" xr3:uid="{80981464-A579-4703-9CF7-5A15E8E40D91}" name="Onsite Lead Code Review Comments, if any" dataDxfId="173"/>
    <tableColumn id="19" xr3:uid="{6C350B31-0BE4-4070-91AA-037FC0FE352A}" name="Client Code Review" dataDxfId="172"/>
    <tableColumn id="20" xr3:uid="{AA6DBA7B-9328-444A-AC87-68CDF239C497}" name="PR Approved Date2" dataDxfId="171">
      <calculatedColumnFormula>UPPER(MID(Table2567[[#This Row],[1/15/2025]], 53, 2))</calculatedColumnFormula>
    </tableColumn>
    <tableColumn id="21" xr3:uid="{F8809144-F039-4313-B61B-DC1BBF31C117}" name="Client Code Review Comments, if any" dataDxfId="170"/>
    <tableColumn id="22" xr3:uid="{771CD622-1626-4ED3-B9B2-FA81A2599455}" name="Internal PO -POV Comments" dataDxfId="169"/>
    <tableColumn id="23" xr3:uid="{8AFA449C-F797-4398-9A25-8DD5F0A30C3F}" name="Client PO -POV Comments" dataDxfId="168"/>
    <tableColumn id="24" xr3:uid="{B6022197-42A2-4359-B92D-925DF5261FA4}" name="Comments" dataDxfId="167"/>
    <tableColumn id="25" xr3:uid="{CD04433C-FBF9-4FF5-ACB3-DD3E97E91B47}" name="1/15/2025" dataDxfId="166"/>
    <tableColumn id="26" xr3:uid="{487AA9DE-6888-4705-918B-67CD323DDC5D}" name="1/16/2025" dataDxfId="165"/>
    <tableColumn id="27" xr3:uid="{0D5F030D-903A-4581-9B45-AEA0D14D6471}" name="1/17/2025" dataDxfId="164"/>
    <tableColumn id="28" xr3:uid="{AB5BAF90-288A-42CC-97B0-839DF8289772}" name="1/18/2025" dataDxfId="163"/>
    <tableColumn id="29" xr3:uid="{A3C70AC4-C4DF-4D1F-8C5A-56A2B6A906A9}" name="1/20/2025" dataDxfId="162"/>
    <tableColumn id="30" xr3:uid="{73994E7D-DEA3-4A29-9BAC-81B16F42FEA4}" name="1/21/2025" dataDxfId="161"/>
    <tableColumn id="31" xr3:uid="{A7E4D53A-2F49-434B-BD1E-62B0CD7AD7D2}" name="1/22/2025" dataDxfId="160"/>
    <tableColumn id="32" xr3:uid="{5D70FADE-4B61-4EA9-A044-C03ABAF3F50F}" name="1/23/20252" dataDxfId="159"/>
    <tableColumn id="33" xr3:uid="{439983EF-C1D1-4C6B-BD35-4ADAF6DF55FA}" name="1/24/2025" dataDxfId="158"/>
    <tableColumn id="34" xr3:uid="{B25ED574-9C27-44A0-BF21-7126D8811EBE}" name="1/27/2025" dataDxfId="157"/>
    <tableColumn id="38" xr3:uid="{591C6620-692A-407D-8936-ECEB721BD7D3}" name="1/28/2025" dataDxfId="15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ED2E9E-6684-461A-8E43-707ADED54F5B}" name="Table256" displayName="Table256" ref="A1:AR12" totalsRowShown="0" headerRowDxfId="140" dataDxfId="139" tableBorderDxfId="138">
  <autoFilter ref="A1:AR12" xr:uid="{ECFF5885-5529-4045-AD09-44E836C888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autoFilter>
  <tableColumns count="44">
    <tableColumn id="1" xr3:uid="{FBF6DE29-4805-42F3-B1CE-1B550CE1F101}" name="S.No" dataDxfId="137"/>
    <tableColumn id="37" xr3:uid="{C86DAF2B-79B4-4160-90AF-A24CA5059722}" name="Application Name" dataDxfId="136">
      <calculatedColumnFormula>Dashboard!$J$1</calculatedColumnFormula>
    </tableColumn>
    <tableColumn id="36" xr3:uid="{07E4F916-1032-4DE1-A2C4-0B0BAD076473}" name="Sprint Start Date" dataDxfId="135">
      <calculatedColumnFormula>Dashboard!$F$1</calculatedColumnFormula>
    </tableColumn>
    <tableColumn id="35" xr3:uid="{2E2C3DE4-5F81-4E24-BF1A-C90C58753DC3}" name="Sprint End Date" dataDxfId="134">
      <calculatedColumnFormula>Dashboard!$H$1</calculatedColumnFormula>
    </tableColumn>
    <tableColumn id="2" xr3:uid="{E7020AA5-DE85-491A-95D4-1DA003CFC981}" name="Sprint " dataDxfId="133"/>
    <tableColumn id="3" xr3:uid="{93B682BF-7871-45C6-9FD4-F827C9607B0D}" name="Developer" dataDxfId="132"/>
    <tableColumn id="4" xr3:uid="{9F7FFF89-C43D-4988-94F4-48DD710E13BF}" name="Story ID/Defect ID" dataDxfId="131"/>
    <tableColumn id="5" xr3:uid="{84090A41-BFCD-475B-830E-B4C7FB9B05EA}" name="Description" dataDxfId="130"/>
    <tableColumn id="6" xr3:uid="{7CAAD557-6051-41C7-B820-6EEF799AD181}" name="Status" dataDxfId="129"/>
    <tableColumn id="7" xr3:uid="{7E095F33-24BC-401E-8383-A53199535F86}" name="Estimated(hrs/sp)" dataDxfId="128"/>
    <tableColumn id="8" xr3:uid="{F8558734-9F60-401B-A6B8-535F8579FD53}" name="Actual(hrs/sp)" dataDxfId="127"/>
    <tableColumn id="44" xr3:uid="{98DE97A0-A702-41F3-8BD0-7EE6D01F57F1}" name="Actual Hours Worklog" dataDxfId="126"/>
    <tableColumn id="9" xr3:uid="{F3DA7C38-5C98-4C9C-8B9B-3DAFAD1A155D}" name="Unit testing" dataDxfId="125"/>
    <tableColumn id="10" xr3:uid="{913A3DAA-0592-4F6B-A1A6-B929538FDE87}" name="Peer Tested By" dataDxfId="124"/>
    <tableColumn id="11" xr3:uid="{C95586C6-CB4D-46BF-B87B-B840794FCA89}" name="Peer Tested Comments, if any" dataDxfId="123"/>
    <tableColumn id="12" xr3:uid="{879D7E08-EA4B-4E69-86E0-9157DB7D0A61}" name="Peer Reviewed By" dataDxfId="122"/>
    <tableColumn id="13" xr3:uid="{14266057-85C7-4B37-B83F-02BFF374CEC0}" name="Peer Code Review Comments, if any" dataDxfId="121"/>
    <tableColumn id="14" xr3:uid="{119B578B-6CB3-4691-A78A-7AD0A8B722ED}" name="PR Number/Link" dataDxfId="120"/>
    <tableColumn id="15" xr3:uid="{F82C12F5-4B0F-4296-805F-A10705BEAA87}" name="PR Created Date" dataDxfId="119"/>
    <tableColumn id="16" xr3:uid="{0DA77DFE-2179-470F-9373-EB306DBF02E9}" name="PR Approved Date" dataDxfId="118"/>
    <tableColumn id="17" xr3:uid="{553C34DD-288F-418E-870F-CBFA9A08EBF0}" name="Onsite Lead Code Review" dataDxfId="117"/>
    <tableColumn id="18" xr3:uid="{00BED5DA-B017-4EFD-8318-E33F7DFACB13}" name="Onsite Lead Code Review Comments, if any" dataDxfId="116"/>
    <tableColumn id="19" xr3:uid="{95B07881-E1FE-466C-8F2F-2CDC256042E2}" name="Client Code Review" dataDxfId="115"/>
    <tableColumn id="20" xr3:uid="{4B4D6EE1-B3A6-47E6-A232-2872B9CDB208}" name="PR Approved Date2" dataDxfId="114"/>
    <tableColumn id="21" xr3:uid="{AE329764-553F-4817-A799-95D772FD4A85}" name="Client Code Review Comments, if any" dataDxfId="113"/>
    <tableColumn id="22" xr3:uid="{B1585314-71DF-4B54-9BA8-809206D51F86}" name="Internal PO -POV Comments" dataDxfId="112"/>
    <tableColumn id="23" xr3:uid="{E63BFC29-58C6-46D8-8AF3-CD91425C93A9}" name="Client PO -POV Comments" dataDxfId="111"/>
    <tableColumn id="24" xr3:uid="{A71634FA-FE28-4C71-AF1E-34C4DCA5BB1D}" name="Comments" dataDxfId="110"/>
    <tableColumn id="25" xr3:uid="{BF74ED48-E6EE-4B86-A9EE-F267DC74746E}" name="12/18/2024" dataDxfId="109"/>
    <tableColumn id="26" xr3:uid="{8F61151F-476C-42C5-9084-2CD91C4CAE29}" name="12/19/2024" dataDxfId="108"/>
    <tableColumn id="27" xr3:uid="{EC8B4FC1-F4CB-423D-B356-B4954890B287}" name="12/20/2024" dataDxfId="107"/>
    <tableColumn id="28" xr3:uid="{2838AF1A-9928-42C1-8EBD-6117D12B6488}" name="12/23/2024" dataDxfId="106"/>
    <tableColumn id="29" xr3:uid="{194B4D57-5329-41F4-887D-40DCE9A86E2D}" name="12/24/2024" dataDxfId="105"/>
    <tableColumn id="30" xr3:uid="{3BB19402-6B28-408C-AE70-8B7936E0EC6E}" name="12/26/2024" dataDxfId="104"/>
    <tableColumn id="31" xr3:uid="{9C46B95A-4CF1-4698-AC2D-8172AE3FEF57}" name="12/27/2024" dataDxfId="103"/>
    <tableColumn id="32" xr3:uid="{CAA43DDE-37DC-4BA9-B9B1-3203819B9101}" name="12/30/2024" dataDxfId="102"/>
    <tableColumn id="33" xr3:uid="{F63790C0-59FC-4930-96EC-A54C5183BA4B}" name="12/31/2024" dataDxfId="101"/>
    <tableColumn id="34" xr3:uid="{11614534-D1C3-4E46-A7D9-F21335D6F7AD}" name="1/2/2025" dataDxfId="100"/>
    <tableColumn id="38" xr3:uid="{0F3CC2A6-A12B-40C3-8B4B-6A0EFA43D0BF}" name="1/3/20252" dataDxfId="99"/>
    <tableColumn id="39" xr3:uid="{76311656-F140-4D00-80DB-B70F82A27646}" name="1/6/2025" dataDxfId="98"/>
    <tableColumn id="40" xr3:uid="{28FF9235-1337-4EED-9285-A8FDC6719018}" name="1/7/2025" dataDxfId="97"/>
    <tableColumn id="41" xr3:uid="{86452370-C041-46AD-A34F-BBD156AEDA6C}" name="1/8/2025" dataDxfId="96"/>
    <tableColumn id="42" xr3:uid="{2D3C868B-3B32-4850-A67E-5E76FFF62A2C}" name="1/9/2025" dataDxfId="95"/>
    <tableColumn id="43" xr3:uid="{21458392-7EB0-4FE6-86D2-381E9DB99D01}" name="1/10/20252" dataDxfId="9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19A129-0378-40AE-BB82-636393D321CA}" name="Table25" displayName="Table25" ref="A1:AH11" totalsRowShown="0" headerRowDxfId="90" dataDxfId="89" tableBorderDxfId="88">
  <autoFilter ref="A1:AH11" xr:uid="{ECFF5885-5529-4045-AD09-44E836C888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5F3DD6A4-9AAA-4D55-9EB5-218823C92889}" name="S.No" dataDxfId="87"/>
    <tableColumn id="2" xr3:uid="{461D112F-944C-4E33-B7C1-0596D72D0C76}" name="Sprint " dataDxfId="86"/>
    <tableColumn id="3" xr3:uid="{F91B90E9-A167-49C5-9251-9523316E0818}" name="Developer" dataDxfId="85"/>
    <tableColumn id="4" xr3:uid="{5E7AB312-ED11-4104-A1D9-9CB3F0BB7126}" name="Story ID/Defect ID" dataDxfId="84"/>
    <tableColumn id="5" xr3:uid="{F7B63E08-B293-420E-985E-8B580A07367F}" name="Description" dataDxfId="83"/>
    <tableColumn id="6" xr3:uid="{76334A7F-7FF8-422E-8AF6-1F97E0B121AB}" name="Status" dataDxfId="82"/>
    <tableColumn id="7" xr3:uid="{9B5AE5B7-753A-4795-9C39-24B3388BED00}" name="Estimated(hrs/sp)" dataDxfId="81"/>
    <tableColumn id="8" xr3:uid="{58C61F51-2356-4B5D-A9B4-C03CA2457BCB}" name="Actual(hrs/sp)" dataDxfId="80"/>
    <tableColumn id="9" xr3:uid="{137FB640-35CA-4928-B7C5-FE46C76BD885}" name="Unit testing" dataDxfId="79"/>
    <tableColumn id="10" xr3:uid="{29C46027-84DF-42B6-8909-C1C2AAA6AED9}" name="Peer Tested By" dataDxfId="78"/>
    <tableColumn id="11" xr3:uid="{98505F67-A26D-4C62-843B-366D047731E5}" name="Peer Tested Comments, if any" dataDxfId="77"/>
    <tableColumn id="12" xr3:uid="{E4FA3B6E-0778-4406-9B4D-6886A1CF338F}" name="Peer Reviewed By" dataDxfId="76"/>
    <tableColumn id="13" xr3:uid="{C0277FCA-BB4C-4E81-A333-918E271F4CCB}" name="Peer Code Review Comments, if any" dataDxfId="75"/>
    <tableColumn id="14" xr3:uid="{3CB14DCF-01BF-4767-BDA7-EBCB6E824CA7}" name="PR Number/Link" dataDxfId="74"/>
    <tableColumn id="15" xr3:uid="{F2E9CFB5-C281-42D6-BBEB-215EBACA8B9D}" name="PR Created Date" dataDxfId="73"/>
    <tableColumn id="16" xr3:uid="{8926C13B-21AD-43AC-816D-9128AFC4188D}" name="PR Approved Date" dataDxfId="72"/>
    <tableColumn id="17" xr3:uid="{5F81C2A2-936B-4920-8733-BE4C39EBE391}" name="Onsite Lead Code Review" dataDxfId="71"/>
    <tableColumn id="18" xr3:uid="{F91A0D6B-3D0D-42E9-B57F-EF068D159B9E}" name="Onsite Lead Code Review Comments, if any" dataDxfId="70"/>
    <tableColumn id="19" xr3:uid="{5A908B02-C92C-4F78-988D-72A22A6CE56F}" name="Client Code Review" dataDxfId="69"/>
    <tableColumn id="20" xr3:uid="{CCB28485-1E9A-4266-B233-559B9C6A3AB4}" name="PR Approved Date2" dataDxfId="68"/>
    <tableColumn id="21" xr3:uid="{9BFAC13A-3384-413C-8B56-06F633430B80}" name="Client Code Review Comments, if any" dataDxfId="67"/>
    <tableColumn id="22" xr3:uid="{67368AF8-5022-415E-BF1C-180163F31A8E}" name="Internal PO -POV Comments" dataDxfId="66"/>
    <tableColumn id="23" xr3:uid="{923199B2-68A3-493C-9B3B-F2B3DC897514}" name="Client PO -POV Comments" dataDxfId="65"/>
    <tableColumn id="24" xr3:uid="{D3C59FFF-DC12-4A01-9207-0F508C2E304C}" name="Comments" dataDxfId="64"/>
    <tableColumn id="25" xr3:uid="{CA72A7DE-3439-4B83-B2DF-7B578D4E1D2B}" name="12/4/2024" dataDxfId="63"/>
    <tableColumn id="26" xr3:uid="{75D1FABB-4052-47E2-8BB7-70EA98B0B20A}" name="12/5/2024" dataDxfId="62"/>
    <tableColumn id="27" xr3:uid="{3615A80D-5D8F-48E7-8EC6-FB5D458196C0}" name="12/6/2024" dataDxfId="61"/>
    <tableColumn id="28" xr3:uid="{D6C660C5-C712-4E23-AA9C-F46DB1D045CE}" name="12/9/20242" dataDxfId="60"/>
    <tableColumn id="29" xr3:uid="{AC9EBD79-C452-45BB-86CC-2FD4984250AF}" name="12/10/20242" dataDxfId="59"/>
    <tableColumn id="30" xr3:uid="{F35C8F32-2C76-402F-8EEE-9A44279EF0F0}" name="12/11/20242" dataDxfId="58"/>
    <tableColumn id="31" xr3:uid="{94A3A33F-B3FB-4982-883E-C19F05F697C9}" name="12/12/20242" dataDxfId="57"/>
    <tableColumn id="32" xr3:uid="{36262AB1-53E5-4868-A6F2-001E3B621D1B}" name="12/13/2024" dataDxfId="56"/>
    <tableColumn id="33" xr3:uid="{1792A001-A493-4019-BC63-8F9F3B59FDDB}" name="12/16/2024" dataDxfId="55"/>
    <tableColumn id="34" xr3:uid="{D1ED9C67-661A-419C-B886-5974F5638E20}" name="12/17/2028" dataDxfId="5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2CA93-501C-4B92-B6A7-44E2E2F57D09}" name="Table1" displayName="Table1" ref="A1:A2" insertRow="1" totalsRowShown="0" headerRowDxfId="50" dataDxfId="49" headerRowBorderDxfId="47" tableBorderDxfId="48">
  <autoFilter ref="A1:A2" xr:uid="{EFC2CA93-501C-4B92-B6A7-44E2E2F57D09}"/>
  <tableColumns count="1">
    <tableColumn id="1" xr3:uid="{AAD8E920-6B51-4A44-AB29-FE8F4DF68375}" name="S.No" dataDxfId="4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FF5885-5529-4045-AD09-44E836C8888D}" name="Table2" displayName="Table2" ref="A1:AH11" totalsRowShown="0" headerRowDxfId="39" dataDxfId="38" tableBorderDxfId="37">
  <autoFilter ref="A1:AH11" xr:uid="{ECFF5885-5529-4045-AD09-44E836C888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719E92DA-1EF5-4CC9-8E00-4440341165E8}" name="S.No" dataDxfId="36"/>
    <tableColumn id="2" xr3:uid="{91F6590E-0606-4FEB-BD4B-3A46D52275CF}" name="Sprint " dataDxfId="35"/>
    <tableColumn id="3" xr3:uid="{6CFC8E47-54BC-4689-A945-428DA70018B1}" name="Developer" dataDxfId="34"/>
    <tableColumn id="4" xr3:uid="{72BFADE2-618C-4B97-A054-FDED53C6DF80}" name="Story ID/Defect ID" dataDxfId="33"/>
    <tableColumn id="5" xr3:uid="{41E3DB38-9E7F-4795-806A-8F1353FFBF36}" name="Description" dataDxfId="32"/>
    <tableColumn id="6" xr3:uid="{804B182A-6004-416E-8991-4BAD401EB1E3}" name="Status" dataDxfId="31"/>
    <tableColumn id="7" xr3:uid="{C72BE48F-FA60-44D7-9475-EFBE3327A4F4}" name="Estimated(hrs/sp)" dataDxfId="30"/>
    <tableColumn id="8" xr3:uid="{6ED08CBA-7548-45E9-9122-DAD84A000037}" name="Actual(hrs/sp)" dataDxfId="29"/>
    <tableColumn id="9" xr3:uid="{68ABA558-4D24-4B96-8C29-5C6F5D0EBFE0}" name="Unit testing" dataDxfId="28"/>
    <tableColumn id="10" xr3:uid="{CE508ADA-8C07-4DF8-853D-0732C6575991}" name="Peer Tested By" dataDxfId="27"/>
    <tableColumn id="11" xr3:uid="{9A559323-C25A-4782-8E26-88D106F17AAA}" name="Peer Tested Comments, if any" dataDxfId="26"/>
    <tableColumn id="12" xr3:uid="{378A9FB5-8459-4DAB-AB5A-5D3493D3E0F4}" name="Peer Reviewed By" dataDxfId="25"/>
    <tableColumn id="13" xr3:uid="{BCBEF655-5DC2-4AAF-A8E6-33727DD2D209}" name="Peer Code Review Comments, if any" dataDxfId="24"/>
    <tableColumn id="14" xr3:uid="{499C9A77-CCC8-48AD-84DA-E2ED7F5A5450}" name="PR Number/Link" dataDxfId="23"/>
    <tableColumn id="15" xr3:uid="{0BEA4690-5EEB-4AFC-9C38-3400B39D122E}" name="PR Created Date" dataDxfId="22"/>
    <tableColumn id="16" xr3:uid="{3FD61B1D-FB28-4147-B9BC-8FAF0094D493}" name="PR Approved Date" dataDxfId="21"/>
    <tableColumn id="17" xr3:uid="{F6917B6F-647D-4B05-8528-6C65B645BA60}" name="Onsite Lead Code Review" dataDxfId="20"/>
    <tableColumn id="18" xr3:uid="{FC5DB33D-6E5F-4B72-8B37-FF16A5B91563}" name="Onsite Lead Code Review Comments, if any" dataDxfId="19"/>
    <tableColumn id="19" xr3:uid="{DF31D8D6-9BFA-4C82-9F38-6D3B9FCB1C29}" name="Client Code Review" dataDxfId="18"/>
    <tableColumn id="20" xr3:uid="{581D4D79-8824-48BB-96E1-76ADC79DA3E3}" name="PR Approved Date2" dataDxfId="17"/>
    <tableColumn id="21" xr3:uid="{5F28D476-5EA2-4B32-8B09-A4B644F8CFA3}" name="Client Code Review Comments, if any" dataDxfId="16"/>
    <tableColumn id="22" xr3:uid="{8A5EED27-626F-4073-B7EC-7548558D0616}" name="Internal PO -POV Comments" dataDxfId="15"/>
    <tableColumn id="23" xr3:uid="{1AD025FD-55CE-40CA-9040-E96BEE029FEC}" name="Client PO -POV Comments" dataDxfId="14"/>
    <tableColumn id="24" xr3:uid="{12FF4150-145A-4E24-92BB-3F446C9EB8AF}" name="Comments" dataDxfId="13"/>
    <tableColumn id="25" xr3:uid="{97C95382-8AFD-4219-ADF7-89AC36ABA175}" name="11/20/2024" dataDxfId="12"/>
    <tableColumn id="26" xr3:uid="{5430C8F5-CBFB-4576-B80B-C2D4CB7BBDE8}" name="11/21/2024" dataDxfId="11"/>
    <tableColumn id="27" xr3:uid="{5B756B8F-8099-4BE8-883D-390A0683149B}" name="11/22/2024" dataDxfId="10"/>
    <tableColumn id="28" xr3:uid="{F087EAED-F2EE-4E66-9669-4C186F0B1B8C}" name="11/25/2024" dataDxfId="9"/>
    <tableColumn id="29" xr3:uid="{20C2D56B-6713-49A2-B805-40873BB10D1C}" name="11/26/2024" dataDxfId="8"/>
    <tableColumn id="30" xr3:uid="{F5B3BB90-011B-4B54-83AD-89E97BB77C7B}" name="11/27/2024" dataDxfId="7"/>
    <tableColumn id="31" xr3:uid="{F0C67454-EE2E-4262-BCB0-37B758BF9B91}" name="11/28/2024" dataDxfId="6"/>
    <tableColumn id="32" xr3:uid="{60F7E964-09F4-4553-A2F7-A6F8AD7AA0C8}" name="11/29/2024" dataDxfId="5"/>
    <tableColumn id="33" xr3:uid="{EDA54A65-CBFB-47C6-AFAA-E77456FA707B}" name="12/2/2024" dataDxfId="4"/>
    <tableColumn id="34" xr3:uid="{4D5112E1-23A3-4DA4-A734-FCD14FB826AF}" name="12/3/2024" dataDxfId="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 dT="2024-07-17T06:38:20.41" personId="{729E108B-2778-4751-8A88-BD25FE34D2BA}" id="{AE6C5C68-6713-46C9-A225-D751069DB659}">
    <text>Total story point assigned for Relevantz team</text>
  </threadedComment>
  <threadedComment ref="F2" dT="2024-07-17T06:38:40.64" personId="{729E108B-2778-4751-8A88-BD25FE34D2BA}" id="{1C91ECAA-7CCD-4FC7-A7D7-10434B888AFE}">
    <text>Total story point completed by Relevantz team</text>
  </threadedComment>
  <threadedComment ref="G2" dT="2024-07-17T06:39:44.21" personId="{729E108B-2778-4751-8A88-BD25FE34D2BA}" id="{7189701D-DEFC-4FA3-9D27-43CDA7A8513B}">
    <text>Total story points introduced / removed in middle of the sprint.</text>
  </threadedComment>
</ThreadedComments>
</file>

<file path=xl/threadedComments/threadedComment2.xml><?xml version="1.0" encoding="utf-8"?>
<ThreadedComments xmlns="http://schemas.microsoft.com/office/spreadsheetml/2018/threadedcomments" xmlns:x="http://schemas.openxmlformats.org/spreadsheetml/2006/main">
  <threadedComment ref="L1" dT="2025-02-12T13:43:11.37" personId="{DA11BFF8-9E03-4C61-A1B5-3AC26D84B802}" id="{BDE023FB-3C0E-433E-976C-9C8E498651D5}">
    <text>1. Relevantz or Client Developed
2. Reason for the Defect
3. Current Status of the Defect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19:8a9b6ea893c94a118cce0008488fa0fd@thread.v2" TargetMode="Externa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hyperlink" Target="https://dev.azure.com/heartlandschools/Accounting/_git/MSBAccounting-NewSchoolBooks/pullrequest/48944"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8844" TargetMode="External"/><Relationship Id="rId2" Type="http://schemas.openxmlformats.org/officeDocument/2006/relationships/hyperlink" Target="https://dev.azure.com/heartlandschools/Accounting/_git/MSBAccounting-NewSchoolBooks/pullrequest/48608" TargetMode="External"/><Relationship Id="rId1" Type="http://schemas.openxmlformats.org/officeDocument/2006/relationships/hyperlink" Target="https://heartlandschools.axosoft.com/viewitem?id=27265&amp;type=defects&amp;force_use_number=tru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heartlandschools.axosoft.com/viewitem?id=27265&amp;type=defects&amp;force_use_number=tru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8518" TargetMode="External"/><Relationship Id="rId2" Type="http://schemas.openxmlformats.org/officeDocument/2006/relationships/hyperlink" Target="https://heartlandschools.axosoft.com/viewitem?id=27253&amp;type=defects&amp;force_use_number=true" TargetMode="External"/><Relationship Id="rId1" Type="http://schemas.openxmlformats.org/officeDocument/2006/relationships/hyperlink" Target="https://heartlandschools.axosoft.com/viewitem?id=27196&amp;type=defects&amp;force_use_number=true" TargetMode="External"/><Relationship Id="rId5" Type="http://schemas.openxmlformats.org/officeDocument/2006/relationships/hyperlink" Target="https://dev.azure.com/heartlandschools/Accounting/_git/MSBAccounting-NewSchoolBooks/pullrequest/48449" TargetMode="External"/><Relationship Id="rId4" Type="http://schemas.openxmlformats.org/officeDocument/2006/relationships/hyperlink" Target="https://dev.azure.com/heartlandschools/Accounting/_git/MSBAccounting-NewSchoolBooks/pullrequest/48313"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heartlandschools.axosoft.com/viewitem?id=27253&amp;type=defects&amp;force_use_number=true" TargetMode="External"/><Relationship Id="rId1" Type="http://schemas.openxmlformats.org/officeDocument/2006/relationships/hyperlink" Target="https://heartlandschools.axosoft.com/viewitem?id=27196&amp;type=defects&amp;force_use_number=tru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8128" TargetMode="External"/><Relationship Id="rId2" Type="http://schemas.openxmlformats.org/officeDocument/2006/relationships/hyperlink" Target="https://dev.azure.com/heartlandschools/Merchant/_git/Boarding/pullrequest/48103" TargetMode="External"/><Relationship Id="rId1" Type="http://schemas.openxmlformats.org/officeDocument/2006/relationships/hyperlink" Target="https://dev.azure.com/heartlandschools/Accounting/_git/MSBAccounting-NewSchoolBooks/pullrequest/48108" TargetMode="External"/><Relationship Id="rId6" Type="http://schemas.openxmlformats.org/officeDocument/2006/relationships/hyperlink" Target="https://dev.azure.com/heartlandschools/Merchant/_git/Boarding/pullrequest/48151" TargetMode="External"/><Relationship Id="rId5" Type="http://schemas.openxmlformats.org/officeDocument/2006/relationships/hyperlink" Target="https://dev.azure.com/heartlandschools/Accounting/_git/MSBAccounting-NewSchoolBooks/pullrequest/48167" TargetMode="External"/><Relationship Id="rId4" Type="http://schemas.openxmlformats.org/officeDocument/2006/relationships/hyperlink" Target="https://dev.azure.com/heartlandschools/Merchant/_git/Boarding/pullrequest/48127"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dev.azure.com/heartlandschools/Accounting/_git/MSBAccounting-NewSchoolBooks/pullrequest/47795" TargetMode="External"/><Relationship Id="rId1" Type="http://schemas.openxmlformats.org/officeDocument/2006/relationships/hyperlink" Target="https://dev.azure.com/heartlandschools/Accounting/_git/MSBAccounting-NewSchoolBooks/pullrequest/47717"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7298" TargetMode="External"/><Relationship Id="rId7" Type="http://schemas.openxmlformats.org/officeDocument/2006/relationships/hyperlink" Target="https://dev.azure.com/heartlandschools/Accounting/_git/AccountingAutomation/pullrequest/47192?_a=files" TargetMode="External"/><Relationship Id="rId2" Type="http://schemas.openxmlformats.org/officeDocument/2006/relationships/hyperlink" Target="https://dev.azure.com/heartlandschools/Accounting/_git/MSBAccounting-NewSchoolBooks/pullrequest/47266" TargetMode="External"/><Relationship Id="rId1" Type="http://schemas.openxmlformats.org/officeDocument/2006/relationships/hyperlink" Target="https://dev.azure.com/heartlandschools/Accounting/_git/MSBAccounting-NewSchoolBooks/pullrequest/47235" TargetMode="External"/><Relationship Id="rId6" Type="http://schemas.openxmlformats.org/officeDocument/2006/relationships/hyperlink" Target="https://dev.azure.com/heartlandschools/Accounting/_git/MSBAccounting-NewSchoolBooks/pullrequest/47379" TargetMode="External"/><Relationship Id="rId5" Type="http://schemas.openxmlformats.org/officeDocument/2006/relationships/hyperlink" Target="https://dev.azure.com/heartlandschools/Accounting/_git/MSBAccounting-NewSchoolBooks/pullrequest/47403" TargetMode="External"/><Relationship Id="rId4" Type="http://schemas.openxmlformats.org/officeDocument/2006/relationships/hyperlink" Target="https://dev.azure.com/heartlandschools/Merchant/_git/Boarding/pullrequest/47375"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7525" TargetMode="External"/><Relationship Id="rId2" Type="http://schemas.openxmlformats.org/officeDocument/2006/relationships/hyperlink" Target="https://dev.azure.com/heartlandschools/Accounting/_git/MSBAccounting-NewSchoolBooks/pullrequest/47608" TargetMode="External"/><Relationship Id="rId1" Type="http://schemas.openxmlformats.org/officeDocument/2006/relationships/hyperlink" Target="https://dev.azure.com/heartlandschools/Accounting/_git/MSBAccounting-NewSchoolBooks/pullrequest/47609" TargetMode="External"/><Relationship Id="rId5" Type="http://schemas.openxmlformats.org/officeDocument/2006/relationships/hyperlink" Target="https://dev.azure.com/heartlandschools/Accounting/_git/MSBAccounting-NewSchoolBooks/pullrequest/47717" TargetMode="External"/><Relationship Id="rId4" Type="http://schemas.openxmlformats.org/officeDocument/2006/relationships/hyperlink" Target="https://dev.azure.com/heartlandschools/Merchant/_git/Boarding/pullrequest/47689"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6762" TargetMode="External"/><Relationship Id="rId7" Type="http://schemas.openxmlformats.org/officeDocument/2006/relationships/hyperlink" Target="https://dev.azure.com/heartlandschools/Accounting/_git/MSBAccounting-NewSchoolBooks/pullrequest/46831" TargetMode="External"/><Relationship Id="rId2" Type="http://schemas.openxmlformats.org/officeDocument/2006/relationships/hyperlink" Target="https://dev.azure.com/heartlandschools/Accounting/_git/MSBAccounting-NewSchoolBooks/pullrequest/46764" TargetMode="External"/><Relationship Id="rId1" Type="http://schemas.openxmlformats.org/officeDocument/2006/relationships/hyperlink" Target="https://dev.azure.com/heartlandschools/Accounting/_git/MSBAccounting-NewSchoolBooks/pullrequest/46763" TargetMode="External"/><Relationship Id="rId6" Type="http://schemas.openxmlformats.org/officeDocument/2006/relationships/hyperlink" Target="https://dev.azure.com/heartlandschools/Accounting/_git/MSBAccounting-NewSchoolBooks/pullrequest/46763" TargetMode="External"/><Relationship Id="rId5" Type="http://schemas.openxmlformats.org/officeDocument/2006/relationships/hyperlink" Target="https://dev.azure.com/heartlandschools/Accounting/_git/MSBAccounting-NewSchoolBooks/pullrequest/46629" TargetMode="External"/><Relationship Id="rId4" Type="http://schemas.openxmlformats.org/officeDocument/2006/relationships/hyperlink" Target="https://dev.azure.com/heartlandschools/Accounting/_git/MSBAccounting-NewSchoolBooks/pullrequest/46786"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6990" TargetMode="External"/><Relationship Id="rId2" Type="http://schemas.openxmlformats.org/officeDocument/2006/relationships/hyperlink" Target="https://dev.azure.com/heartlandschools/Accounting/_git/MSBAccounting-NewSchoolBooks/pullrequest/47060" TargetMode="External"/><Relationship Id="rId1" Type="http://schemas.openxmlformats.org/officeDocument/2006/relationships/hyperlink" Target="https://dev.azure.com/heartlandschools/Accounting/_git/MSBAccounting-NewSchoolBooks/pullrequest/46949" TargetMode="External"/><Relationship Id="rId6" Type="http://schemas.openxmlformats.org/officeDocument/2006/relationships/hyperlink" Target="https://dev.azure.com/heartlandschools/Accounting/_git/MSBAccounting-NewSchoolBooks/pullrequest/47154" TargetMode="External"/><Relationship Id="rId5" Type="http://schemas.openxmlformats.org/officeDocument/2006/relationships/hyperlink" Target="https://dev.azure.com/heartlandschools/Accounting/_git/MSBAccounting-NewSchoolBooks/pullrequest/46997" TargetMode="External"/><Relationship Id="rId4" Type="http://schemas.openxmlformats.org/officeDocument/2006/relationships/hyperlink" Target="https://dev.azure.com/heartlandschools/Accounting/_git/MSBAccounting-NewSchoolBooks/pullrequest/46934"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6383" TargetMode="External"/><Relationship Id="rId7" Type="http://schemas.openxmlformats.org/officeDocument/2006/relationships/hyperlink" Target="https://dev.azure.com/heartlandschools/Accounting/_git/MSBAccounting-NewSchoolBooks/pullrequest/46629" TargetMode="External"/><Relationship Id="rId2" Type="http://schemas.openxmlformats.org/officeDocument/2006/relationships/hyperlink" Target="https://dev.azure.com/heartlandschools/Accounting/_git/MSBAccounting-NewSchoolBooks/pullrequest/46403" TargetMode="External"/><Relationship Id="rId1" Type="http://schemas.openxmlformats.org/officeDocument/2006/relationships/hyperlink" Target="https://dev.azure.com/heartlandschools/Accounting/_git/MSBAccounting-NewSchoolBooks/pullrequest/46402" TargetMode="External"/><Relationship Id="rId6" Type="http://schemas.openxmlformats.org/officeDocument/2006/relationships/hyperlink" Target="https://dev.azure.com/heartlandschools/Accounting/_git/MSBAccounting-NewSchoolBooks/pullrequest/46557" TargetMode="External"/><Relationship Id="rId5" Type="http://schemas.openxmlformats.org/officeDocument/2006/relationships/hyperlink" Target="https://dev.azure.com/heartlandschools/Accounting/_git/MSBAccounting-NewSchoolBooks/pullrequest/46605" TargetMode="External"/><Relationship Id="rId4" Type="http://schemas.openxmlformats.org/officeDocument/2006/relationships/hyperlink" Target="https://dev.azure.com/heartlandschools/Accounting/_git/MSBAccounting-NewSchoolBooks/pullrequest/46387"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6182" TargetMode="External"/><Relationship Id="rId2" Type="http://schemas.openxmlformats.org/officeDocument/2006/relationships/hyperlink" Target="https://dev.azure.com/heartlandschools/Accounting/_git/MSBAccounting-NewSchoolBooks/pullrequest/46180" TargetMode="External"/><Relationship Id="rId1" Type="http://schemas.openxmlformats.org/officeDocument/2006/relationships/hyperlink" Target="https://dev.azure.com/heartlandschools/Accounting/_git/MSBAccounting-NewSchoolBooks/pullrequest/46183" TargetMode="External"/><Relationship Id="rId4" Type="http://schemas.openxmlformats.org/officeDocument/2006/relationships/hyperlink" Target="https://dev.azure.com/heartlandschools/Accounting/_git/MSBAccounting-NewSchoolBooks/pullrequest/46228"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5855" TargetMode="External"/><Relationship Id="rId2" Type="http://schemas.openxmlformats.org/officeDocument/2006/relationships/hyperlink" Target="https://dev.azure.com/heartlandschools/Accounting/_git/MSBAccounting-NewSchoolBooks/pullrequest/46001" TargetMode="External"/><Relationship Id="rId1" Type="http://schemas.openxmlformats.org/officeDocument/2006/relationships/hyperlink" Target="https://dev.azure.com/heartlandschools/Accounting/_git/AccountingAutomation/pullrequests?_a=completed"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5609" TargetMode="External"/><Relationship Id="rId7" Type="http://schemas.openxmlformats.org/officeDocument/2006/relationships/hyperlink" Target="https://dev.azure.com/heartlandschools/Accounting/_git/MSBAccounting-NewSchoolBooks/pullrequest/45781" TargetMode="External"/><Relationship Id="rId2" Type="http://schemas.openxmlformats.org/officeDocument/2006/relationships/hyperlink" Target="https://dev.azure.com/heartlandschools/Accounting/_git/MSBAccounting-NewSchoolBooks/pullrequest/45608" TargetMode="External"/><Relationship Id="rId1" Type="http://schemas.openxmlformats.org/officeDocument/2006/relationships/hyperlink" Target="https://dev.azure.com/heartlandschools/Accounting/_git/MSBAccounting-NewSchoolBooks/pullrequest/45437" TargetMode="External"/><Relationship Id="rId6" Type="http://schemas.openxmlformats.org/officeDocument/2006/relationships/hyperlink" Target="https://dev.azure.com/heartlandschools/Accounting/_git/MSBAccounting-NewSchoolBooks/pullrequest/45703" TargetMode="External"/><Relationship Id="rId5" Type="http://schemas.openxmlformats.org/officeDocument/2006/relationships/hyperlink" Target="https://dev.azure.com/heartlandschools/Accounting/_git/AccountingAutomation/pullrequests?_a=completed" TargetMode="External"/><Relationship Id="rId4" Type="http://schemas.openxmlformats.org/officeDocument/2006/relationships/hyperlink" Target="https://dev.azure.com/heartlandschools/Accounting/_git/MSBAccounting-NewSchoolBooks/pullrequest/45457"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5269" TargetMode="External"/><Relationship Id="rId2" Type="http://schemas.openxmlformats.org/officeDocument/2006/relationships/hyperlink" Target="https://dev.azure.com/heartlandschools/Accounting/_git/MSBAccounting-NewSchoolBooks/pullrequest/45457" TargetMode="External"/><Relationship Id="rId1" Type="http://schemas.openxmlformats.org/officeDocument/2006/relationships/hyperlink" Target="https://dev.azure.com/heartlandschools/Accounting/_git/MSBAccounting-NewSchoolBooks/pullrequest/45437"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5119" TargetMode="External"/><Relationship Id="rId2" Type="http://schemas.openxmlformats.org/officeDocument/2006/relationships/hyperlink" Target="https://dev.azure.com/heartlandschools/Accounting/_git/MSBAccounting-NewSchoolBooks/pullrequest/45112" TargetMode="External"/><Relationship Id="rId1" Type="http://schemas.openxmlformats.org/officeDocument/2006/relationships/hyperlink" Target="https://dev.azure.com/heartlandschools/Accounting/_git/MSBAccounting-NewSchoolBooks/pullrequest/45033"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4895" TargetMode="External"/><Relationship Id="rId2" Type="http://schemas.openxmlformats.org/officeDocument/2006/relationships/hyperlink" Target="https://dev.azure.com/heartlandschools/Accounting/_git/AccountingAutomation/pullrequest/44866" TargetMode="External"/><Relationship Id="rId1" Type="http://schemas.openxmlformats.org/officeDocument/2006/relationships/hyperlink" Target="https://dev.azure.com/heartlandschools/Accounting/_git/MSBAccounting-NewSchoolBooks/pullrequest/44790" TargetMode="External"/><Relationship Id="rId4" Type="http://schemas.openxmlformats.org/officeDocument/2006/relationships/hyperlink" Target="https://dev.azure.com/heartlandschools/Accounting/_git/MSBAccounting-NewSchoolBooks/pullrequest/44826"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dev.azure.com/heartlandschools/Accounting/_git/AccountingAutomation/pullrequest/44686" TargetMode="External"/><Relationship Id="rId2" Type="http://schemas.openxmlformats.org/officeDocument/2006/relationships/hyperlink" Target="https://dev.azure.com/heartlandschools/Accounting/_git/MSBAccounting-NewSchoolBooks/pullrequest/44682" TargetMode="External"/><Relationship Id="rId1" Type="http://schemas.openxmlformats.org/officeDocument/2006/relationships/hyperlink" Target="https://dev.azure.com/heartlandschools/Accounting/_git/AccountingAutomation/pullrequest/44625" TargetMode="External"/></Relationships>
</file>

<file path=xl/worksheets/_rels/sheet38.xml.rels><?xml version="1.0" encoding="UTF-8" standalone="yes"?>
<Relationships xmlns="http://schemas.openxmlformats.org/package/2006/relationships"><Relationship Id="rId2" Type="http://schemas.openxmlformats.org/officeDocument/2006/relationships/hyperlink" Target="https://dev.azure.com/heartlandschools/Accounting/_git/MSBAccounting-NewSchoolBooks/pullrequest/44412" TargetMode="External"/><Relationship Id="rId1" Type="http://schemas.openxmlformats.org/officeDocument/2006/relationships/hyperlink" Target="https://dev.azure.com/heartlandschools/Accounting/_git/MSBAccounting-NewSchoolBooks/pullrequest/44245"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4035" TargetMode="External"/><Relationship Id="rId2" Type="http://schemas.openxmlformats.org/officeDocument/2006/relationships/hyperlink" Target="https://dev.azure.com/heartlandschools/Accounting/_git/MSBAccounting-NewSchoolBooks/pullrequest/44119" TargetMode="External"/><Relationship Id="rId1" Type="http://schemas.openxmlformats.org/officeDocument/2006/relationships/hyperlink" Target="https://dev.azure.com/heartlandschools/Accounting/_git/MSBAccounting-NewSchoolBooks/pullrequest/44095" TargetMode="External"/><Relationship Id="rId4" Type="http://schemas.openxmlformats.org/officeDocument/2006/relationships/hyperlink" Target="https://dev.azure.com/heartlandschools/Accounting/_git/MSBAccounting-NewSchoolBooks/pullrequest/44144"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3876" TargetMode="External"/><Relationship Id="rId2" Type="http://schemas.openxmlformats.org/officeDocument/2006/relationships/hyperlink" Target="https://dev.azure.com/heartlandschools/Accounting/_git/MSBAccounting-NewSchoolBooks/pullrequest/43681" TargetMode="External"/><Relationship Id="rId1" Type="http://schemas.openxmlformats.org/officeDocument/2006/relationships/hyperlink" Target="https://dev.azure.com/heartlandschools/Accounting/_git/MSBAccounting-NewSchoolBooks/pullrequest/43678" TargetMode="External"/><Relationship Id="rId4" Type="http://schemas.openxmlformats.org/officeDocument/2006/relationships/hyperlink" Target="https://dev.azure.com/heartlandschools/Accounting/_git/MSBAccounting-NewSchoolBooks/pullrequest/43875"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3527" TargetMode="External"/><Relationship Id="rId2" Type="http://schemas.openxmlformats.org/officeDocument/2006/relationships/hyperlink" Target="https://dev.azure.com/heartlandschools/Accounting/_git/MSBAccounting-NewSchoolBooks/pullrequest/43469" TargetMode="External"/><Relationship Id="rId1" Type="http://schemas.openxmlformats.org/officeDocument/2006/relationships/hyperlink" Target="https://dev.azure.com/heartlandschools/Accounting/_git/AccountingAutomation/pullrequest/43467" TargetMode="External"/><Relationship Id="rId6" Type="http://schemas.openxmlformats.org/officeDocument/2006/relationships/hyperlink" Target="https://dev.azure.com/heartlandschools/Accounting/_git/MSBAccounting-NewSchoolBooks/pullrequest/43510" TargetMode="External"/><Relationship Id="rId5" Type="http://schemas.openxmlformats.org/officeDocument/2006/relationships/hyperlink" Target="https://dev.azure.com/heartlandschools/Accounting/_git/MSBAccounting-NewSchoolBooks/pullrequest/43501" TargetMode="External"/><Relationship Id="rId4" Type="http://schemas.openxmlformats.org/officeDocument/2006/relationships/hyperlink" Target="https://dev.azure.com/heartlandschools/Accounting/_git/MSBAccounting-NewSchoolBooks/pullrequest/43501"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3265" TargetMode="External"/><Relationship Id="rId2" Type="http://schemas.openxmlformats.org/officeDocument/2006/relationships/hyperlink" Target="https://dev.azure.com/heartlandschools/Accounting/_git/AccountingAutomation/pullrequest/43219" TargetMode="External"/><Relationship Id="rId1" Type="http://schemas.openxmlformats.org/officeDocument/2006/relationships/hyperlink" Target="https://dev.azure.com/heartlandschools/Accounting/_git/AccountingAutomation/pullrequest/42991" TargetMode="External"/><Relationship Id="rId5" Type="http://schemas.openxmlformats.org/officeDocument/2006/relationships/hyperlink" Target="https://dev.azure.com/heartlandschools/Accounting/_git/MSBAccounting-NewSchoolBooks/pullrequest/43352" TargetMode="External"/><Relationship Id="rId4" Type="http://schemas.openxmlformats.org/officeDocument/2006/relationships/hyperlink" Target="https://dev.azure.com/heartlandschools/Accounting/_git/MSBAccounting-NewSchoolBooks/pullrequest/43265"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s://dev.azure.com/heartlandschools/Accounting/_git/AccountingAutomation/pullrequest/42991" TargetMode="External"/><Relationship Id="rId2" Type="http://schemas.openxmlformats.org/officeDocument/2006/relationships/hyperlink" Target="https://dev.azure.com/heartlandschools/Accounting/_git/MSBAccounting-NewSchoolBooks/pullrequest/43019" TargetMode="External"/><Relationship Id="rId1" Type="http://schemas.openxmlformats.org/officeDocument/2006/relationships/hyperlink" Target="https://dev.azure.com/heartlandschools/Accounting/_git/MSBAccounting-NewSchoolBooks/pullrequest/42959"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2687" TargetMode="External"/><Relationship Id="rId2" Type="http://schemas.openxmlformats.org/officeDocument/2006/relationships/hyperlink" Target="https://dev.azure.com/heartlandschools/Accounting/_git/MSBAccounting-NewSchoolBooks/pullrequest/42645" TargetMode="External"/><Relationship Id="rId1" Type="http://schemas.openxmlformats.org/officeDocument/2006/relationships/hyperlink" Target="https://dev.azure.com/heartlandschools/Accounting/_git/MSBAccounting-NewSchoolBooks/pullrequest/42832" TargetMode="External"/></Relationships>
</file>

<file path=xl/worksheets/_rels/sheet52.xml.rels><?xml version="1.0" encoding="UTF-8" standalone="yes"?>
<Relationships xmlns="http://schemas.openxmlformats.org/package/2006/relationships"><Relationship Id="rId3" Type="http://schemas.openxmlformats.org/officeDocument/2006/relationships/hyperlink" Target="https://dev.azure.com/heartlandschools/Accounting/_git/AccountingAutomation/pullrequest/42449" TargetMode="External"/><Relationship Id="rId2" Type="http://schemas.openxmlformats.org/officeDocument/2006/relationships/hyperlink" Target="https://dev.azure.com/heartlandschools/Accounting/_git/MSBAccounting-NewSchoolBooks/pullrequest/42425" TargetMode="External"/><Relationship Id="rId1" Type="http://schemas.openxmlformats.org/officeDocument/2006/relationships/hyperlink" Target="https://dev.azure.com/heartlandschools/Accounting/_git/MSBAccounting-NewSchoolBooks/pullrequest/42356" TargetMode="External"/><Relationship Id="rId5" Type="http://schemas.openxmlformats.org/officeDocument/2006/relationships/hyperlink" Target="https://dev.azure.com/heartlandschools/Accounting/_git/MSBAccounting-NewSchoolBooks/pullrequest/42559" TargetMode="External"/><Relationship Id="rId4" Type="http://schemas.openxmlformats.org/officeDocument/2006/relationships/hyperlink" Target="https://dev.azure.com/heartlandschools/Accounting/_git/MSBAccounting-NewSchoolBooks/pullrequest/42485" TargetMode="External"/></Relationships>
</file>

<file path=xl/worksheets/_rels/sheet54.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2179" TargetMode="External"/><Relationship Id="rId2" Type="http://schemas.openxmlformats.org/officeDocument/2006/relationships/hyperlink" Target="https://dev.azure.com/heartlandschools/Accounting/_git/MSBAccounting-NewSchoolBooks/pullrequest/42110" TargetMode="External"/><Relationship Id="rId1" Type="http://schemas.openxmlformats.org/officeDocument/2006/relationships/hyperlink" Target="https://dev.azure.com/heartlandschools/Accounting/_git/MSBAccounting-NewSchoolBooks/pullrequest/42101" TargetMode="External"/><Relationship Id="rId4" Type="http://schemas.openxmlformats.org/officeDocument/2006/relationships/hyperlink" Target="https://dev.azure.com/heartlandschools/Accounting/_git/MSBAccounting-NewSchoolBooks/pullrequest/42188"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1910?_a=files" TargetMode="External"/><Relationship Id="rId2" Type="http://schemas.openxmlformats.org/officeDocument/2006/relationships/hyperlink" Target="https://dev.azure.com/heartlandschools/Accounting/_git/MSBAccounting-NewSchoolBooks/pullrequest/41940" TargetMode="External"/><Relationship Id="rId1" Type="http://schemas.openxmlformats.org/officeDocument/2006/relationships/hyperlink" Target="https://dev.azure.com/heartlandschools/Accounting/_git/MSBAccounting-NewSchoolBooks/pullrequest/41851" TargetMode="External"/></Relationships>
</file>

<file path=xl/worksheets/_rels/sheet58.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1750" TargetMode="External"/><Relationship Id="rId2" Type="http://schemas.openxmlformats.org/officeDocument/2006/relationships/hyperlink" Target="https://dev.azure.com/heartlandschools/Accounting/_git/MSBAccounting-NewSchoolBooks/pullrequest/41750" TargetMode="External"/><Relationship Id="rId1" Type="http://schemas.openxmlformats.org/officeDocument/2006/relationships/hyperlink" Target="https://dev.azure.com/heartlandschools/Accounting/_git/MSBAccounting-NewSchoolBooks/pullrequest/41825" TargetMode="External"/><Relationship Id="rId5" Type="http://schemas.openxmlformats.org/officeDocument/2006/relationships/hyperlink" Target="https://dev.azure.com/heartlandschools/Accounting/_git/AccountingAutomation/pullrequest/41749" TargetMode="External"/><Relationship Id="rId4" Type="http://schemas.openxmlformats.org/officeDocument/2006/relationships/hyperlink" Target="https://dev.azure.com/heartlandschools/Accounting/_git/MSBAccounting-NewSchoolBooks/pullrequest/41750"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https://dev.azure.com/heartlandschools/Accounting/_git/AccountingAutomation/pullrequest/41539" TargetMode="External"/><Relationship Id="rId2" Type="http://schemas.openxmlformats.org/officeDocument/2006/relationships/hyperlink" Target="https://dev.azure.com/heartlandschools/Accounting/_git/MSBAccounting-NewSchoolBooks/pullrequest/41434" TargetMode="External"/><Relationship Id="rId1" Type="http://schemas.openxmlformats.org/officeDocument/2006/relationships/hyperlink" Target="https://dev.azure.com/heartlandschools/Accounting/_git/MSBAccounting-NewSchoolBooks/pullrequest/41432" TargetMode="External"/><Relationship Id="rId4" Type="http://schemas.openxmlformats.org/officeDocument/2006/relationships/hyperlink" Target="https://dev.azure.com/heartlandschools/Accounting/_git/MSBAccounting-NewSchoolBooks/pullrequest/41571"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1234" TargetMode="External"/><Relationship Id="rId7" Type="http://schemas.openxmlformats.org/officeDocument/2006/relationships/hyperlink" Target="https://dev.azure.com/heartlandschools/Accounting/_git/MSBAccounting-NewSchoolBooks/pullrequest/41362" TargetMode="External"/><Relationship Id="rId2" Type="http://schemas.openxmlformats.org/officeDocument/2006/relationships/hyperlink" Target="https://dev.azure.com/heartlandschools/Accounting/_git/MSBAccounting-NewSchoolBooks/pullrequest/41228" TargetMode="External"/><Relationship Id="rId1" Type="http://schemas.openxmlformats.org/officeDocument/2006/relationships/hyperlink" Target="https://dev.azure.com/heartlandschools/Accounting/_git/MSBAccounting-NewSchoolBooks/pullrequest/41089" TargetMode="External"/><Relationship Id="rId6" Type="http://schemas.openxmlformats.org/officeDocument/2006/relationships/hyperlink" Target="https://dev.azure.com/heartlandschools/Accounting/_git/MSBAccounting-NewSchoolBooks/pullrequest/41321" TargetMode="External"/><Relationship Id="rId5" Type="http://schemas.openxmlformats.org/officeDocument/2006/relationships/hyperlink" Target="https://dev.azure.com/heartlandschools/Accounting/_git/MSBAccounting-NewSchoolBooks/pullrequest/41359" TargetMode="External"/><Relationship Id="rId4" Type="http://schemas.openxmlformats.org/officeDocument/2006/relationships/hyperlink" Target="https://dev.azure.com/heartlandschools/Accounting/_git/MSBAccounting-NewSchoolBooks/pullrequest/41301"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https://dev.azure.com/heartlandschools/Accounting/_git/MSBAccounting-NewSchoolBooks/pullrequest/41104" TargetMode="External"/><Relationship Id="rId3" Type="http://schemas.openxmlformats.org/officeDocument/2006/relationships/hyperlink" Target="https://dev.azure.com/heartlandschools/Accounting/_git/AccountingAutomation/pullrequest/40911" TargetMode="External"/><Relationship Id="rId7" Type="http://schemas.openxmlformats.org/officeDocument/2006/relationships/hyperlink" Target="https://dev.azure.com/heartlandschools/Accounting/_git/MSBAccounting-NewSchoolBooks/pullrequest/41154" TargetMode="External"/><Relationship Id="rId2" Type="http://schemas.openxmlformats.org/officeDocument/2006/relationships/hyperlink" Target="https://dev.azure.com/heartlandschools/Accounting/_git/MSBAccounting-NewSchoolBooks/pullrequest/40885" TargetMode="External"/><Relationship Id="rId1" Type="http://schemas.openxmlformats.org/officeDocument/2006/relationships/hyperlink" Target="https://dev.azure.com/heartlandschools/Accounting/_git/MSBAccounting-NewSchoolBooks/pullrequest/40987" TargetMode="External"/><Relationship Id="rId6" Type="http://schemas.openxmlformats.org/officeDocument/2006/relationships/hyperlink" Target="https://dev.azure.com/heartlandschools/Accounting/_git/AccountingAutomation/pullrequest/41112" TargetMode="External"/><Relationship Id="rId5" Type="http://schemas.openxmlformats.org/officeDocument/2006/relationships/hyperlink" Target="https://dev.azure.com/heartlandschools/Accounting/_git/MSBAccounting-NewSchoolBooks/pullrequest/41089" TargetMode="External"/><Relationship Id="rId4" Type="http://schemas.openxmlformats.org/officeDocument/2006/relationships/hyperlink" Target="https://dev.azure.com/heartlandschools/Accounting/_git/MSBAccounting-NewSchoolBooks/pullrequest/41051" TargetMode="External"/><Relationship Id="rId9" Type="http://schemas.openxmlformats.org/officeDocument/2006/relationships/table" Target="../tables/table1.xml"/></Relationships>
</file>

<file path=xl/worksheets/_rels/sheet66.xml.rels><?xml version="1.0" encoding="UTF-8" standalone="yes"?>
<Relationships xmlns="http://schemas.openxmlformats.org/package/2006/relationships"><Relationship Id="rId8" Type="http://schemas.openxmlformats.org/officeDocument/2006/relationships/hyperlink" Target="https://dev.azure.com/heartlandschools/Accounting/_git/AccountingAutomation/pullrequest/40911" TargetMode="External"/><Relationship Id="rId3" Type="http://schemas.openxmlformats.org/officeDocument/2006/relationships/hyperlink" Target="https://dev.azure.com/heartlandschools/Accounting/_git/MSBAccounting-NewSchoolBooks/pullrequest/40778" TargetMode="External"/><Relationship Id="rId7" Type="http://schemas.openxmlformats.org/officeDocument/2006/relationships/hyperlink" Target="https://dev.azure.com/heartlandschools/Accounting/_git/MSBAccounting-NewSchoolBooks/pullrequest/40885" TargetMode="External"/><Relationship Id="rId2" Type="http://schemas.openxmlformats.org/officeDocument/2006/relationships/hyperlink" Target="https://dev.azure.com/heartlandschools/Accounting/_git/MSBAccounting-NewSchoolBooks/pullrequest/40712" TargetMode="External"/><Relationship Id="rId1" Type="http://schemas.openxmlformats.org/officeDocument/2006/relationships/hyperlink" Target="https://dev.azure.com/heartlandschools/Accounting/_git/MSBAccounting-NewSchoolBooks/pullrequest/40737" TargetMode="External"/><Relationship Id="rId6" Type="http://schemas.openxmlformats.org/officeDocument/2006/relationships/hyperlink" Target="https://dev.azure.com/heartlandschools/Accounting/_git/MSBAccounting-NewSchoolBooks/pullrequest/40890" TargetMode="External"/><Relationship Id="rId5" Type="http://schemas.openxmlformats.org/officeDocument/2006/relationships/hyperlink" Target="https://dev.azure.com/heartlandschools/Accounting/_git/MSBAccounting-NewSchoolBooks/pullrequest/40821" TargetMode="External"/><Relationship Id="rId4" Type="http://schemas.openxmlformats.org/officeDocument/2006/relationships/hyperlink" Target="https://dev.azure.com/heartlandschools/Accounting/_git/MSBAccounting-NewSchoolBooks/pullrequest/40805" TargetMode="External"/><Relationship Id="rId9" Type="http://schemas.openxmlformats.org/officeDocument/2006/relationships/table" Target="../tables/table2.xml"/></Relationships>
</file>

<file path=xl/worksheets/_rels/sheet68.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dev.azure.com/heartlandschools/Accounting/_git/MSBAccounting-NewSchoolBooks/pullrequest/40687" TargetMode="External"/><Relationship Id="rId7" Type="http://schemas.openxmlformats.org/officeDocument/2006/relationships/hyperlink" Target="https://docs.google.com/spreadsheets/d/1GXkzspTZqmJNajlmuy0KjDHPYRdIxiexalfKX-muBbk/edit?gid=359784157" TargetMode="External"/><Relationship Id="rId2" Type="http://schemas.openxmlformats.org/officeDocument/2006/relationships/hyperlink" Target="https://dev.azure.com/heartlandschools/Accounting/_git/MSBAccounting-NewSchoolBooks/pullrequest/40587" TargetMode="External"/><Relationship Id="rId1" Type="http://schemas.openxmlformats.org/officeDocument/2006/relationships/hyperlink" Target="https://dev.azure.com/heartlandschools/Accounting/_git/MSBAccounting-NewSchoolBooks/pullrequest/40538" TargetMode="External"/><Relationship Id="rId6" Type="http://schemas.openxmlformats.org/officeDocument/2006/relationships/hyperlink" Target="https://docs.google.com/spreadsheets/d/1GXkzspTZqmJNajlmuy0KjDHPYRdIxiexalfKX-muBbk/edit?gid=359784157" TargetMode="External"/><Relationship Id="rId5" Type="http://schemas.openxmlformats.org/officeDocument/2006/relationships/hyperlink" Target="https://dev.azure.com/heartlandschools/Accounting/_git/MSBAccounting-NewSchoolBooks/pullrequest/40713" TargetMode="External"/><Relationship Id="rId4" Type="http://schemas.openxmlformats.org/officeDocument/2006/relationships/hyperlink" Target="https://dev.azure.com/heartlandschools/Accounting/_git/MSBAccounting-NewSchoolBooks/pullrequest/40712" TargetMode="External"/></Relationships>
</file>

<file path=xl/worksheets/_rels/sheet6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0.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0428" TargetMode="External"/><Relationship Id="rId2" Type="http://schemas.openxmlformats.org/officeDocument/2006/relationships/hyperlink" Target="https://dev.azure.com/heartlandschools/Accounting/_git/MSBAccounting-NewSchoolBooks/pullrequest/40429" TargetMode="External"/><Relationship Id="rId1" Type="http://schemas.openxmlformats.org/officeDocument/2006/relationships/hyperlink" Target="https://dev.azure.com/heartlandschools/Accounting/_git/MSBAccounting-NewSchoolBooks/pullrequest/40421" TargetMode="External"/><Relationship Id="rId6" Type="http://schemas.openxmlformats.org/officeDocument/2006/relationships/table" Target="../tables/table4.xml"/><Relationship Id="rId5" Type="http://schemas.openxmlformats.org/officeDocument/2006/relationships/hyperlink" Target="https://dev.azure.com/heartlandschools/Accounting/_git/AccountingAutomation/pullrequest/40386" TargetMode="External"/><Relationship Id="rId4" Type="http://schemas.openxmlformats.org/officeDocument/2006/relationships/hyperlink" Target="https://dev.azure.com/heartlandschools/Accounting/_git/MSBAccounting-NewSchoolBooks/pullrequest/40488"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 TargetMode="External"/><Relationship Id="rId2" Type="http://schemas.openxmlformats.org/officeDocument/2006/relationships/hyperlink" Target="https://dev.azure.com/heartlandschools/Accounting/_git/MSBAccounting-NewSchoolBooks/pullrequest/40144" TargetMode="External"/><Relationship Id="rId1" Type="http://schemas.openxmlformats.org/officeDocument/2006/relationships/hyperlink" Target="https://dev.azure.com/heartlandschools/Accounting/_git/MSBAccounting-NewSchoolBooks/pullrequest/40144" TargetMode="External"/><Relationship Id="rId4" Type="http://schemas.openxmlformats.org/officeDocument/2006/relationships/table" Target="../tables/table5.xml"/></Relationships>
</file>

<file path=xl/worksheets/_rels/sheet75.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40032" TargetMode="External"/><Relationship Id="rId2" Type="http://schemas.openxmlformats.org/officeDocument/2006/relationships/hyperlink" Target="https://dev.azure.com/heartlandschools/Accounting/_git/MSBAccounting-NewSchoolBooks/pullrequest/39994" TargetMode="External"/><Relationship Id="rId1" Type="http://schemas.openxmlformats.org/officeDocument/2006/relationships/hyperlink" Target="https://dev.azure.com/heartlandschools/Accounting/_git/MSBAccounting-NewSchoolBooks/pullrequest/39973" TargetMode="External"/><Relationship Id="rId6" Type="http://schemas.openxmlformats.org/officeDocument/2006/relationships/table" Target="../tables/table6.xml"/><Relationship Id="rId5" Type="http://schemas.openxmlformats.org/officeDocument/2006/relationships/hyperlink" Target="https://dev.azure.com/heartlandschools/Accounting/_git/MSBAccounting-NewSchoolBooks/pullrequest/40090" TargetMode="External"/><Relationship Id="rId4" Type="http://schemas.openxmlformats.org/officeDocument/2006/relationships/hyperlink" Target="https://dev.azure.com/heartlandschools/Accounting/_git/MSBAccounting-NewSchoolBooks/pullrequest/40038" TargetMode="External"/></Relationships>
</file>

<file path=xl/worksheets/_rels/sheet7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7.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9848" TargetMode="External"/><Relationship Id="rId2" Type="http://schemas.openxmlformats.org/officeDocument/2006/relationships/hyperlink" Target="https://dev.azure.com/heartlandschools/Accounting/_git/MSBAccounting-NewSchoolBooks/pullrequest/39860" TargetMode="External"/><Relationship Id="rId1" Type="http://schemas.openxmlformats.org/officeDocument/2006/relationships/hyperlink" Target="https://dev.azure.com/heartlandschools/Accounting/_git/MSBAccounting-NewSchoolBooks/pullrequest/39860" TargetMode="External"/><Relationship Id="rId6" Type="http://schemas.openxmlformats.org/officeDocument/2006/relationships/table" Target="../tables/table8.xml"/><Relationship Id="rId5" Type="http://schemas.openxmlformats.org/officeDocument/2006/relationships/hyperlink" Target="https://dev.azure.com/heartlandschools/Accounting/_git/MSBAccounting-NewSchoolBooks/pullrequest/39891" TargetMode="External"/><Relationship Id="rId4" Type="http://schemas.openxmlformats.org/officeDocument/2006/relationships/hyperlink" Target="https://dev.azure.com/heartlandschools/Accounting/_git/MSBAccounting-NewSchoolBooks/pullrequest/39897"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dev.azure.com/heartlandschools/Accounting/_git/MSBAccounting-NewSchoolBooks/pullrequest/39669" TargetMode="External"/></Relationships>
</file>

<file path=xl/worksheets/_rels/sheet81.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9490" TargetMode="External"/><Relationship Id="rId2" Type="http://schemas.openxmlformats.org/officeDocument/2006/relationships/hyperlink" Target="https://dev.azure.com/heartlandschools/Accounting/_git/MSBAccounting-NewSchoolBooks/pullrequest/39454" TargetMode="External"/><Relationship Id="rId1" Type="http://schemas.openxmlformats.org/officeDocument/2006/relationships/hyperlink" Target="https://dev.azure.com/heartlandschools/Accounting/_git/MSBAccounting-NewSchoolBooks/pullrequest/39427" TargetMode="External"/><Relationship Id="rId5" Type="http://schemas.openxmlformats.org/officeDocument/2006/relationships/hyperlink" Target="https://dev.azure.com/heartlandschools/Accounting/_git/MSBAccounting-NewSchoolBooks/pullrequest/39524" TargetMode="External"/><Relationship Id="rId4" Type="http://schemas.openxmlformats.org/officeDocument/2006/relationships/hyperlink" Target="https://dev.azure.com/heartlandschools/Accounting/_git/MSBAccounting-NewSchoolBooks/pullrequest/39524" TargetMode="External"/></Relationships>
</file>

<file path=xl/worksheets/_rels/sheet83.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9373" TargetMode="External"/><Relationship Id="rId2" Type="http://schemas.openxmlformats.org/officeDocument/2006/relationships/hyperlink" Target="https://dev.azure.com/heartlandschools/Accounting/_git/MSBAccounting-NewSchoolBooks/pullrequest/39331" TargetMode="External"/><Relationship Id="rId1" Type="http://schemas.openxmlformats.org/officeDocument/2006/relationships/hyperlink" Target="https://dev.azure.com/heartlandschools/Accounting/_git/MSBAccounting-NewSchoolBooks/pullrequest/39274" TargetMode="External"/><Relationship Id="rId4" Type="http://schemas.openxmlformats.org/officeDocument/2006/relationships/hyperlink" Target="https://dev.azure.com/heartlandschools/Accounting/_git/MSBAccounting-NewSchoolBooks/pullrequest/39413" TargetMode="External"/></Relationships>
</file>

<file path=xl/worksheets/_rels/sheet85.xml.rels><?xml version="1.0" encoding="UTF-8" standalone="yes"?>
<Relationships xmlns="http://schemas.openxmlformats.org/package/2006/relationships"><Relationship Id="rId2" Type="http://schemas.openxmlformats.org/officeDocument/2006/relationships/hyperlink" Target="https://dev.azure.com/heartlandschools/Accounting/_git/MSBAccounting-NewSchoolBooks/pullrequest/39244" TargetMode="External"/><Relationship Id="rId1" Type="http://schemas.openxmlformats.org/officeDocument/2006/relationships/hyperlink" Target="https://dev.azure.com/heartlandschools/Accounting/_git/MSBAccounting-NewSchoolBooks/pullrequest/39124" TargetMode="External"/></Relationships>
</file>

<file path=xl/worksheets/_rels/sheet87.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8995" TargetMode="External"/><Relationship Id="rId2" Type="http://schemas.openxmlformats.org/officeDocument/2006/relationships/hyperlink" Target="https://dev.azure.com/heartlandschools/Accounting/_git/MSBAccounting-NewSchoolBooks/pullrequest/38960" TargetMode="External"/><Relationship Id="rId1" Type="http://schemas.openxmlformats.org/officeDocument/2006/relationships/hyperlink" Target="https://dev.azure.com/heartlandschools/Accounting/_git/MSBAccounting-NewSchoolBooks/pullrequest/39031" TargetMode="External"/></Relationships>
</file>

<file path=xl/worksheets/_rels/sheet89.xml.rels><?xml version="1.0" encoding="UTF-8" standalone="yes"?>
<Relationships xmlns="http://schemas.openxmlformats.org/package/2006/relationships"><Relationship Id="rId2" Type="http://schemas.openxmlformats.org/officeDocument/2006/relationships/hyperlink" Target="https://dev.azure.com/heartlandschools/Accounting/_git/MSBAccounting-NewSchoolBooks/pullrequest/38757" TargetMode="External"/><Relationship Id="rId1" Type="http://schemas.openxmlformats.org/officeDocument/2006/relationships/hyperlink" Target="https://dev.azure.com/heartlandschools/Accounting/_git/MSBAccounting-NewSchoolBooks/pullrequest/38756" TargetMode="External"/></Relationships>
</file>

<file path=xl/worksheets/_rels/sheet91.xml.rels><?xml version="1.0" encoding="UTF-8" standalone="yes"?>
<Relationships xmlns="http://schemas.openxmlformats.org/package/2006/relationships"><Relationship Id="rId2" Type="http://schemas.openxmlformats.org/officeDocument/2006/relationships/hyperlink" Target="https://dev.azure.com/heartlandschools/Accounting/_git/MSBAccounting-NewSchoolBooks/pullrequest/38621" TargetMode="External"/><Relationship Id="rId1" Type="http://schemas.openxmlformats.org/officeDocument/2006/relationships/hyperlink" Target="https://dev.azure.com/heartlandschools/Accounting/_git/MSBAccounting-NewSchoolBooks/pullrequest/38387" TargetMode="External"/></Relationships>
</file>

<file path=xl/worksheets/_rels/sheet93.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8226" TargetMode="External"/><Relationship Id="rId2" Type="http://schemas.openxmlformats.org/officeDocument/2006/relationships/hyperlink" Target="https://dev.azure.com/heartlandschools/Accounting/_git/MSBAccounting-NewSchoolBooks/pullrequest/38212" TargetMode="External"/><Relationship Id="rId1" Type="http://schemas.openxmlformats.org/officeDocument/2006/relationships/hyperlink" Target="https://dev.azure.com/heartlandschools/Accounting/_git/MSBAccounting-NewSchoolBooks/pullrequest/38212" TargetMode="External"/><Relationship Id="rId5" Type="http://schemas.openxmlformats.org/officeDocument/2006/relationships/hyperlink" Target="https://dev.azure.com/heartlandschools/Accounting/_git/MSBAccounting-NewSchoolBooks/pullrequest/38098" TargetMode="External"/><Relationship Id="rId4" Type="http://schemas.openxmlformats.org/officeDocument/2006/relationships/hyperlink" Target="https://dev.azure.com/heartlandschools/Accounting/_git/MSBAccounting-NewSchoolBooks/pullrequest/38221"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https://dev.azure.com/heartlandschools/Accounting/_git/MSBAccounting-NewSchoolBooks/pullrequest/38096" TargetMode="External"/><Relationship Id="rId1" Type="http://schemas.openxmlformats.org/officeDocument/2006/relationships/hyperlink" Target="https://dev.azure.com/heartlandschools/Accounting/_git/MSBAccounting-NewSchoolBooks/pullrequest/38031" TargetMode="External"/></Relationships>
</file>

<file path=xl/worksheets/_rels/sheet97.xml.rels><?xml version="1.0" encoding="UTF-8" standalone="yes"?>
<Relationships xmlns="http://schemas.openxmlformats.org/package/2006/relationships"><Relationship Id="rId2" Type="http://schemas.openxmlformats.org/officeDocument/2006/relationships/hyperlink" Target="https://dev.azure.com/heartlandschools/Accounting/_git/MSBAccounting-NewSchoolBooks/pullrequest/37867" TargetMode="External"/><Relationship Id="rId1" Type="http://schemas.openxmlformats.org/officeDocument/2006/relationships/hyperlink" Target="https://dev.azure.com/heartlandschools/Accounting/_git/MSBAccounting-NewSchoolBooks/pullrequest/37799" TargetMode="External"/></Relationships>
</file>

<file path=xl/worksheets/_rels/sheet99.xml.rels><?xml version="1.0" encoding="UTF-8" standalone="yes"?>
<Relationships xmlns="http://schemas.openxmlformats.org/package/2006/relationships"><Relationship Id="rId2" Type="http://schemas.openxmlformats.org/officeDocument/2006/relationships/hyperlink" Target="https://dev.azure.com/heartlandschools/Accounting/_git/MSBAccounting-NewSchoolBooks/pullrequest/37605" TargetMode="External"/><Relationship Id="rId1" Type="http://schemas.openxmlformats.org/officeDocument/2006/relationships/hyperlink" Target="https://dev.azure.com/heartlandschools/Accounting/_git/MSBAccounting-NewSchoolBooks/pullrequest/37672" TargetMode="External"/></Relationships>
</file>

<file path=xl/worksheets/_rels/sheet100.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7035" TargetMode="External"/><Relationship Id="rId2" Type="http://schemas.openxmlformats.org/officeDocument/2006/relationships/hyperlink" Target="https://dev.azure.com/heartlandschools/Accounting/_git/MSBAccounting-NewSchoolBooks/pullrequest/37035" TargetMode="External"/><Relationship Id="rId1" Type="http://schemas.openxmlformats.org/officeDocument/2006/relationships/hyperlink" Target="https://dev.azure.com/heartlandschools/Accounting/_git/MSBAccounting-NewSchoolBooks/pullrequest/37319" TargetMode="External"/><Relationship Id="rId5" Type="http://schemas.openxmlformats.org/officeDocument/2006/relationships/hyperlink" Target="https://dev.azure.com/heartlandschools/Accounting/_git/MSBAccounting-NewSchoolBooks/pullrequest/37360" TargetMode="External"/><Relationship Id="rId4" Type="http://schemas.openxmlformats.org/officeDocument/2006/relationships/hyperlink" Target="https://dev.azure.com/heartlandschools/Accounting/_git/MSBAccounting-NewSchoolBooks/pullrequest/37472" TargetMode="External"/></Relationships>
</file>

<file path=xl/worksheets/_rels/sheet103.xml.rels><?xml version="1.0" encoding="UTF-8" standalone="yes"?>
<Relationships xmlns="http://schemas.openxmlformats.org/package/2006/relationships"><Relationship Id="rId8" Type="http://schemas.openxmlformats.org/officeDocument/2006/relationships/hyperlink" Target="https://dev.azure.com/heartlandschools/Accounting/_git/MSBAccounting-NewSchoolBooks/pullrequest/37138" TargetMode="External"/><Relationship Id="rId3" Type="http://schemas.openxmlformats.org/officeDocument/2006/relationships/hyperlink" Target="https://dev.azure.com/heartlandschools/Accounting/_git/MSBAccounting-NewSchoolBooks/pullrequest/37169" TargetMode="External"/><Relationship Id="rId7" Type="http://schemas.openxmlformats.org/officeDocument/2006/relationships/hyperlink" Target="https://dev.azure.com/heartlandschools/Accounting/_git/MSBAccounting-NewSchoolBooks/pullrequest/37238" TargetMode="External"/><Relationship Id="rId2" Type="http://schemas.openxmlformats.org/officeDocument/2006/relationships/hyperlink" Target="https://dev.azure.com/heartlandschools/Accounting/_git/MSBAccounting-NewSchoolBooks/pullrequest/37116" TargetMode="External"/><Relationship Id="rId1" Type="http://schemas.openxmlformats.org/officeDocument/2006/relationships/hyperlink" Target="https://dev.azure.com/heartlandschools/Accounting/_git/MSBAccounting-NewSchoolBooks/pullrequest/37035" TargetMode="External"/><Relationship Id="rId6" Type="http://schemas.openxmlformats.org/officeDocument/2006/relationships/hyperlink" Target="https://dev.azure.com/heartlandschools/Accounting/_git/MSBAccounting-NewSchoolBooks/pullrequest/37267" TargetMode="External"/><Relationship Id="rId5" Type="http://schemas.openxmlformats.org/officeDocument/2006/relationships/hyperlink" Target="https://dev.azure.com/heartlandschools/Accounting/_git/MSBAccounting-NewSchoolBooks/pullrequest/37035" TargetMode="External"/><Relationship Id="rId4" Type="http://schemas.openxmlformats.org/officeDocument/2006/relationships/hyperlink" Target="https://dev.azure.com/heartlandschools/Accounting/_git/MSBAccounting-NewSchoolBooks/pullrequest/37218" TargetMode="External"/><Relationship Id="rId9" Type="http://schemas.openxmlformats.org/officeDocument/2006/relationships/hyperlink" Target="https://dev.azure.com/heartlandschools/Accounting/_git/MSBAccounting-NewSchoolBooks/pullrequest/37079" TargetMode="External"/></Relationships>
</file>

<file path=xl/worksheets/_rels/sheet105.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6978" TargetMode="External"/><Relationship Id="rId2" Type="http://schemas.openxmlformats.org/officeDocument/2006/relationships/hyperlink" Target="https://dev.azure.com/heartlandschools/Accounting/_git/MSBAccounting-NewSchoolBooks/pullrequest/36978" TargetMode="External"/><Relationship Id="rId1" Type="http://schemas.openxmlformats.org/officeDocument/2006/relationships/hyperlink" Target="https://dev.azure.com/heartlandschools/Accounting/_git/MSBAccounting-NewSchoolBooks/pullrequest/36846" TargetMode="External"/><Relationship Id="rId6" Type="http://schemas.openxmlformats.org/officeDocument/2006/relationships/hyperlink" Target="https://dev.azure.com/heartlandschools/Accounting/_git/MSBAccounting-NewSchoolBooks/pullrequest/37011" TargetMode="External"/><Relationship Id="rId5" Type="http://schemas.openxmlformats.org/officeDocument/2006/relationships/hyperlink" Target="https://dev.azure.com/heartlandschools/Accounting/_git/MSBAccounting-NewSchoolBooks/pullrequest/37035" TargetMode="External"/><Relationship Id="rId4" Type="http://schemas.openxmlformats.org/officeDocument/2006/relationships/hyperlink" Target="https://dev.azure.com/heartlandschools/Accounting/_git/MSBAccounting-NewSchoolBooks/pullrequest/36978" TargetMode="External"/></Relationships>
</file>

<file path=xl/worksheets/_rels/sheet107.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6683" TargetMode="External"/><Relationship Id="rId2" Type="http://schemas.openxmlformats.org/officeDocument/2006/relationships/hyperlink" Target="https://dev.azure.com/heartlandschools/Accounting/_git/MSBAccounting-NewSchoolBooks/pullrequest/36612" TargetMode="External"/><Relationship Id="rId1" Type="http://schemas.openxmlformats.org/officeDocument/2006/relationships/hyperlink" Target="https://dev.azure.com/heartlandschools/Accounting/_git/MSBAccounting-NewSchoolBooks/pullrequest/36728" TargetMode="External"/><Relationship Id="rId5" Type="http://schemas.openxmlformats.org/officeDocument/2006/relationships/hyperlink" Target="https://dev.azure.com/heartlandschools/Accounting/_git/MSBAccounting-NewSchoolBooks/pullrequest/36664" TargetMode="External"/><Relationship Id="rId4" Type="http://schemas.openxmlformats.org/officeDocument/2006/relationships/hyperlink" Target="https://dev.azure.com/heartlandschools/Accounting/_git/MSBAccounting-NewSchoolBooks/pullrequest/36786" TargetMode="External"/></Relationships>
</file>

<file path=xl/worksheets/_rels/sheet109.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6570" TargetMode="External"/><Relationship Id="rId2" Type="http://schemas.openxmlformats.org/officeDocument/2006/relationships/hyperlink" Target="https://dev.azure.com/heartlandschools/Accounting/_git/MSBAccounting-NewSchoolBooks/pullrequest/36497" TargetMode="External"/><Relationship Id="rId1" Type="http://schemas.openxmlformats.org/officeDocument/2006/relationships/hyperlink" Target="https://dev.azure.com/heartlandschools/Accounting/_git/MSBAccounting-NewSchoolBooks/pullrequest/36460" TargetMode="External"/><Relationship Id="rId4" Type="http://schemas.openxmlformats.org/officeDocument/2006/relationships/hyperlink" Target="https://dev.azure.com/heartlandschools/Accounting/_git/MSBAccounting-NewSchoolBooks/pullrequest/36436" TargetMode="External"/></Relationships>
</file>

<file path=xl/worksheets/_rels/sheet111.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6191" TargetMode="External"/><Relationship Id="rId7" Type="http://schemas.openxmlformats.org/officeDocument/2006/relationships/hyperlink" Target="https://dev.azure.com/heartlandschools/Accounting/_git/MSBAccounting-NewSchoolBooks/pullrequest/36249" TargetMode="External"/><Relationship Id="rId2" Type="http://schemas.openxmlformats.org/officeDocument/2006/relationships/hyperlink" Target="https://dev.azure.com/heartlandschools/Accounting/_git/MSBAccounting-NewSchoolBooks/pullrequest/36191" TargetMode="External"/><Relationship Id="rId1" Type="http://schemas.openxmlformats.org/officeDocument/2006/relationships/hyperlink" Target="https://dev.azure.com/heartlandschools/Accounting/_git/MSBAccounting-NewSchoolBooks/pullrequest/36192" TargetMode="External"/><Relationship Id="rId6" Type="http://schemas.openxmlformats.org/officeDocument/2006/relationships/hyperlink" Target="https://dev.azure.com/heartlandschools/Accounting/_git/MSBAccounting-NewSchoolBooks/pullrequest/36316" TargetMode="External"/><Relationship Id="rId5" Type="http://schemas.openxmlformats.org/officeDocument/2006/relationships/hyperlink" Target="https://dev.azure.com/heartlandschools/Accounting/_git/MSBAccounting-NewSchoolBooks/pullrequest/36249" TargetMode="External"/><Relationship Id="rId4" Type="http://schemas.openxmlformats.org/officeDocument/2006/relationships/hyperlink" Target="https://dev.azure.com/heartlandschools/Accounting/_git/MSBAccounting-NewSchoolBooks/pullrequest/36249" TargetMode="External"/></Relationships>
</file>

<file path=xl/worksheets/_rels/sheet113.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6079" TargetMode="External"/><Relationship Id="rId2" Type="http://schemas.openxmlformats.org/officeDocument/2006/relationships/hyperlink" Target="https://dev.azure.com/heartlandschools/Accounting/_git/MSBAccounting-NewSchoolBooks/pullrequest/36079" TargetMode="External"/><Relationship Id="rId1" Type="http://schemas.openxmlformats.org/officeDocument/2006/relationships/hyperlink" Target="https://dev.azure.com/heartlandschools/Accounting/_git/MSBAccounting-NewSchoolBooks/pullrequest/36079" TargetMode="External"/></Relationships>
</file>

<file path=xl/worksheets/_rels/sheet114.xml.rels><?xml version="1.0" encoding="UTF-8" standalone="yes"?>
<Relationships xmlns="http://schemas.openxmlformats.org/package/2006/relationships"><Relationship Id="rId2" Type="http://schemas.openxmlformats.org/officeDocument/2006/relationships/hyperlink" Target="https://dev.azure.com/heartlandschools/Accounting/_git/MSBAccounting-NewSchoolBooks/pullrequest/35881" TargetMode="External"/><Relationship Id="rId1" Type="http://schemas.openxmlformats.org/officeDocument/2006/relationships/hyperlink" Target="https://dev.azure.com/heartlandschools/Accounting/_git/MSBAccounting-NewSchoolBooks/pullrequest/35730" TargetMode="External"/></Relationships>
</file>

<file path=xl/worksheets/_rels/sheet118.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5406" TargetMode="External"/><Relationship Id="rId2" Type="http://schemas.openxmlformats.org/officeDocument/2006/relationships/hyperlink" Target="https://dev.azure.com/heartlandschools/Accounting/_git/MSBAccounting-NewSchoolBooks/pullrequest/35048" TargetMode="External"/><Relationship Id="rId1" Type="http://schemas.openxmlformats.org/officeDocument/2006/relationships/hyperlink" Target="https://dev.azure.com/heartlandschools/Accounting/_git/MSBAccounting-NewSchoolBooks/pullrequest/35048" TargetMode="External"/><Relationship Id="rId4" Type="http://schemas.openxmlformats.org/officeDocument/2006/relationships/hyperlink" Target="https://dev.azure.com/heartlandschools/Accounting/_git/MSBAccounting-NewSchoolBooks/pullrequest/35406" TargetMode="External"/></Relationships>
</file>

<file path=xl/worksheets/_rels/sheet119.xml.rels><?xml version="1.0" encoding="UTF-8" standalone="yes"?>
<Relationships xmlns="http://schemas.openxmlformats.org/package/2006/relationships"><Relationship Id="rId3" Type="http://schemas.openxmlformats.org/officeDocument/2006/relationships/hyperlink" Target="https://dev.azure.com/heartlandschools/Accounting/_git/MSBAccounting-NewSchoolBooks/pullrequest/35462" TargetMode="External"/><Relationship Id="rId2" Type="http://schemas.openxmlformats.org/officeDocument/2006/relationships/hyperlink" Target="https://dev.azure.com/heartlandschools/Accounting/_git/MSBAccounting-NewSchoolBooks/pullrequest/35570" TargetMode="External"/><Relationship Id="rId1" Type="http://schemas.openxmlformats.org/officeDocument/2006/relationships/hyperlink" Target="https://dev.azure.com/heartlandschools/Accounting/_git/MSBAccounting-NewSchoolBooks/pullrequest/35465" TargetMode="External"/><Relationship Id="rId5" Type="http://schemas.openxmlformats.org/officeDocument/2006/relationships/hyperlink" Target="https://dev.azure.com/heartlandschools/Accounting/_git/MSBAccounting-NewSchoolBooks/pullrequest/35626" TargetMode="External"/><Relationship Id="rId4" Type="http://schemas.openxmlformats.org/officeDocument/2006/relationships/hyperlink" Target="https://dev.azure.com/heartlandschools/Accounting/_git/MSBAccounting-NewSchoolBooks/pullrequest/35616" TargetMode="External"/></Relationships>
</file>

<file path=xl/worksheets/_rels/sheet121.xml.rels><?xml version="1.0" encoding="UTF-8" standalone="yes"?>
<Relationships xmlns="http://schemas.openxmlformats.org/package/2006/relationships"><Relationship Id="rId2" Type="http://schemas.openxmlformats.org/officeDocument/2006/relationships/hyperlink" Target="https://dev.azure.com/heartlandschools/Accounting/_git/MSBAccounting-NewSchoolBooks/pullrequest/35048" TargetMode="External"/><Relationship Id="rId1" Type="http://schemas.openxmlformats.org/officeDocument/2006/relationships/hyperlink" Target="https://dev.azure.com/heartlandschools/Accounting/_git/MSBAccounting-NewSchoolBooks/pullrequest/35048" TargetMode="External"/></Relationships>
</file>

<file path=xl/worksheets/_rels/sheet125.xml.rels><?xml version="1.0" encoding="UTF-8" standalone="yes"?>
<Relationships xmlns="http://schemas.openxmlformats.org/package/2006/relationships"><Relationship Id="rId8" Type="http://schemas.openxmlformats.org/officeDocument/2006/relationships/hyperlink" Target="https://dev.azure.com/heartlandschools/Accounting/_git/MSBAccounting-NewSchoolBooks/pullrequest/35013" TargetMode="External"/><Relationship Id="rId3" Type="http://schemas.openxmlformats.org/officeDocument/2006/relationships/hyperlink" Target="https://dev.azure.com/heartlandschools/Accounting/_git/MSBAccounting-NewSchoolBooks/pullrequest/34901" TargetMode="External"/><Relationship Id="rId7" Type="http://schemas.openxmlformats.org/officeDocument/2006/relationships/hyperlink" Target="https://dev.azure.com/heartlandschools/Accounting/_git/MSBAccounting-NewSchoolBooks/pullrequest/34974" TargetMode="External"/><Relationship Id="rId2" Type="http://schemas.openxmlformats.org/officeDocument/2006/relationships/hyperlink" Target="https://dev.azure.com/heartlandschools/Accounting/_git/MSBAccounting-NewSchoolBooks/pullrequest/34936" TargetMode="External"/><Relationship Id="rId1" Type="http://schemas.openxmlformats.org/officeDocument/2006/relationships/hyperlink" Target="https://dev.azure.com/heartlandschools/Accounting/_git/MSBAccounting-NewSchoolBooks/pullrequest/34897" TargetMode="External"/><Relationship Id="rId6" Type="http://schemas.openxmlformats.org/officeDocument/2006/relationships/hyperlink" Target="https://dev.azure.com/heartlandschools/Accounting/_git/MSBAccounting-NewSchoolBooks/pullrequest/35003" TargetMode="External"/><Relationship Id="rId5" Type="http://schemas.openxmlformats.org/officeDocument/2006/relationships/hyperlink" Target="https://dev.azure.com/heartlandschools/Accounting/_git/MSBAccounting-NewSchoolBooks/pullrequest/34939" TargetMode="External"/><Relationship Id="rId4" Type="http://schemas.openxmlformats.org/officeDocument/2006/relationships/hyperlink" Target="https://dev.azure.com/heartlandschools/Accounting/_git/MSBAccounting-NewSchoolBooks/pullrequest/34819" TargetMode="External"/><Relationship Id="rId9" Type="http://schemas.openxmlformats.org/officeDocument/2006/relationships/hyperlink" Target="https://dev.azure.com/heartlandschools/Accounting/_git/MSBAccounting-NewSchoolBooks/pullrequest/3496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62"/>
  <sheetViews>
    <sheetView showGridLines="0" workbookViewId="0">
      <pane ySplit="2" topLeftCell="A61" activePane="bottomLeft" state="frozen"/>
      <selection pane="bottomLeft" activeCell="I61" sqref="I61"/>
    </sheetView>
  </sheetViews>
  <sheetFormatPr defaultColWidth="12.5703125" defaultRowHeight="12.75"/>
  <cols>
    <col min="1" max="1" width="12.42578125" customWidth="1"/>
    <col min="2" max="2" width="19" customWidth="1"/>
    <col min="3" max="3" width="12.85546875" customWidth="1"/>
    <col min="4" max="4" width="23.5703125" customWidth="1"/>
    <col min="5" max="5" width="8" style="111" bestFit="1" customWidth="1"/>
    <col min="6" max="6" width="10.42578125" style="111" bestFit="1" customWidth="1"/>
    <col min="7" max="7" width="27.42578125" customWidth="1"/>
    <col min="8" max="8" width="30.5703125" customWidth="1"/>
    <col min="9" max="9" width="34.5703125" customWidth="1"/>
    <col min="10" max="10" width="61.85546875" style="100" customWidth="1"/>
    <col min="11" max="11" width="78.42578125" customWidth="1"/>
    <col min="12" max="13" width="21.28515625" customWidth="1"/>
    <col min="14" max="14" width="10.5703125" bestFit="1" customWidth="1"/>
    <col min="15" max="15" width="9" bestFit="1" customWidth="1"/>
  </cols>
  <sheetData>
    <row r="1" spans="1:16">
      <c r="A1" s="414" t="s">
        <v>0</v>
      </c>
      <c r="B1" s="282" t="str" cm="1">
        <f t="array" aca="1" ref="B1" ca="1">INDEX($B$2:$B$101,MATCH(1,(($D$2:$D$101 &gt;=TODAY())*($C$2:$C$101&lt;=TODAY())),0))</f>
        <v>26.06 Sprint 2</v>
      </c>
      <c r="C1" s="414" t="s">
        <v>1</v>
      </c>
      <c r="D1" s="331" t="str">
        <f ca="1">CONCATENATE(B1,"-Status")</f>
        <v>26.06 Sprint 2-Status</v>
      </c>
      <c r="E1" s="415" t="s">
        <v>2</v>
      </c>
      <c r="F1" s="331">
        <f ca="1">VLOOKUP($B$1,$B$3:$C$101,2,FALSE)</f>
        <v>46148</v>
      </c>
      <c r="G1" s="415" t="s">
        <v>3</v>
      </c>
      <c r="H1" s="331">
        <f ca="1">VLOOKUP($B$1,$B$3:$D$101,3,FALSE)</f>
        <v>46161</v>
      </c>
      <c r="I1" s="311" t="s">
        <v>4</v>
      </c>
      <c r="J1" s="282" t="s">
        <v>5</v>
      </c>
      <c r="K1" t="s">
        <v>6</v>
      </c>
      <c r="L1" s="282" t="s">
        <v>7</v>
      </c>
      <c r="M1" s="282" t="s">
        <v>8</v>
      </c>
      <c r="N1" s="157" t="s">
        <v>9</v>
      </c>
      <c r="O1" s="343"/>
    </row>
    <row r="2" spans="1:16" ht="27">
      <c r="A2" s="108" t="s">
        <v>0</v>
      </c>
      <c r="B2" s="108" t="s">
        <v>10</v>
      </c>
      <c r="C2" s="108" t="s">
        <v>2</v>
      </c>
      <c r="D2" s="108" t="s">
        <v>3</v>
      </c>
      <c r="E2" s="108" t="s">
        <v>11</v>
      </c>
      <c r="F2" s="108" t="s">
        <v>12</v>
      </c>
      <c r="G2" s="280" t="s">
        <v>13</v>
      </c>
      <c r="H2" s="280" t="s">
        <v>14</v>
      </c>
      <c r="I2" s="155" t="s">
        <v>15</v>
      </c>
      <c r="J2" s="108" t="s">
        <v>16</v>
      </c>
      <c r="K2" s="108" t="s">
        <v>17</v>
      </c>
      <c r="L2" s="108" t="s">
        <v>18</v>
      </c>
      <c r="M2" s="108" t="s">
        <v>19</v>
      </c>
      <c r="N2" s="272" t="s">
        <v>20</v>
      </c>
      <c r="O2" s="671" t="s">
        <v>21</v>
      </c>
      <c r="P2" s="108" t="s">
        <v>22</v>
      </c>
    </row>
    <row r="3" spans="1:16" ht="48">
      <c r="A3" s="217" t="str">
        <f ca="1">IF(AND($D$1&gt;=C3,$D$1&lt;=D3),"CurrentSprint","NA")</f>
        <v>NA</v>
      </c>
      <c r="B3" s="217" t="s">
        <v>23</v>
      </c>
      <c r="C3" s="335">
        <v>45294</v>
      </c>
      <c r="D3" s="335">
        <v>45307</v>
      </c>
      <c r="E3" s="264">
        <v>22</v>
      </c>
      <c r="F3" s="265">
        <v>19</v>
      </c>
      <c r="G3" s="217">
        <v>0</v>
      </c>
      <c r="H3" s="217"/>
      <c r="I3" s="217"/>
      <c r="J3" s="249" t="s">
        <v>24</v>
      </c>
      <c r="K3" s="17" t="s">
        <v>25</v>
      </c>
      <c r="L3" s="17"/>
      <c r="M3" s="17"/>
      <c r="N3" s="217"/>
      <c r="O3" s="672"/>
      <c r="P3" s="93"/>
    </row>
    <row r="4" spans="1:16" ht="36">
      <c r="A4" s="217" t="str">
        <f ca="1">IF(AND($D$1&gt;=C4,$D$1&lt;=D4),"CurrentSprint","NA")</f>
        <v>NA</v>
      </c>
      <c r="B4" s="217" t="s">
        <v>26</v>
      </c>
      <c r="C4" s="335">
        <v>45308</v>
      </c>
      <c r="D4" s="335">
        <v>45321</v>
      </c>
      <c r="E4" s="264">
        <v>21.5</v>
      </c>
      <c r="F4" s="265">
        <v>18.5</v>
      </c>
      <c r="G4" s="217" t="s">
        <v>27</v>
      </c>
      <c r="H4" s="217"/>
      <c r="I4" s="217"/>
      <c r="J4" s="249" t="s">
        <v>28</v>
      </c>
      <c r="K4" s="17" t="s">
        <v>25</v>
      </c>
      <c r="L4" s="17"/>
      <c r="M4" s="17"/>
      <c r="N4" s="217"/>
      <c r="O4" s="672"/>
      <c r="P4" s="93"/>
    </row>
    <row r="5" spans="1:16" ht="42" customHeight="1">
      <c r="A5" s="217" t="str">
        <f ca="1">IF(AND($D$1&gt;=C5,$D$1&lt;=D5),"CurrentSprint","NA")</f>
        <v>NA</v>
      </c>
      <c r="B5" s="217" t="s">
        <v>29</v>
      </c>
      <c r="C5" s="335">
        <v>45322</v>
      </c>
      <c r="D5" s="335">
        <v>45335</v>
      </c>
      <c r="E5" s="264">
        <v>22</v>
      </c>
      <c r="F5" s="265">
        <v>17</v>
      </c>
      <c r="G5" s="17">
        <v>0</v>
      </c>
      <c r="H5" s="17"/>
      <c r="I5" s="273"/>
      <c r="J5" s="249" t="s">
        <v>30</v>
      </c>
      <c r="K5" s="17" t="s">
        <v>25</v>
      </c>
      <c r="L5" s="17"/>
      <c r="M5" s="17"/>
      <c r="N5" s="217"/>
      <c r="O5" s="672"/>
      <c r="P5" s="93"/>
    </row>
    <row r="6" spans="1:16" ht="48">
      <c r="A6" s="217" t="str">
        <f ca="1">IF(AND($D$1&gt;=C6,$D$1&lt;=D6),"CurrentSprint","NA")</f>
        <v>NA</v>
      </c>
      <c r="B6" s="21" t="s">
        <v>31</v>
      </c>
      <c r="C6" s="335">
        <v>45336</v>
      </c>
      <c r="D6" s="335">
        <v>45349</v>
      </c>
      <c r="E6" s="266">
        <v>31</v>
      </c>
      <c r="F6" s="267">
        <v>19</v>
      </c>
      <c r="G6" s="17" t="s">
        <v>32</v>
      </c>
      <c r="H6" s="17"/>
      <c r="I6" s="273"/>
      <c r="J6" s="250" t="s">
        <v>33</v>
      </c>
      <c r="K6" s="17" t="s">
        <v>25</v>
      </c>
      <c r="L6" s="17"/>
      <c r="M6" s="17"/>
      <c r="N6" s="217"/>
      <c r="O6" s="672"/>
      <c r="P6" s="93"/>
    </row>
    <row r="7" spans="1:16" ht="24">
      <c r="A7" s="217" t="str">
        <f ca="1">IF(AND($D$1&gt;=C7,$D$1&lt;=D7),"CurrentSprint","NA")</f>
        <v>NA</v>
      </c>
      <c r="B7" s="261" t="s">
        <v>34</v>
      </c>
      <c r="C7" s="335">
        <v>45350</v>
      </c>
      <c r="D7" s="335">
        <v>45363</v>
      </c>
      <c r="E7" s="268">
        <v>27</v>
      </c>
      <c r="F7" s="269">
        <v>27</v>
      </c>
      <c r="G7" s="253">
        <v>0</v>
      </c>
      <c r="H7" s="253"/>
      <c r="I7" s="253"/>
      <c r="J7" s="274" t="s">
        <v>35</v>
      </c>
      <c r="K7" s="17" t="s">
        <v>25</v>
      </c>
      <c r="L7" s="17"/>
      <c r="M7" s="17"/>
      <c r="N7" s="217"/>
      <c r="O7" s="672"/>
      <c r="P7" s="93"/>
    </row>
    <row r="8" spans="1:16" ht="24">
      <c r="A8" s="217" t="str">
        <f ca="1">IF(AND($D$1&gt;=C8,$D$1&lt;=D8),"CurrentSprint","NA")</f>
        <v>NA</v>
      </c>
      <c r="B8" s="261" t="s">
        <v>36</v>
      </c>
      <c r="C8" s="335">
        <v>45364</v>
      </c>
      <c r="D8" s="335">
        <v>45377</v>
      </c>
      <c r="E8" s="268">
        <v>33</v>
      </c>
      <c r="F8" s="269">
        <v>31</v>
      </c>
      <c r="G8" s="253">
        <v>0</v>
      </c>
      <c r="H8" s="253"/>
      <c r="I8" s="253"/>
      <c r="J8" s="274" t="s">
        <v>37</v>
      </c>
      <c r="K8" s="17" t="s">
        <v>25</v>
      </c>
      <c r="L8" s="17"/>
      <c r="M8" s="17"/>
      <c r="N8" s="217"/>
      <c r="O8" s="672"/>
      <c r="P8" s="93"/>
    </row>
    <row r="9" spans="1:16" ht="36">
      <c r="A9" s="217" t="str">
        <f ca="1">IF(AND($D$1&gt;=C9,$D$1&lt;=D9),"CurrentSprint","NA")</f>
        <v>NA</v>
      </c>
      <c r="B9" s="263" t="s">
        <v>38</v>
      </c>
      <c r="C9" s="335">
        <v>45378</v>
      </c>
      <c r="D9" s="335">
        <v>45391</v>
      </c>
      <c r="E9" s="270">
        <v>30</v>
      </c>
      <c r="F9" s="271">
        <v>20</v>
      </c>
      <c r="G9" s="253">
        <v>0</v>
      </c>
      <c r="H9" s="253"/>
      <c r="I9" s="253"/>
      <c r="J9" s="275" t="s">
        <v>39</v>
      </c>
      <c r="K9" s="17" t="s">
        <v>25</v>
      </c>
      <c r="L9" s="17"/>
      <c r="M9" s="17"/>
      <c r="N9" s="217"/>
      <c r="O9" s="672"/>
      <c r="P9" s="93"/>
    </row>
    <row r="10" spans="1:16" ht="48">
      <c r="A10" s="217" t="str">
        <f ca="1">IF(AND($D$1&gt;=C10,$D$1&lt;=D10),"CurrentSprint","NA")</f>
        <v>NA</v>
      </c>
      <c r="B10" s="261" t="s">
        <v>40</v>
      </c>
      <c r="C10" s="335">
        <v>45392</v>
      </c>
      <c r="D10" s="335">
        <v>45405</v>
      </c>
      <c r="E10" s="270">
        <v>19</v>
      </c>
      <c r="F10" s="271">
        <v>19</v>
      </c>
      <c r="G10" s="253">
        <v>0</v>
      </c>
      <c r="H10" s="253"/>
      <c r="I10" s="253"/>
      <c r="J10" s="275" t="s">
        <v>41</v>
      </c>
      <c r="K10" s="17" t="s">
        <v>25</v>
      </c>
      <c r="L10" s="17"/>
      <c r="M10" s="17"/>
      <c r="N10" s="217"/>
      <c r="O10" s="672"/>
      <c r="P10" s="93"/>
    </row>
    <row r="11" spans="1:16" ht="72">
      <c r="A11" s="217" t="str">
        <f ca="1">IF(AND($D$1&gt;=C11,$D$1&lt;=D11),"CurrentSprint","NA")</f>
        <v>NA</v>
      </c>
      <c r="B11" s="263" t="s">
        <v>42</v>
      </c>
      <c r="C11" s="335">
        <v>45406</v>
      </c>
      <c r="D11" s="335">
        <v>45419</v>
      </c>
      <c r="E11" s="136">
        <v>16</v>
      </c>
      <c r="F11" s="271">
        <v>11</v>
      </c>
      <c r="G11" s="251" t="s">
        <v>43</v>
      </c>
      <c r="H11" s="251"/>
      <c r="I11" s="251"/>
      <c r="J11" s="275" t="s">
        <v>44</v>
      </c>
      <c r="K11" s="17" t="s">
        <v>25</v>
      </c>
      <c r="L11" s="17"/>
      <c r="M11" s="17"/>
      <c r="N11" s="217"/>
      <c r="O11" s="672"/>
      <c r="P11" s="93"/>
    </row>
    <row r="12" spans="1:16" ht="24">
      <c r="A12" s="217" t="str">
        <f ca="1">IF(AND($D$1&gt;=C12,$D$1&lt;=D12),"CurrentSprint","NA")</f>
        <v>NA</v>
      </c>
      <c r="B12" s="253" t="s">
        <v>45</v>
      </c>
      <c r="C12" s="335">
        <v>45420</v>
      </c>
      <c r="D12" s="335">
        <v>45433</v>
      </c>
      <c r="E12" s="122">
        <v>20</v>
      </c>
      <c r="F12" s="269">
        <v>17</v>
      </c>
      <c r="G12" s="251" t="s">
        <v>46</v>
      </c>
      <c r="H12" s="251"/>
      <c r="I12" s="253"/>
      <c r="J12" s="274" t="s">
        <v>47</v>
      </c>
      <c r="K12" s="17" t="s">
        <v>25</v>
      </c>
      <c r="L12" s="17"/>
      <c r="M12" s="17"/>
      <c r="N12" s="217"/>
      <c r="O12" s="672"/>
      <c r="P12" s="93"/>
    </row>
    <row r="13" spans="1:16" ht="24">
      <c r="A13" s="217" t="str">
        <f ca="1">IF(AND($D$1&gt;=C13,$D$1&lt;=D13),"CurrentSprint","NA")</f>
        <v>NA</v>
      </c>
      <c r="B13" s="253" t="s">
        <v>48</v>
      </c>
      <c r="C13" s="335">
        <v>45434</v>
      </c>
      <c r="D13" s="335">
        <v>45447</v>
      </c>
      <c r="E13" s="122">
        <v>21</v>
      </c>
      <c r="F13" s="269">
        <v>17</v>
      </c>
      <c r="G13" s="253"/>
      <c r="H13" s="253"/>
      <c r="I13" s="253"/>
      <c r="J13" s="274" t="s">
        <v>49</v>
      </c>
      <c r="K13" s="17" t="s">
        <v>25</v>
      </c>
      <c r="L13" s="17"/>
      <c r="M13" s="17"/>
      <c r="N13" s="217"/>
      <c r="O13" s="672"/>
      <c r="P13" s="93"/>
    </row>
    <row r="14" spans="1:16" ht="24">
      <c r="A14" s="217" t="str">
        <f ca="1">IF(AND($D$1&gt;=C14,$D$1&lt;=D14),"CurrentSprint","NA")</f>
        <v>NA</v>
      </c>
      <c r="B14" s="253" t="s">
        <v>50</v>
      </c>
      <c r="C14" s="335">
        <v>45448</v>
      </c>
      <c r="D14" s="335">
        <v>45461</v>
      </c>
      <c r="E14" s="122">
        <v>19</v>
      </c>
      <c r="F14" s="269">
        <v>12</v>
      </c>
      <c r="G14" s="253"/>
      <c r="H14" s="253"/>
      <c r="I14" s="253"/>
      <c r="J14" s="274" t="s">
        <v>51</v>
      </c>
      <c r="K14" s="17" t="s">
        <v>25</v>
      </c>
      <c r="L14" s="17"/>
      <c r="M14" s="17"/>
      <c r="N14" s="217"/>
      <c r="O14" s="672"/>
      <c r="P14" s="93"/>
    </row>
    <row r="15" spans="1:16" ht="24">
      <c r="A15" s="217" t="str">
        <f ca="1">IF(AND($D$1&gt;=C15,$D$1&lt;=D15),"CurrentSprint","NA")</f>
        <v>NA</v>
      </c>
      <c r="B15" s="253" t="s">
        <v>52</v>
      </c>
      <c r="C15" s="335">
        <v>45462</v>
      </c>
      <c r="D15" s="335">
        <v>45475</v>
      </c>
      <c r="E15" s="122">
        <v>16</v>
      </c>
      <c r="F15" s="269">
        <v>3</v>
      </c>
      <c r="G15" s="253"/>
      <c r="H15" s="253"/>
      <c r="I15" s="253"/>
      <c r="J15" s="275" t="s">
        <v>53</v>
      </c>
      <c r="K15" s="17" t="s">
        <v>25</v>
      </c>
      <c r="L15" s="17"/>
      <c r="M15" s="17"/>
      <c r="N15" s="217"/>
      <c r="O15" s="672"/>
      <c r="P15" s="93"/>
    </row>
    <row r="16" spans="1:16" ht="48">
      <c r="A16" s="217" t="str">
        <f ca="1">IF(AND($D$1&gt;=C16,$D$1&lt;=D16),"CurrentSprint","NA")</f>
        <v>NA</v>
      </c>
      <c r="B16" s="254" t="s">
        <v>54</v>
      </c>
      <c r="C16" s="335">
        <v>45476</v>
      </c>
      <c r="D16" s="335">
        <v>45489</v>
      </c>
      <c r="E16" s="136">
        <v>18</v>
      </c>
      <c r="F16" s="271">
        <v>13</v>
      </c>
      <c r="G16" s="253"/>
      <c r="H16" s="253"/>
      <c r="I16" s="253"/>
      <c r="J16" s="276" t="s">
        <v>55</v>
      </c>
      <c r="K16" s="17" t="s">
        <v>25</v>
      </c>
      <c r="L16" s="17"/>
      <c r="M16" s="17"/>
      <c r="N16" s="217"/>
      <c r="O16" s="672"/>
      <c r="P16" s="93"/>
    </row>
    <row r="17" spans="1:16" ht="24">
      <c r="A17" s="217" t="str">
        <f ca="1">IF(AND($D$1&gt;=C17,$D$1&lt;=D17),"CurrentSprint","NA")</f>
        <v>NA</v>
      </c>
      <c r="B17" s="254" t="s">
        <v>56</v>
      </c>
      <c r="C17" s="335">
        <v>45490</v>
      </c>
      <c r="D17" s="335">
        <v>45503</v>
      </c>
      <c r="E17" s="136">
        <v>32</v>
      </c>
      <c r="F17" s="271">
        <v>3</v>
      </c>
      <c r="G17" s="253"/>
      <c r="H17" s="253"/>
      <c r="I17" s="253"/>
      <c r="J17" s="275"/>
      <c r="K17" s="17" t="s">
        <v>25</v>
      </c>
      <c r="L17" s="17"/>
      <c r="M17" s="17"/>
      <c r="N17" s="217"/>
      <c r="O17" s="672"/>
      <c r="P17" s="93"/>
    </row>
    <row r="18" spans="1:16" ht="24">
      <c r="A18" s="217" t="str">
        <f ca="1">IF(AND($D$1&gt;=C18,$D$1&lt;=D18),"CurrentSprint","NA")</f>
        <v>NA</v>
      </c>
      <c r="B18" s="253" t="s">
        <v>57</v>
      </c>
      <c r="C18" s="335">
        <v>45504</v>
      </c>
      <c r="D18" s="335">
        <v>45517</v>
      </c>
      <c r="E18" s="122">
        <v>17</v>
      </c>
      <c r="F18" s="269">
        <v>17</v>
      </c>
      <c r="G18" s="253"/>
      <c r="H18" s="253"/>
      <c r="I18" s="253"/>
      <c r="J18" s="274"/>
      <c r="K18" s="17" t="s">
        <v>25</v>
      </c>
      <c r="L18" s="17"/>
      <c r="M18" s="17"/>
      <c r="N18" s="217"/>
      <c r="O18" s="672"/>
      <c r="P18" s="93"/>
    </row>
    <row r="19" spans="1:16" ht="24">
      <c r="A19" s="217" t="str">
        <f ca="1">IF(AND($D$1&gt;=C19,$D$1&lt;=D19),"CurrentSprint","NA")</f>
        <v>NA</v>
      </c>
      <c r="B19" s="253" t="s">
        <v>58</v>
      </c>
      <c r="C19" s="335">
        <v>45518</v>
      </c>
      <c r="D19" s="335">
        <v>45531</v>
      </c>
      <c r="E19" s="136">
        <v>10</v>
      </c>
      <c r="F19" s="271">
        <v>10</v>
      </c>
      <c r="G19" s="253"/>
      <c r="H19" s="253"/>
      <c r="I19" s="253"/>
      <c r="J19" s="275" t="s">
        <v>59</v>
      </c>
      <c r="K19" s="21" t="s">
        <v>25</v>
      </c>
      <c r="L19" s="21"/>
      <c r="M19" s="21"/>
      <c r="N19" s="218"/>
      <c r="O19" s="673"/>
      <c r="P19" s="93"/>
    </row>
    <row r="20" spans="1:16" ht="24">
      <c r="A20" s="217" t="str">
        <f ca="1">IF(AND($D$1&gt;=C20,$D$1&lt;=D20),"CurrentSprint","NA")</f>
        <v>NA</v>
      </c>
      <c r="B20" s="253" t="s">
        <v>60</v>
      </c>
      <c r="C20" s="335">
        <v>45532</v>
      </c>
      <c r="D20" s="335">
        <v>45545</v>
      </c>
      <c r="E20" s="122">
        <v>23</v>
      </c>
      <c r="F20" s="269">
        <v>10</v>
      </c>
      <c r="G20" s="253"/>
      <c r="H20" s="253"/>
      <c r="I20" s="253"/>
      <c r="J20" s="279" t="s">
        <v>61</v>
      </c>
      <c r="K20" s="17" t="s">
        <v>25</v>
      </c>
      <c r="L20" s="249"/>
      <c r="M20" s="249"/>
      <c r="N20" s="260"/>
      <c r="O20" s="261"/>
      <c r="P20" s="93"/>
    </row>
    <row r="21" spans="1:16" ht="48">
      <c r="A21" s="217" t="str">
        <f ca="1">IF(AND($D$1&gt;=C21,$D$1&lt;=D21),"CurrentSprint","NA")</f>
        <v>NA</v>
      </c>
      <c r="B21" s="254" t="s">
        <v>62</v>
      </c>
      <c r="C21" s="335">
        <v>45546</v>
      </c>
      <c r="D21" s="335">
        <v>45559</v>
      </c>
      <c r="E21" s="136">
        <v>24</v>
      </c>
      <c r="F21" s="271">
        <v>21</v>
      </c>
      <c r="G21" s="253"/>
      <c r="H21" s="253"/>
      <c r="I21" s="253"/>
      <c r="J21" s="277" t="s">
        <v>63</v>
      </c>
      <c r="K21" s="21" t="s">
        <v>25</v>
      </c>
      <c r="L21" s="250"/>
      <c r="M21" s="250"/>
      <c r="N21" s="262" t="s">
        <v>12</v>
      </c>
      <c r="O21" s="263"/>
      <c r="P21" s="93"/>
    </row>
    <row r="22" spans="1:16" ht="24">
      <c r="A22" s="217" t="str">
        <f ca="1">IF(AND($D$1&gt;=C22,$D$1&lt;=D22),"CurrentSprint","NA")</f>
        <v>NA</v>
      </c>
      <c r="B22" s="253" t="s">
        <v>64</v>
      </c>
      <c r="C22" s="335">
        <v>45560</v>
      </c>
      <c r="D22" s="335">
        <v>45573</v>
      </c>
      <c r="E22" s="122">
        <v>15</v>
      </c>
      <c r="F22" s="269">
        <v>10</v>
      </c>
      <c r="G22" s="253" t="s">
        <v>65</v>
      </c>
      <c r="H22" s="261"/>
      <c r="I22" s="261"/>
      <c r="J22" s="251"/>
      <c r="K22" s="21" t="s">
        <v>25</v>
      </c>
      <c r="L22" s="21"/>
      <c r="M22" s="21"/>
      <c r="N22" s="253"/>
      <c r="O22" s="261"/>
      <c r="P22" s="93"/>
    </row>
    <row r="23" spans="1:16" ht="24">
      <c r="A23" s="217" t="str">
        <f ca="1">IF(AND($D$1&gt;=C23,$D$1&lt;=D23),"CurrentSprint","NA")</f>
        <v>NA</v>
      </c>
      <c r="B23" s="253" t="s">
        <v>66</v>
      </c>
      <c r="C23" s="335">
        <v>45574</v>
      </c>
      <c r="D23" s="335">
        <v>45587</v>
      </c>
      <c r="E23" s="122">
        <v>28</v>
      </c>
      <c r="F23" s="269">
        <v>20</v>
      </c>
      <c r="G23" s="253"/>
      <c r="H23" s="253"/>
      <c r="I23" s="253"/>
      <c r="J23" s="278" t="s">
        <v>67</v>
      </c>
      <c r="K23" s="21" t="s">
        <v>25</v>
      </c>
      <c r="L23" s="21"/>
      <c r="M23" s="21"/>
      <c r="N23" s="253"/>
      <c r="O23" s="261"/>
      <c r="P23" s="93"/>
    </row>
    <row r="24" spans="1:16" ht="24">
      <c r="A24" s="217" t="str">
        <f ca="1">IF(AND($D$1&gt;=C24,$D$1&lt;=D24),"CurrentSprint","NA")</f>
        <v>NA</v>
      </c>
      <c r="B24" s="261" t="s">
        <v>68</v>
      </c>
      <c r="C24" s="335">
        <v>45588</v>
      </c>
      <c r="D24" s="335">
        <v>45601</v>
      </c>
      <c r="E24" s="122">
        <v>24</v>
      </c>
      <c r="F24" s="269">
        <v>13</v>
      </c>
      <c r="G24" s="253"/>
      <c r="H24" s="254"/>
      <c r="I24" s="254"/>
      <c r="J24" s="275" t="s">
        <v>69</v>
      </c>
      <c r="K24" s="21" t="s">
        <v>25</v>
      </c>
      <c r="L24" s="21"/>
      <c r="M24" s="21"/>
      <c r="N24" s="253"/>
      <c r="O24" s="261"/>
      <c r="P24" s="93"/>
    </row>
    <row r="25" spans="1:16" ht="174" customHeight="1">
      <c r="A25" s="217" t="str">
        <f ca="1">IF(AND($D$1&gt;=C25,$D$1&lt;=D25),"CurrentSprint","NA")</f>
        <v>NA</v>
      </c>
      <c r="B25" s="261" t="s">
        <v>70</v>
      </c>
      <c r="C25" s="335">
        <v>45602</v>
      </c>
      <c r="D25" s="335">
        <v>45615</v>
      </c>
      <c r="E25" s="122">
        <v>14</v>
      </c>
      <c r="F25" s="269">
        <v>14</v>
      </c>
      <c r="G25" s="298"/>
      <c r="H25" s="311"/>
      <c r="I25" s="416" t="s">
        <v>71</v>
      </c>
      <c r="J25" s="315" t="s">
        <v>72</v>
      </c>
      <c r="K25" s="249" t="s">
        <v>73</v>
      </c>
      <c r="L25" s="249"/>
      <c r="M25" s="249"/>
      <c r="N25" s="260"/>
      <c r="O25" s="261"/>
      <c r="P25" s="93"/>
    </row>
    <row r="26" spans="1:16" ht="130.5">
      <c r="A26" s="217" t="str">
        <f ca="1">IF(AND($D$1&gt;=C26,$D$1&lt;=D26),"CurrentSprint","NA")</f>
        <v>NA</v>
      </c>
      <c r="B26" s="261" t="s">
        <v>74</v>
      </c>
      <c r="C26" s="335">
        <v>45616</v>
      </c>
      <c r="D26" s="335">
        <v>45629</v>
      </c>
      <c r="E26" s="122">
        <v>16</v>
      </c>
      <c r="F26" s="269">
        <v>11</v>
      </c>
      <c r="G26" s="253"/>
      <c r="H26" s="606"/>
      <c r="I26" s="347" t="s">
        <v>75</v>
      </c>
      <c r="J26" s="344" t="s">
        <v>76</v>
      </c>
      <c r="K26" s="17" t="s">
        <v>25</v>
      </c>
      <c r="L26" s="249"/>
      <c r="M26" s="249"/>
      <c r="N26" s="260"/>
      <c r="O26" s="261"/>
      <c r="P26" s="93"/>
    </row>
    <row r="27" spans="1:16" ht="130.5">
      <c r="A27" s="218" t="str">
        <f ca="1">IF(AND($D$1&gt;=C27,$D$1&lt;=D27),"CurrentSprint","NA")</f>
        <v>NA</v>
      </c>
      <c r="B27" s="263" t="s">
        <v>77</v>
      </c>
      <c r="C27" s="348">
        <v>45630</v>
      </c>
      <c r="D27" s="348">
        <v>45643</v>
      </c>
      <c r="E27" s="136">
        <v>17</v>
      </c>
      <c r="F27" s="367" t="s">
        <v>78</v>
      </c>
      <c r="G27" s="366" t="s">
        <v>79</v>
      </c>
      <c r="H27" s="305"/>
      <c r="I27" s="349" t="s">
        <v>80</v>
      </c>
      <c r="J27" s="311" t="s">
        <v>81</v>
      </c>
      <c r="K27" s="366" t="s">
        <v>82</v>
      </c>
      <c r="L27" s="275"/>
      <c r="M27" s="275"/>
      <c r="N27" s="262"/>
      <c r="O27" s="263"/>
      <c r="P27" s="93"/>
    </row>
    <row r="28" spans="1:16" s="282" customFormat="1" ht="238.5">
      <c r="A28" s="217" t="str">
        <f ca="1">IF(AND($D$1&gt;=C28,$D$1&lt;=D28),"CurrentSprint","NA")</f>
        <v>NA</v>
      </c>
      <c r="B28" s="253" t="s">
        <v>83</v>
      </c>
      <c r="C28" s="370">
        <v>45644</v>
      </c>
      <c r="D28" s="370">
        <v>45671</v>
      </c>
      <c r="E28" s="256">
        <v>22</v>
      </c>
      <c r="F28" s="122">
        <v>24</v>
      </c>
      <c r="G28" s="253"/>
      <c r="H28" s="253"/>
      <c r="I28" s="294" t="s">
        <v>84</v>
      </c>
      <c r="J28" s="251" t="s">
        <v>85</v>
      </c>
      <c r="K28" s="251" t="s">
        <v>86</v>
      </c>
      <c r="L28" s="251"/>
      <c r="M28" s="251"/>
      <c r="N28" s="253"/>
      <c r="O28" s="261"/>
      <c r="P28" s="253"/>
    </row>
    <row r="29" spans="1:16" ht="267" customHeight="1">
      <c r="A29" s="217" t="str">
        <f ca="1">IF(AND($D$1&gt;=C29,$D$1&lt;=D29),"CurrentSprint","NA")</f>
        <v>NA</v>
      </c>
      <c r="B29" s="253" t="s">
        <v>87</v>
      </c>
      <c r="C29" s="370">
        <v>45672</v>
      </c>
      <c r="D29" s="370">
        <v>45685</v>
      </c>
      <c r="E29" s="256">
        <v>19</v>
      </c>
      <c r="F29" s="122">
        <v>23</v>
      </c>
      <c r="G29" s="253" t="s">
        <v>88</v>
      </c>
      <c r="H29" s="253"/>
      <c r="I29" s="294" t="s">
        <v>89</v>
      </c>
      <c r="J29" s="251" t="s">
        <v>90</v>
      </c>
      <c r="K29" s="251" t="s">
        <v>91</v>
      </c>
      <c r="L29" s="251"/>
      <c r="M29" s="251"/>
      <c r="N29" s="253"/>
      <c r="O29" s="261"/>
      <c r="P29" s="93"/>
    </row>
    <row r="30" spans="1:16" ht="255" customHeight="1">
      <c r="A30" s="218" t="str">
        <f ca="1">IF(AND($D$1&gt;=C30,$D$1&lt;=D30),"CurrentSprint","NA")</f>
        <v>NA</v>
      </c>
      <c r="B30" s="254" t="s">
        <v>92</v>
      </c>
      <c r="C30" s="398">
        <v>45686</v>
      </c>
      <c r="D30" s="398">
        <v>45699</v>
      </c>
      <c r="E30" s="399">
        <v>17</v>
      </c>
      <c r="F30" s="136">
        <v>22</v>
      </c>
      <c r="G30" s="254" t="s">
        <v>88</v>
      </c>
      <c r="H30" s="254"/>
      <c r="I30" s="400" t="s">
        <v>93</v>
      </c>
      <c r="J30" s="366" t="s">
        <v>94</v>
      </c>
      <c r="K30" s="401" t="s">
        <v>95</v>
      </c>
      <c r="L30" s="401"/>
      <c r="M30" s="401"/>
      <c r="N30" s="254"/>
      <c r="O30" s="263"/>
      <c r="P30" s="93"/>
    </row>
    <row r="31" spans="1:16" ht="156.75" customHeight="1">
      <c r="A31" s="217" t="str">
        <f ca="1">IF(AND($D$1&gt;=C31,$D$1&lt;=D31),"CurrentSprint","NA")</f>
        <v>NA</v>
      </c>
      <c r="B31" s="417" t="s">
        <v>96</v>
      </c>
      <c r="C31" s="370">
        <v>45700</v>
      </c>
      <c r="D31" s="370">
        <v>45713</v>
      </c>
      <c r="E31" s="256">
        <v>17</v>
      </c>
      <c r="F31" s="122">
        <v>37</v>
      </c>
      <c r="G31" s="253"/>
      <c r="H31" s="253"/>
      <c r="I31" s="294" t="s">
        <v>97</v>
      </c>
      <c r="J31" s="251" t="s">
        <v>98</v>
      </c>
      <c r="K31" s="366" t="s">
        <v>99</v>
      </c>
      <c r="L31" s="366"/>
      <c r="M31" s="366"/>
      <c r="N31" s="253"/>
      <c r="O31" s="261"/>
      <c r="P31" s="93"/>
    </row>
    <row r="32" spans="1:16" ht="166.5">
      <c r="A32" s="217" t="str">
        <f ca="1">IF(AND($D$1&gt;=C32,$D$1&lt;=D32),"CurrentSprint","NA")</f>
        <v>NA</v>
      </c>
      <c r="B32" s="417" t="s">
        <v>100</v>
      </c>
      <c r="C32" s="370">
        <v>45714</v>
      </c>
      <c r="D32" s="370">
        <v>45727</v>
      </c>
      <c r="E32" s="256">
        <v>23</v>
      </c>
      <c r="F32" s="122">
        <v>32.5</v>
      </c>
      <c r="G32" s="251" t="s">
        <v>101</v>
      </c>
      <c r="H32" s="251"/>
      <c r="I32" s="441"/>
      <c r="J32" s="251" t="s">
        <v>102</v>
      </c>
      <c r="K32" s="294" t="s">
        <v>103</v>
      </c>
      <c r="L32" s="294"/>
      <c r="M32" s="294"/>
      <c r="N32" s="253"/>
      <c r="O32" s="261"/>
      <c r="P32" s="93"/>
    </row>
    <row r="33" spans="1:16" s="462" customFormat="1" ht="330.75" customHeight="1">
      <c r="A33" s="456" t="str">
        <f ca="1">IF(AND($D$1&gt;=C33,$D$1&lt;=D33),"CurrentSprint","NA")</f>
        <v>NA</v>
      </c>
      <c r="B33" s="457" t="s">
        <v>104</v>
      </c>
      <c r="C33" s="458">
        <v>45728</v>
      </c>
      <c r="D33" s="458">
        <v>45741</v>
      </c>
      <c r="E33" s="459">
        <v>27</v>
      </c>
      <c r="F33" s="460">
        <v>34.5</v>
      </c>
      <c r="G33" s="235" t="s">
        <v>105</v>
      </c>
      <c r="H33" s="235"/>
      <c r="I33" s="455" t="s">
        <v>106</v>
      </c>
      <c r="J33" s="235" t="s">
        <v>107</v>
      </c>
      <c r="K33" s="461" t="s">
        <v>108</v>
      </c>
      <c r="L33" s="461"/>
      <c r="M33" s="461"/>
      <c r="N33" s="216"/>
      <c r="O33" s="674"/>
      <c r="P33" s="216"/>
    </row>
    <row r="34" spans="1:16" ht="252" customHeight="1">
      <c r="A34" s="456" t="str">
        <f ca="1">IF(AND($D$1&gt;=C34,$D$1&lt;=D34),"CurrentSprint","NA")</f>
        <v>NA</v>
      </c>
      <c r="B34" s="457" t="s">
        <v>109</v>
      </c>
      <c r="C34" s="458">
        <v>45742</v>
      </c>
      <c r="D34" s="458">
        <v>45755</v>
      </c>
      <c r="E34" s="459">
        <v>22</v>
      </c>
      <c r="F34" s="460">
        <v>17.3</v>
      </c>
      <c r="G34" s="490" t="s">
        <v>110</v>
      </c>
      <c r="H34" s="490"/>
      <c r="I34" s="455" t="s">
        <v>111</v>
      </c>
      <c r="J34" s="235" t="s">
        <v>112</v>
      </c>
      <c r="K34" s="461" t="s">
        <v>113</v>
      </c>
      <c r="L34" s="461"/>
      <c r="M34" s="461"/>
      <c r="N34" s="216"/>
      <c r="O34" s="674"/>
      <c r="P34" s="93"/>
    </row>
    <row r="35" spans="1:16" ht="178.5">
      <c r="A35" s="456" t="str">
        <f ca="1">IF(AND($D$1&gt;=C35,$D$1&lt;=D35),"CurrentSprint","NA")</f>
        <v>NA</v>
      </c>
      <c r="B35" s="457" t="s">
        <v>114</v>
      </c>
      <c r="C35" s="458">
        <v>45756</v>
      </c>
      <c r="D35" s="458">
        <v>45769</v>
      </c>
      <c r="E35" s="459">
        <v>19</v>
      </c>
      <c r="F35" s="460">
        <v>19</v>
      </c>
      <c r="G35" s="216" t="s">
        <v>115</v>
      </c>
      <c r="H35" s="216"/>
      <c r="I35" s="455" t="s">
        <v>116</v>
      </c>
      <c r="J35" s="235" t="s">
        <v>117</v>
      </c>
      <c r="K35" s="461" t="s">
        <v>118</v>
      </c>
      <c r="L35" s="461"/>
      <c r="M35" s="461"/>
      <c r="N35" s="216"/>
      <c r="O35" s="674"/>
      <c r="P35" s="93"/>
    </row>
    <row r="36" spans="1:16" ht="170.25" customHeight="1">
      <c r="A36" s="456" t="str">
        <f ca="1">IF(AND($D$1&gt;=C36,$D$1&lt;=D36),"CurrentSprint","NA")</f>
        <v>NA</v>
      </c>
      <c r="B36" s="457" t="s">
        <v>119</v>
      </c>
      <c r="C36" s="458">
        <v>45770</v>
      </c>
      <c r="D36" s="458">
        <v>45783</v>
      </c>
      <c r="E36" s="459">
        <v>21</v>
      </c>
      <c r="F36" s="460">
        <v>23</v>
      </c>
      <c r="G36" s="235" t="s">
        <v>120</v>
      </c>
      <c r="H36" s="235"/>
      <c r="I36" s="455" t="s">
        <v>121</v>
      </c>
      <c r="J36" s="235" t="s">
        <v>122</v>
      </c>
      <c r="K36" s="461" t="s">
        <v>123</v>
      </c>
      <c r="L36" s="461"/>
      <c r="M36" s="461"/>
      <c r="N36" s="216"/>
      <c r="O36" s="674"/>
      <c r="P36" s="93"/>
    </row>
    <row r="37" spans="1:16" ht="140.25" customHeight="1">
      <c r="A37" s="456" t="str">
        <f ca="1">IF(AND($D$1&gt;=C37,$D$1&lt;=D37),"CurrentSprint","NA")</f>
        <v>NA</v>
      </c>
      <c r="B37" s="457" t="s">
        <v>124</v>
      </c>
      <c r="C37" s="458">
        <v>45784</v>
      </c>
      <c r="D37" s="458">
        <v>45797</v>
      </c>
      <c r="E37" s="459">
        <v>22</v>
      </c>
      <c r="F37" s="460">
        <v>22</v>
      </c>
      <c r="G37" s="216" t="s">
        <v>115</v>
      </c>
      <c r="H37" s="216"/>
      <c r="I37" s="455" t="s">
        <v>125</v>
      </c>
      <c r="J37" s="235" t="s">
        <v>126</v>
      </c>
      <c r="K37" s="461" t="s">
        <v>127</v>
      </c>
      <c r="L37" s="461"/>
      <c r="M37" s="461"/>
      <c r="N37" s="216"/>
      <c r="O37" s="674"/>
      <c r="P37" s="93"/>
    </row>
    <row r="38" spans="1:16" ht="170.25" customHeight="1">
      <c r="A38" s="456" t="str">
        <f ca="1">IF(AND($D$1&gt;=C38,$D$1&lt;=D38),"CurrentSprint","NA")</f>
        <v>NA</v>
      </c>
      <c r="B38" s="457" t="s">
        <v>128</v>
      </c>
      <c r="C38" s="458">
        <v>45798</v>
      </c>
      <c r="D38" s="458">
        <v>45811</v>
      </c>
      <c r="E38" s="459">
        <v>24</v>
      </c>
      <c r="F38" s="460">
        <v>18</v>
      </c>
      <c r="G38" s="235" t="s">
        <v>129</v>
      </c>
      <c r="H38" s="235"/>
      <c r="I38" s="455" t="s">
        <v>130</v>
      </c>
      <c r="J38" s="235" t="s">
        <v>131</v>
      </c>
      <c r="K38" s="461" t="s">
        <v>132</v>
      </c>
      <c r="L38" s="461"/>
      <c r="M38" s="461"/>
      <c r="N38" s="216"/>
      <c r="O38" s="674"/>
      <c r="P38" s="93"/>
    </row>
    <row r="39" spans="1:16" ht="171" customHeight="1">
      <c r="A39" s="456" t="str">
        <f ca="1">IF(AND($D$1&gt;=C39,$D$1&lt;=D39),"CurrentSprint","NA")</f>
        <v>NA</v>
      </c>
      <c r="B39" s="457" t="s">
        <v>133</v>
      </c>
      <c r="C39" s="458">
        <v>45812</v>
      </c>
      <c r="D39" s="458">
        <v>45825</v>
      </c>
      <c r="E39" s="459">
        <v>21</v>
      </c>
      <c r="F39" s="460">
        <v>31</v>
      </c>
      <c r="G39" s="235" t="s">
        <v>134</v>
      </c>
      <c r="H39" s="235"/>
      <c r="I39" s="455" t="s">
        <v>135</v>
      </c>
      <c r="J39" s="235" t="s">
        <v>136</v>
      </c>
      <c r="K39" s="461" t="s">
        <v>137</v>
      </c>
      <c r="L39" s="461"/>
      <c r="M39" s="461"/>
      <c r="N39" s="216"/>
      <c r="O39" s="674"/>
      <c r="P39" s="93"/>
    </row>
    <row r="40" spans="1:16" ht="213" customHeight="1">
      <c r="A40" s="456" t="str">
        <f ca="1">IF(AND($D$1&gt;=C40,$D$1&lt;=D40),"CurrentSprint","NA")</f>
        <v>NA</v>
      </c>
      <c r="B40" s="457" t="s">
        <v>138</v>
      </c>
      <c r="C40" s="458">
        <v>45826</v>
      </c>
      <c r="D40" s="458">
        <v>45839</v>
      </c>
      <c r="E40" s="459">
        <v>16</v>
      </c>
      <c r="F40" s="460">
        <v>8</v>
      </c>
      <c r="G40" s="235" t="s">
        <v>139</v>
      </c>
      <c r="H40" s="235"/>
      <c r="I40" s="455" t="s">
        <v>140</v>
      </c>
      <c r="J40" s="235" t="s">
        <v>141</v>
      </c>
      <c r="K40" s="461" t="s">
        <v>142</v>
      </c>
      <c r="L40" s="461"/>
      <c r="M40" s="461"/>
      <c r="N40" s="216"/>
      <c r="O40" s="674"/>
      <c r="P40" s="93"/>
    </row>
    <row r="41" spans="1:16" ht="226.5">
      <c r="A41" s="456" t="str">
        <f ca="1">IF(AND($D$1&gt;=C41,$D$1&lt;=D41),"CurrentSprint","NA")</f>
        <v>NA</v>
      </c>
      <c r="B41" s="457" t="s">
        <v>143</v>
      </c>
      <c r="C41" s="458">
        <v>45840</v>
      </c>
      <c r="D41" s="458">
        <v>45853</v>
      </c>
      <c r="E41" s="459">
        <v>23.5</v>
      </c>
      <c r="F41" s="460">
        <v>15.5</v>
      </c>
      <c r="G41" s="235" t="s">
        <v>144</v>
      </c>
      <c r="H41" s="235"/>
      <c r="I41" s="455" t="s">
        <v>145</v>
      </c>
      <c r="J41" s="235" t="s">
        <v>146</v>
      </c>
      <c r="K41" s="461" t="s">
        <v>147</v>
      </c>
      <c r="L41" s="461"/>
      <c r="M41" s="461"/>
      <c r="N41" s="216"/>
      <c r="O41" s="674"/>
      <c r="P41" s="93"/>
    </row>
    <row r="42" spans="1:16" ht="238.5">
      <c r="A42" s="599" t="str">
        <f ca="1">IF(AND($D$1&gt;=C42,$D$1&lt;=D42),"CurrentSprint","NA")</f>
        <v>NA</v>
      </c>
      <c r="B42" s="600" t="s">
        <v>148</v>
      </c>
      <c r="C42" s="601">
        <v>45854</v>
      </c>
      <c r="D42" s="601">
        <v>45867</v>
      </c>
      <c r="E42" s="602">
        <v>27</v>
      </c>
      <c r="F42" s="603">
        <v>29</v>
      </c>
      <c r="G42" s="582" t="s">
        <v>149</v>
      </c>
      <c r="H42" s="582"/>
      <c r="I42" s="583" t="s">
        <v>150</v>
      </c>
      <c r="J42" s="582" t="s">
        <v>151</v>
      </c>
      <c r="K42" s="584" t="s">
        <v>152</v>
      </c>
      <c r="L42" s="584"/>
      <c r="M42" s="584"/>
      <c r="N42" s="585"/>
      <c r="O42" s="675"/>
      <c r="P42" s="93"/>
    </row>
    <row r="43" spans="1:16" ht="226.5">
      <c r="A43" s="599" t="str">
        <f ca="1">IF(AND($D$1&gt;=C43,$D$1&lt;=D43),"CurrentSprint","NA")</f>
        <v>NA</v>
      </c>
      <c r="B43" s="600" t="s">
        <v>153</v>
      </c>
      <c r="C43" s="601">
        <v>45868</v>
      </c>
      <c r="D43" s="601">
        <v>45881</v>
      </c>
      <c r="E43" s="602">
        <v>27</v>
      </c>
      <c r="F43" s="603">
        <v>26</v>
      </c>
      <c r="G43" s="582" t="s">
        <v>154</v>
      </c>
      <c r="H43" s="582"/>
      <c r="I43" s="582" t="s">
        <v>155</v>
      </c>
      <c r="J43" s="582" t="s">
        <v>156</v>
      </c>
      <c r="K43" s="584" t="s">
        <v>157</v>
      </c>
      <c r="L43" s="584"/>
      <c r="M43" s="584"/>
      <c r="N43" s="118"/>
      <c r="O43" s="117"/>
      <c r="P43" s="93"/>
    </row>
    <row r="44" spans="1:16" ht="210" customHeight="1">
      <c r="A44" s="599" t="str">
        <f ca="1">IF(AND($D$1&gt;=C44,$D$1&lt;=D44),"CurrentSprint","NA")</f>
        <v>NA</v>
      </c>
      <c r="B44" s="600" t="s">
        <v>158</v>
      </c>
      <c r="C44" s="601">
        <v>45882</v>
      </c>
      <c r="D44" s="601">
        <v>45895</v>
      </c>
      <c r="E44" s="602">
        <v>25</v>
      </c>
      <c r="F44" s="603">
        <v>14</v>
      </c>
      <c r="G44" s="119" t="s">
        <v>159</v>
      </c>
      <c r="H44" s="119" t="s">
        <v>160</v>
      </c>
      <c r="I44" s="119" t="s">
        <v>161</v>
      </c>
      <c r="J44" s="119" t="s">
        <v>162</v>
      </c>
      <c r="K44" s="119" t="s">
        <v>163</v>
      </c>
      <c r="L44" s="119"/>
      <c r="M44" s="119"/>
      <c r="N44" s="118"/>
      <c r="O44" s="117"/>
      <c r="P44" s="93"/>
    </row>
    <row r="45" spans="1:16" ht="237" customHeight="1">
      <c r="A45" s="456" t="str">
        <f ca="1">IF(AND($D$1&gt;=C45,$D$1&lt;=D45),"CurrentSprint","NA")</f>
        <v>NA</v>
      </c>
      <c r="B45" s="457" t="s">
        <v>164</v>
      </c>
      <c r="C45" s="458">
        <v>45896</v>
      </c>
      <c r="D45" s="458">
        <v>45909</v>
      </c>
      <c r="E45" s="459">
        <v>28</v>
      </c>
      <c r="F45" s="460">
        <v>31</v>
      </c>
      <c r="G45" s="96" t="s">
        <v>165</v>
      </c>
      <c r="H45" s="96" t="s">
        <v>166</v>
      </c>
      <c r="I45" s="625" t="s">
        <v>167</v>
      </c>
      <c r="J45" s="96" t="s">
        <v>168</v>
      </c>
      <c r="K45" s="621" t="s">
        <v>169</v>
      </c>
      <c r="L45" s="621"/>
      <c r="M45" s="621"/>
      <c r="N45" s="93"/>
      <c r="O45" s="620"/>
      <c r="P45" s="93"/>
    </row>
    <row r="46" spans="1:16" ht="171.75" customHeight="1">
      <c r="A46" s="599" t="str">
        <f ca="1">IF(AND($D$1&gt;=C46,$D$1&lt;=D46),"CurrentSprint","NA")</f>
        <v>NA</v>
      </c>
      <c r="B46" s="600" t="s">
        <v>170</v>
      </c>
      <c r="C46" s="601">
        <v>45910</v>
      </c>
      <c r="D46" s="601">
        <v>45923</v>
      </c>
      <c r="E46" s="136">
        <v>24</v>
      </c>
      <c r="F46" s="136">
        <v>14</v>
      </c>
      <c r="G46" s="119" t="s">
        <v>171</v>
      </c>
      <c r="H46" s="119" t="s">
        <v>172</v>
      </c>
      <c r="I46" s="119" t="s">
        <v>173</v>
      </c>
      <c r="J46" s="119" t="s">
        <v>174</v>
      </c>
      <c r="K46" s="619" t="s">
        <v>175</v>
      </c>
      <c r="L46" s="619"/>
      <c r="M46" s="619"/>
      <c r="N46" s="118"/>
      <c r="O46" s="117"/>
      <c r="P46" s="93"/>
    </row>
    <row r="47" spans="1:16" ht="175.5" customHeight="1">
      <c r="A47" s="456" t="str">
        <f ca="1">IF(AND($D$1&gt;=C47,$D$1&lt;=D47),"CurrentSprint","NA")</f>
        <v>NA</v>
      </c>
      <c r="B47" s="457" t="s">
        <v>176</v>
      </c>
      <c r="C47" s="638">
        <v>45924</v>
      </c>
      <c r="D47" s="458">
        <v>45937</v>
      </c>
      <c r="E47" s="122">
        <v>15</v>
      </c>
      <c r="F47" s="122">
        <v>15</v>
      </c>
      <c r="G47" s="96" t="s">
        <v>177</v>
      </c>
      <c r="H47" s="96" t="s">
        <v>178</v>
      </c>
      <c r="I47" s="96" t="s">
        <v>179</v>
      </c>
      <c r="J47" s="119" t="s">
        <v>180</v>
      </c>
      <c r="K47" s="96" t="s">
        <v>181</v>
      </c>
      <c r="L47" s="96"/>
      <c r="M47" s="96"/>
      <c r="N47" s="93"/>
      <c r="O47" s="620"/>
      <c r="P47" s="93"/>
    </row>
    <row r="48" spans="1:16" ht="309.75" customHeight="1">
      <c r="A48" s="599" t="str">
        <f ca="1">IF(AND($D$1&gt;=C48,$D$1&lt;=D48),"CurrentSprint","NA")</f>
        <v>NA</v>
      </c>
      <c r="B48" s="600" t="s">
        <v>182</v>
      </c>
      <c r="C48" s="643">
        <v>45938</v>
      </c>
      <c r="D48" s="601">
        <v>45951</v>
      </c>
      <c r="E48" s="136">
        <v>10</v>
      </c>
      <c r="F48" s="136">
        <v>7</v>
      </c>
      <c r="G48" s="118"/>
      <c r="H48" s="119" t="s">
        <v>183</v>
      </c>
      <c r="I48" s="119" t="s">
        <v>184</v>
      </c>
      <c r="J48" s="119" t="s">
        <v>185</v>
      </c>
      <c r="K48" s="119" t="s">
        <v>186</v>
      </c>
      <c r="L48" s="119"/>
      <c r="M48" s="119"/>
      <c r="N48" s="118"/>
      <c r="O48" s="117"/>
      <c r="P48" s="93"/>
    </row>
    <row r="49" spans="1:16" ht="255" customHeight="1">
      <c r="A49" s="456" t="str">
        <f ca="1">IF(AND($D$1&gt;=C49,$D$1&lt;=D49),"CurrentSprint","NA")</f>
        <v>NA</v>
      </c>
      <c r="B49" s="216" t="s">
        <v>187</v>
      </c>
      <c r="C49" s="601">
        <v>45952</v>
      </c>
      <c r="D49" s="601">
        <v>45965</v>
      </c>
      <c r="E49" s="136">
        <v>24</v>
      </c>
      <c r="F49" s="136">
        <v>24</v>
      </c>
      <c r="G49" s="119" t="s">
        <v>188</v>
      </c>
      <c r="H49" s="119" t="s">
        <v>189</v>
      </c>
      <c r="I49" s="119" t="s">
        <v>190</v>
      </c>
      <c r="J49" s="119" t="s">
        <v>191</v>
      </c>
      <c r="K49" s="119" t="s">
        <v>192</v>
      </c>
      <c r="L49" s="119"/>
      <c r="M49" s="119"/>
      <c r="N49" s="118"/>
      <c r="O49" s="117"/>
      <c r="P49" s="93"/>
    </row>
    <row r="50" spans="1:16" ht="243" customHeight="1">
      <c r="A50" s="456" t="str">
        <f ca="1">IF(AND($D$1&gt;=C50,$D$1&lt;=D50),"CurrentSprint","NA")</f>
        <v>NA</v>
      </c>
      <c r="B50" s="620" t="s">
        <v>193</v>
      </c>
      <c r="C50" s="458">
        <v>45966</v>
      </c>
      <c r="D50" s="458">
        <v>45979</v>
      </c>
      <c r="E50" s="122">
        <v>23</v>
      </c>
      <c r="F50" s="122">
        <v>27</v>
      </c>
      <c r="G50" s="96" t="s">
        <v>194</v>
      </c>
      <c r="H50" s="96" t="s">
        <v>195</v>
      </c>
      <c r="I50" s="96" t="s">
        <v>196</v>
      </c>
      <c r="J50" s="119" t="s">
        <v>197</v>
      </c>
      <c r="K50" s="235" t="s">
        <v>198</v>
      </c>
      <c r="L50" s="235"/>
      <c r="M50" s="235"/>
      <c r="N50" s="93"/>
      <c r="O50" s="620"/>
      <c r="P50" s="93"/>
    </row>
    <row r="51" spans="1:16" ht="226.5">
      <c r="A51" s="456" t="str">
        <f ca="1">IF(AND($D$1&gt;=C51,$D$1&lt;=D51),"CurrentSprint","NA")</f>
        <v>NA</v>
      </c>
      <c r="B51" s="620" t="s">
        <v>199</v>
      </c>
      <c r="C51" s="458">
        <v>45980</v>
      </c>
      <c r="D51" s="458">
        <v>45993</v>
      </c>
      <c r="E51" s="122">
        <v>29.5</v>
      </c>
      <c r="F51" s="122">
        <v>19.5</v>
      </c>
      <c r="G51" s="96" t="s">
        <v>200</v>
      </c>
      <c r="H51" s="96" t="s">
        <v>201</v>
      </c>
      <c r="I51" s="119" t="s">
        <v>202</v>
      </c>
      <c r="J51" s="96" t="s">
        <v>203</v>
      </c>
      <c r="K51" s="235" t="s">
        <v>204</v>
      </c>
      <c r="L51" s="235"/>
      <c r="M51" s="235"/>
      <c r="N51" s="93"/>
      <c r="O51" s="620"/>
      <c r="P51" s="93"/>
    </row>
    <row r="52" spans="1:16" ht="305.25" customHeight="1">
      <c r="A52" s="599" t="str">
        <f ca="1">IF(AND($D$1&gt;=C52,$D$1&lt;=D52),"CurrentSprint","NA")</f>
        <v>NA</v>
      </c>
      <c r="B52" s="117" t="s">
        <v>205</v>
      </c>
      <c r="C52" s="398">
        <v>45994</v>
      </c>
      <c r="D52" s="398">
        <v>46007</v>
      </c>
      <c r="E52" s="136">
        <v>26</v>
      </c>
      <c r="F52" s="136">
        <v>20</v>
      </c>
      <c r="G52" s="366" t="s">
        <v>206</v>
      </c>
      <c r="H52" s="650" t="s">
        <v>207</v>
      </c>
      <c r="I52" s="366" t="s">
        <v>208</v>
      </c>
      <c r="J52" s="275" t="s">
        <v>209</v>
      </c>
      <c r="K52" s="366" t="s">
        <v>210</v>
      </c>
      <c r="L52" s="366"/>
      <c r="M52" s="366"/>
      <c r="N52" s="254"/>
      <c r="O52" s="263"/>
      <c r="P52" s="93"/>
    </row>
    <row r="53" spans="1:16" ht="269.25" customHeight="1">
      <c r="A53" s="599" t="str">
        <f ca="1">IF(AND($D$1&gt;=C53,$D$1&lt;=D53),"CurrentSprint","NA")</f>
        <v>NA</v>
      </c>
      <c r="B53" s="134" t="s">
        <v>211</v>
      </c>
      <c r="C53" s="601">
        <v>46008</v>
      </c>
      <c r="D53" s="601">
        <v>46035</v>
      </c>
      <c r="E53" s="136">
        <v>35</v>
      </c>
      <c r="F53" s="136">
        <v>25</v>
      </c>
      <c r="G53" s="119" t="s">
        <v>212</v>
      </c>
      <c r="H53" s="119" t="s">
        <v>213</v>
      </c>
      <c r="I53" s="119" t="s">
        <v>214</v>
      </c>
      <c r="J53" s="119" t="s">
        <v>215</v>
      </c>
      <c r="K53" s="119" t="s">
        <v>216</v>
      </c>
      <c r="L53" s="119"/>
      <c r="M53" s="119"/>
      <c r="N53" s="118"/>
      <c r="O53" s="117"/>
      <c r="P53" s="93"/>
    </row>
    <row r="54" spans="1:16" ht="210" customHeight="1">
      <c r="A54" s="456" t="str">
        <f ca="1">IF(AND($D$1&gt;=C54,$D$1&lt;=D54),"CurrentSprint","NA")</f>
        <v>NA</v>
      </c>
      <c r="B54" s="129" t="s">
        <v>217</v>
      </c>
      <c r="C54" s="458">
        <v>46036</v>
      </c>
      <c r="D54" s="458">
        <v>46049</v>
      </c>
      <c r="E54" s="122">
        <v>26</v>
      </c>
      <c r="F54" s="122">
        <v>26</v>
      </c>
      <c r="G54" s="96" t="s">
        <v>218</v>
      </c>
      <c r="H54" s="642" t="s">
        <v>219</v>
      </c>
      <c r="I54" s="554" t="s">
        <v>220</v>
      </c>
      <c r="J54" s="619" t="s">
        <v>221</v>
      </c>
      <c r="K54" s="661" t="s">
        <v>222</v>
      </c>
      <c r="L54" s="133"/>
      <c r="M54" s="96"/>
      <c r="N54" s="93"/>
      <c r="O54" s="620"/>
      <c r="P54" s="93"/>
    </row>
    <row r="55" spans="1:16" ht="218.25" customHeight="1">
      <c r="A55" s="456" t="str">
        <f ca="1">IF(AND($D$1&gt;=C55,$D$1&lt;=D55),"CurrentSprint","NA")</f>
        <v>NA</v>
      </c>
      <c r="B55" s="129" t="s">
        <v>223</v>
      </c>
      <c r="C55" s="458">
        <v>46050</v>
      </c>
      <c r="D55" s="458">
        <v>46063</v>
      </c>
      <c r="E55" s="122">
        <v>23</v>
      </c>
      <c r="F55" s="122">
        <v>26</v>
      </c>
      <c r="G55" s="96" t="s">
        <v>224</v>
      </c>
      <c r="H55" s="96" t="s">
        <v>225</v>
      </c>
      <c r="I55" s="581" t="s">
        <v>226</v>
      </c>
      <c r="J55" s="619" t="s">
        <v>227</v>
      </c>
      <c r="K55" s="581" t="s">
        <v>228</v>
      </c>
      <c r="L55" s="93">
        <v>2</v>
      </c>
      <c r="M55" s="93">
        <v>4</v>
      </c>
      <c r="N55" s="93"/>
      <c r="O55" s="620"/>
      <c r="P55" s="93"/>
    </row>
    <row r="56" spans="1:16" ht="190.5">
      <c r="A56" s="218" t="str">
        <f ca="1">IF(AND($D$1&gt;=C56,$D$1&lt;=D56),"CurrentSprint","NA")</f>
        <v>NA</v>
      </c>
      <c r="B56" s="665" t="s">
        <v>229</v>
      </c>
      <c r="C56" s="398">
        <v>46064</v>
      </c>
      <c r="D56" s="398">
        <v>46077</v>
      </c>
      <c r="E56" s="136">
        <v>15</v>
      </c>
      <c r="F56" s="136">
        <v>19</v>
      </c>
      <c r="G56" s="366" t="s">
        <v>230</v>
      </c>
      <c r="H56" s="366" t="s">
        <v>231</v>
      </c>
      <c r="I56" s="366" t="s">
        <v>232</v>
      </c>
      <c r="J56" s="650" t="s">
        <v>233</v>
      </c>
      <c r="K56" s="366" t="s">
        <v>234</v>
      </c>
      <c r="L56" s="118">
        <v>1</v>
      </c>
      <c r="M56" s="118">
        <v>2</v>
      </c>
      <c r="N56" s="118"/>
      <c r="O56" s="117"/>
      <c r="P56" s="93"/>
    </row>
    <row r="57" spans="1:16" ht="201" customHeight="1">
      <c r="A57" s="599" t="str">
        <f ca="1">IF(AND($D$1&gt;=C57,$D$1&lt;=D57),"CurrentSprint","NA")</f>
        <v>NA</v>
      </c>
      <c r="B57" s="667" t="s">
        <v>235</v>
      </c>
      <c r="C57" s="601">
        <v>46078</v>
      </c>
      <c r="D57" s="601">
        <v>46091</v>
      </c>
      <c r="E57" s="136">
        <v>19</v>
      </c>
      <c r="F57" s="136">
        <v>14</v>
      </c>
      <c r="G57" s="366" t="s">
        <v>236</v>
      </c>
      <c r="H57" s="119" t="s">
        <v>237</v>
      </c>
      <c r="I57" s="119" t="s">
        <v>238</v>
      </c>
      <c r="J57" s="650" t="s">
        <v>239</v>
      </c>
      <c r="K57" s="119" t="s">
        <v>240</v>
      </c>
      <c r="L57" s="118">
        <v>7</v>
      </c>
      <c r="M57" s="118">
        <v>9</v>
      </c>
      <c r="N57" s="118"/>
      <c r="O57" s="117"/>
      <c r="P57" s="93"/>
    </row>
    <row r="58" spans="1:16" ht="214.5">
      <c r="A58" s="599" t="str">
        <f ca="1">IF(AND($D$1&gt;=C58,$D$1&lt;=D58),"CurrentSprint","NA")</f>
        <v>NA</v>
      </c>
      <c r="B58" s="134" t="s">
        <v>241</v>
      </c>
      <c r="C58" s="601">
        <v>46092</v>
      </c>
      <c r="D58" s="601">
        <v>46105</v>
      </c>
      <c r="E58" s="136">
        <v>16</v>
      </c>
      <c r="F58" s="136">
        <v>19</v>
      </c>
      <c r="G58" s="119" t="s">
        <v>242</v>
      </c>
      <c r="H58" s="119" t="s">
        <v>243</v>
      </c>
      <c r="I58" s="119" t="s">
        <v>244</v>
      </c>
      <c r="J58" s="650" t="s">
        <v>245</v>
      </c>
      <c r="K58" s="96" t="s">
        <v>246</v>
      </c>
      <c r="L58" s="550">
        <v>7</v>
      </c>
      <c r="M58" s="118">
        <v>10.5</v>
      </c>
      <c r="N58" s="118"/>
      <c r="O58" s="117"/>
      <c r="P58" s="93"/>
    </row>
    <row r="59" spans="1:16" ht="405">
      <c r="A59" s="456" t="str">
        <f ca="1">IF(AND($D$1&gt;=C59,$D$1&lt;=D59),"CurrentSprint","NA")</f>
        <v>NA</v>
      </c>
      <c r="B59" s="129" t="s">
        <v>247</v>
      </c>
      <c r="C59" s="458">
        <v>46106</v>
      </c>
      <c r="D59" s="458">
        <v>46119</v>
      </c>
      <c r="E59" s="122">
        <v>11</v>
      </c>
      <c r="F59" s="122">
        <v>24</v>
      </c>
      <c r="G59" s="96" t="s">
        <v>248</v>
      </c>
      <c r="H59" s="119" t="s">
        <v>249</v>
      </c>
      <c r="I59" s="96" t="s">
        <v>250</v>
      </c>
      <c r="J59" s="366" t="s">
        <v>251</v>
      </c>
      <c r="K59" s="240" t="s">
        <v>252</v>
      </c>
      <c r="L59" s="93">
        <v>4</v>
      </c>
      <c r="M59" s="93">
        <v>5</v>
      </c>
      <c r="N59" s="93"/>
      <c r="O59" s="620"/>
      <c r="P59" s="93"/>
    </row>
    <row r="60" spans="1:16" ht="311.25" customHeight="1">
      <c r="A60" s="456" t="str">
        <f ca="1">IF(AND($D$1&gt;=C60,$D$1&lt;=D60),"CurrentSprint","NA")</f>
        <v>NA</v>
      </c>
      <c r="B60" s="129" t="s">
        <v>253</v>
      </c>
      <c r="C60" s="458">
        <v>46120</v>
      </c>
      <c r="D60" s="458">
        <v>46133</v>
      </c>
      <c r="E60" s="122">
        <v>44</v>
      </c>
      <c r="F60" s="122">
        <v>33</v>
      </c>
      <c r="G60" s="96" t="s">
        <v>254</v>
      </c>
      <c r="H60" s="96" t="s">
        <v>255</v>
      </c>
      <c r="I60" s="96" t="s">
        <v>256</v>
      </c>
      <c r="J60" s="366" t="s">
        <v>257</v>
      </c>
      <c r="K60" s="251" t="s">
        <v>258</v>
      </c>
      <c r="L60" s="93">
        <v>3</v>
      </c>
      <c r="M60" s="93">
        <v>3</v>
      </c>
      <c r="N60" s="93"/>
      <c r="O60" s="620"/>
      <c r="P60" s="93">
        <v>111</v>
      </c>
    </row>
    <row r="61" spans="1:16" ht="250.5">
      <c r="A61" s="599" t="str">
        <f ca="1">IF(AND($D$1&gt;=C61,$D$1&lt;=D61),"CurrentSprint","NA")</f>
        <v>NA</v>
      </c>
      <c r="B61" s="134" t="s">
        <v>259</v>
      </c>
      <c r="C61" s="601">
        <v>46134</v>
      </c>
      <c r="D61" s="601">
        <v>46147</v>
      </c>
      <c r="E61" s="136">
        <v>22</v>
      </c>
      <c r="F61" s="136">
        <v>25</v>
      </c>
      <c r="G61" s="119" t="s">
        <v>260</v>
      </c>
      <c r="H61" s="119" t="s">
        <v>261</v>
      </c>
      <c r="I61" s="119" t="s">
        <v>262</v>
      </c>
      <c r="J61" s="119" t="s">
        <v>263</v>
      </c>
      <c r="K61" s="366" t="s">
        <v>264</v>
      </c>
      <c r="L61" s="118">
        <v>4</v>
      </c>
      <c r="M61" s="118">
        <v>4</v>
      </c>
      <c r="N61" s="118"/>
      <c r="O61" s="117"/>
      <c r="P61" s="118">
        <v>103.25</v>
      </c>
    </row>
    <row r="62" spans="1:16">
      <c r="A62" s="456" t="str">
        <f ca="1">IF(AND($D$1&gt;=C62,$D$1&lt;=D62),"CurrentSprint","NA")</f>
        <v>NA</v>
      </c>
      <c r="B62" s="129" t="s">
        <v>265</v>
      </c>
      <c r="C62" s="458">
        <v>46148</v>
      </c>
      <c r="D62" s="458">
        <v>46161</v>
      </c>
      <c r="E62" s="122">
        <v>25</v>
      </c>
      <c r="F62" s="122"/>
      <c r="G62" s="93"/>
      <c r="H62" s="93"/>
      <c r="I62" s="93"/>
      <c r="J62" s="96"/>
      <c r="K62" s="93"/>
      <c r="L62" s="93">
        <v>2</v>
      </c>
      <c r="M62" s="93"/>
      <c r="N62" s="93"/>
      <c r="O62" s="93"/>
      <c r="P62" s="93"/>
    </row>
  </sheetData>
  <dataValidations count="1">
    <dataValidation type="list" allowBlank="1" showInputMessage="1" showErrorMessage="1" sqref="N3:N19" xr:uid="{38D68189-372F-4438-B7B3-A3961AADC395}">
      <formula1>"Inprogress, Completed"</formula1>
    </dataValidation>
  </dataValidations>
  <hyperlinks>
    <hyperlink ref="N1" r:id="rId1" xr:uid="{354B0361-38C8-45F1-A218-3171FD047C6C}"/>
  </hyperlinks>
  <pageMargins left="0" right="0" top="0" bottom="0" header="0" footer="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A7650-70FC-424D-830E-EC26F2DFCBF8}">
  <sheetPr>
    <tabColor rgb="FFFFFF00"/>
    <outlinePr summaryBelow="0" summaryRight="0"/>
  </sheetPr>
  <dimension ref="A1:AB992"/>
  <sheetViews>
    <sheetView topLeftCell="B1" workbookViewId="0">
      <selection activeCell="B2" sqref="B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384" t="s">
        <v>266</v>
      </c>
      <c r="B1" s="1" t="s">
        <v>10</v>
      </c>
      <c r="C1" s="385" t="s">
        <v>267</v>
      </c>
      <c r="D1" s="385" t="s">
        <v>268</v>
      </c>
      <c r="E1" s="1" t="s">
        <v>269</v>
      </c>
      <c r="F1" s="385" t="s">
        <v>270</v>
      </c>
      <c r="G1" s="385" t="s">
        <v>271</v>
      </c>
      <c r="H1" s="1" t="s">
        <v>272</v>
      </c>
      <c r="I1" s="1" t="s">
        <v>273</v>
      </c>
      <c r="J1" s="1" t="s">
        <v>274</v>
      </c>
      <c r="K1" s="1" t="s">
        <v>275</v>
      </c>
      <c r="L1" s="386" t="s">
        <v>276</v>
      </c>
      <c r="M1" s="4" t="s">
        <v>277</v>
      </c>
      <c r="N1" s="31"/>
      <c r="O1" s="31"/>
      <c r="P1" s="31"/>
      <c r="Q1" s="31"/>
      <c r="R1" s="31"/>
      <c r="S1" s="31"/>
      <c r="T1" s="31"/>
      <c r="U1" s="31"/>
      <c r="V1" s="31"/>
      <c r="W1" s="31"/>
      <c r="X1" s="31"/>
      <c r="Y1" s="31"/>
      <c r="Z1" s="31"/>
      <c r="AA1" s="31"/>
      <c r="AB1" s="31"/>
    </row>
    <row r="2" spans="1:28" ht="70.5" customHeight="1">
      <c r="B2" s="11"/>
      <c r="C2" s="157"/>
      <c r="D2" s="387"/>
      <c r="E2" s="93"/>
      <c r="F2" s="388"/>
      <c r="G2" s="77"/>
      <c r="H2" s="11"/>
      <c r="I2" s="388"/>
      <c r="J2" s="11"/>
      <c r="K2" s="388"/>
      <c r="L2" s="62"/>
      <c r="M2" s="93"/>
    </row>
    <row r="3" spans="1:28" ht="33.75" customHeight="1">
      <c r="B3" s="11"/>
      <c r="C3" s="157"/>
      <c r="D3" s="157"/>
      <c r="E3" s="11"/>
      <c r="F3" s="11"/>
      <c r="G3" s="77"/>
      <c r="H3" s="11"/>
      <c r="I3" s="11"/>
      <c r="J3" s="11"/>
      <c r="K3" s="11"/>
      <c r="L3" s="11"/>
      <c r="M3" s="93"/>
    </row>
    <row r="4" spans="1:28" ht="15.75" customHeight="1"/>
    <row r="5" spans="1:28" ht="15.75" customHeight="1"/>
    <row r="6" spans="1:28" ht="15.75" customHeight="1"/>
    <row r="7" spans="1:28" ht="15.75" customHeight="1">
      <c r="F7" s="100"/>
    </row>
    <row r="8" spans="1:28" ht="15.75" customHeight="1"/>
    <row r="9" spans="1:28" ht="15.75" customHeight="1"/>
    <row r="10" spans="1:28" ht="15.75" customHeight="1">
      <c r="K10" s="100"/>
    </row>
    <row r="11" spans="1:28" ht="15.75" customHeight="1"/>
    <row r="12" spans="1:28" ht="15.75" customHeight="1"/>
    <row r="13" spans="1:28" ht="15.75" customHeight="1"/>
    <row r="14" spans="1:28" ht="15.75" customHeight="1">
      <c r="N14" s="100"/>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35835312-56F7-4D0C-9D8C-0A6940F69004}">
      <formula1>"Internal,External"</formula1>
    </dataValidation>
    <dataValidation type="list" allowBlank="1" showErrorMessage="1" sqref="K3" xr:uid="{EF57E666-E01B-43A3-97FC-1D8FB3745F2A}">
      <formula1>"Open,Inprogress,Closed"</formula1>
    </dataValidation>
    <dataValidation type="list" allowBlank="1" showErrorMessage="1" sqref="H2:H3" xr:uid="{AC88D882-53AA-4F35-A014-865158684BD7}">
      <formula1>"Minor,Significant,Major"</formula1>
    </dataValidation>
    <dataValidation type="list" allowBlank="1" showErrorMessage="1" sqref="F3" xr:uid="{91ACC105-EFF9-4E92-B145-A8B9DBE0C450}">
      <formula1>"Bounceback,Defect,None"</formula1>
    </dataValidation>
    <dataValidation type="list" allowBlank="1" showErrorMessage="1" sqref="F2" xr:uid="{88142B08-C0B3-4660-9753-ABD9B4681742}">
      <formula1>"Bounceback/Sub-Defect,Defect,None"</formula1>
    </dataValidation>
    <dataValidation type="list" allowBlank="1" showErrorMessage="1" sqref="I2:I3" xr:uid="{97771AD2-CC33-42CD-9E2F-A2F12ED147C9}">
      <formula1>"Manual, Automation"</formula1>
    </dataValidation>
    <dataValidation type="list" allowBlank="1" showErrorMessage="1" sqref="K2" xr:uid="{F28AFE60-5C9A-4E0A-B456-5CFC4F6FF946}">
      <formula1>"Open,Inprogress,Closed/Rejected"</formula1>
    </dataValidation>
    <dataValidation type="list" allowBlank="1" showErrorMessage="1" sqref="L3" xr:uid="{8EFDAD37-A9FC-4642-A9B7-BDED43A5C826}">
      <formula1>$A$2:$A$10</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244058E-73F4-4F0F-B666-B3728FAC3BC3}">
          <x14:formula1>
            <xm:f>Details!$A$2:$A$10</xm:f>
          </x14:formula1>
          <xm:sqref>L2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594DC-18F6-43F6-968F-A98BA5622925}">
  <dimension ref="A1:AO18"/>
  <sheetViews>
    <sheetView tabSelected="1" topLeftCell="A13" workbookViewId="0">
      <selection activeCell="L18" sqref="L18"/>
    </sheetView>
  </sheetViews>
  <sheetFormatPr defaultRowHeight="12.75"/>
  <cols>
    <col min="2" max="2" width="15" customWidth="1"/>
    <col min="3" max="3" width="12.5703125" customWidth="1"/>
    <col min="4" max="4" width="13.140625" customWidth="1"/>
    <col min="5" max="5" width="16.85546875" customWidth="1"/>
    <col min="6" max="6" width="14.7109375" customWidth="1"/>
    <col min="7" max="7" width="12.7109375" customWidth="1"/>
    <col min="8" max="8" width="42" customWidth="1"/>
    <col min="9" max="9" width="21.5703125" customWidth="1"/>
    <col min="10" max="10" width="10.140625" customWidth="1"/>
    <col min="12" max="12" width="13.140625" customWidth="1"/>
    <col min="13" max="14" width="9.42578125" bestFit="1" customWidth="1"/>
    <col min="15" max="15" width="10.85546875" customWidth="1"/>
    <col min="17" max="17" width="15.7109375" customWidth="1"/>
    <col min="18" max="18" width="12" customWidth="1"/>
    <col min="19" max="19" width="17.140625" customWidth="1"/>
    <col min="20" max="20" width="21" customWidth="1"/>
    <col min="21" max="21" width="13.85546875" customWidth="1"/>
    <col min="22" max="22" width="15.42578125" customWidth="1"/>
    <col min="23" max="23" width="16.140625" customWidth="1"/>
    <col min="24" max="24" width="21.5703125" customWidth="1"/>
    <col min="25" max="25" width="13.5703125" customWidth="1"/>
    <col min="26" max="26" width="14.5703125" customWidth="1"/>
    <col min="27" max="27" width="18.28515625" customWidth="1"/>
    <col min="28" max="28" width="14.7109375" customWidth="1"/>
    <col min="29" max="29" width="15.42578125" customWidth="1"/>
    <col min="30" max="30" width="22.140625" customWidth="1"/>
    <col min="31" max="31" width="15" customWidth="1"/>
    <col min="32" max="32" width="29.85546875" customWidth="1"/>
    <col min="33" max="33" width="20.85546875" customWidth="1"/>
    <col min="34" max="34" width="39.140625" customWidth="1"/>
    <col min="35" max="35" width="26.7109375" customWidth="1"/>
    <col min="36" max="36" width="18" customWidth="1"/>
    <col min="37" max="37" width="21.140625" customWidth="1"/>
    <col min="38" max="38" width="22" customWidth="1"/>
    <col min="39" max="39" width="26.140625" customWidth="1"/>
    <col min="40" max="40" width="17.7109375" customWidth="1"/>
    <col min="41" max="41" width="14.85546875" customWidth="1"/>
  </cols>
  <sheetData>
    <row r="1" spans="1:41" ht="33.75" customHeight="1">
      <c r="A1" s="247" t="s">
        <v>266</v>
      </c>
      <c r="B1" s="247" t="s">
        <v>4</v>
      </c>
      <c r="C1" s="247" t="s">
        <v>2</v>
      </c>
      <c r="D1" s="247" t="s">
        <v>3</v>
      </c>
      <c r="E1" s="247" t="s">
        <v>278</v>
      </c>
      <c r="F1" s="247" t="s">
        <v>269</v>
      </c>
      <c r="G1" s="247" t="s">
        <v>279</v>
      </c>
      <c r="H1" s="543"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46148</v>
      </c>
      <c r="AG1" s="518">
        <v>46149</v>
      </c>
      <c r="AH1" s="518">
        <v>46150</v>
      </c>
      <c r="AI1" s="518">
        <v>46153</v>
      </c>
      <c r="AJ1" s="518">
        <v>46154</v>
      </c>
      <c r="AK1" s="518">
        <v>46155</v>
      </c>
      <c r="AL1" s="518">
        <v>46156</v>
      </c>
      <c r="AM1" s="519">
        <v>46157</v>
      </c>
      <c r="AN1" s="518">
        <v>46160</v>
      </c>
      <c r="AO1" s="518">
        <v>46161</v>
      </c>
    </row>
    <row r="2" spans="1:41" ht="36" customHeight="1">
      <c r="A2" s="93">
        <v>1</v>
      </c>
      <c r="B2" s="93" t="s">
        <v>302</v>
      </c>
      <c r="C2" s="171">
        <v>46148</v>
      </c>
      <c r="D2" s="171">
        <v>46161</v>
      </c>
      <c r="E2" s="96" t="s">
        <v>303</v>
      </c>
      <c r="F2" s="93" t="s">
        <v>304</v>
      </c>
      <c r="G2" s="93">
        <v>52474</v>
      </c>
      <c r="H2" s="96" t="s">
        <v>305</v>
      </c>
      <c r="I2" s="490" t="s">
        <v>306</v>
      </c>
      <c r="J2" s="93">
        <v>2</v>
      </c>
      <c r="K2" s="93"/>
      <c r="L2" s="93"/>
      <c r="M2" s="93"/>
      <c r="N2" s="93"/>
      <c r="O2" s="93"/>
      <c r="P2" s="93"/>
      <c r="Q2" s="93"/>
      <c r="R2" s="93"/>
      <c r="S2" s="93"/>
      <c r="T2" s="93"/>
      <c r="U2" s="93"/>
      <c r="V2" s="93"/>
      <c r="W2" s="93"/>
      <c r="X2" s="93"/>
      <c r="Y2" s="93"/>
      <c r="Z2" s="93"/>
      <c r="AA2" s="93"/>
      <c r="AB2" s="93"/>
      <c r="AC2" s="93"/>
      <c r="AD2" s="93"/>
      <c r="AE2" s="93"/>
      <c r="AF2" s="96" t="s">
        <v>307</v>
      </c>
      <c r="AG2" s="96" t="s">
        <v>308</v>
      </c>
      <c r="AH2" s="96" t="s">
        <v>308</v>
      </c>
      <c r="AI2" s="96" t="s">
        <v>308</v>
      </c>
      <c r="AJ2" s="96" t="s">
        <v>309</v>
      </c>
      <c r="AK2" s="96" t="s">
        <v>310</v>
      </c>
      <c r="AL2" s="96" t="s">
        <v>311</v>
      </c>
      <c r="AM2" s="93" t="s">
        <v>312</v>
      </c>
      <c r="AN2" s="93"/>
      <c r="AO2" s="93"/>
    </row>
    <row r="3" spans="1:41" ht="154.5" customHeight="1">
      <c r="A3" s="93">
        <v>2</v>
      </c>
      <c r="B3" s="93" t="s">
        <v>302</v>
      </c>
      <c r="C3" s="171">
        <v>46148</v>
      </c>
      <c r="D3" s="171">
        <v>46161</v>
      </c>
      <c r="E3" s="96" t="s">
        <v>303</v>
      </c>
      <c r="F3" s="93" t="s">
        <v>313</v>
      </c>
      <c r="G3" s="93">
        <v>45225</v>
      </c>
      <c r="H3" s="93" t="s">
        <v>314</v>
      </c>
      <c r="I3" s="490" t="s">
        <v>306</v>
      </c>
      <c r="J3" s="93">
        <v>2</v>
      </c>
      <c r="K3" s="93">
        <v>4</v>
      </c>
      <c r="L3" s="93">
        <v>16</v>
      </c>
      <c r="M3" s="171">
        <v>46150</v>
      </c>
      <c r="N3" s="171">
        <v>46150</v>
      </c>
      <c r="O3" s="93" t="s">
        <v>12</v>
      </c>
      <c r="P3" s="93" t="s">
        <v>315</v>
      </c>
      <c r="Q3" s="93" t="s">
        <v>316</v>
      </c>
      <c r="R3" s="93" t="s">
        <v>317</v>
      </c>
      <c r="S3" s="96" t="s">
        <v>316</v>
      </c>
      <c r="T3" s="130" t="s">
        <v>318</v>
      </c>
      <c r="U3" s="171">
        <v>46150</v>
      </c>
      <c r="V3" s="171">
        <v>46150</v>
      </c>
      <c r="W3" s="96" t="s">
        <v>319</v>
      </c>
      <c r="X3" s="96" t="s">
        <v>316</v>
      </c>
      <c r="Y3" s="96" t="s">
        <v>319</v>
      </c>
      <c r="Z3" s="96" t="s">
        <v>320</v>
      </c>
      <c r="AA3" s="96" t="s">
        <v>316</v>
      </c>
      <c r="AB3" s="96" t="s">
        <v>316</v>
      </c>
      <c r="AC3" s="96" t="s">
        <v>316</v>
      </c>
      <c r="AD3" s="93"/>
      <c r="AE3" s="93"/>
      <c r="AF3" s="96" t="s">
        <v>321</v>
      </c>
      <c r="AG3" s="96" t="s">
        <v>322</v>
      </c>
      <c r="AH3" s="100" t="s">
        <v>323</v>
      </c>
      <c r="AI3" s="96" t="s">
        <v>324</v>
      </c>
      <c r="AJ3" s="96" t="s">
        <v>325</v>
      </c>
      <c r="AK3" s="93" t="s">
        <v>326</v>
      </c>
      <c r="AL3" s="93"/>
      <c r="AM3" s="93"/>
      <c r="AN3" s="93"/>
      <c r="AO3" s="93"/>
    </row>
    <row r="4" spans="1:41" ht="48">
      <c r="A4" s="93">
        <v>3</v>
      </c>
      <c r="B4" s="93" t="s">
        <v>302</v>
      </c>
      <c r="C4" s="171">
        <v>46148</v>
      </c>
      <c r="D4" s="171">
        <v>46161</v>
      </c>
      <c r="E4" s="96" t="s">
        <v>303</v>
      </c>
      <c r="F4" s="93" t="s">
        <v>315</v>
      </c>
      <c r="G4" s="93" t="s">
        <v>327</v>
      </c>
      <c r="H4" s="96" t="s">
        <v>328</v>
      </c>
      <c r="I4" s="490" t="s">
        <v>329</v>
      </c>
      <c r="J4" s="93">
        <v>5</v>
      </c>
      <c r="K4" s="93"/>
      <c r="L4" s="93"/>
      <c r="M4" s="171">
        <v>46148</v>
      </c>
      <c r="N4" s="171">
        <v>46150</v>
      </c>
      <c r="O4" s="93"/>
      <c r="P4" s="93"/>
      <c r="Q4" s="93"/>
      <c r="R4" s="93"/>
      <c r="S4" s="93"/>
      <c r="T4" s="93"/>
      <c r="U4" s="93"/>
      <c r="V4" s="93"/>
      <c r="W4" s="93"/>
      <c r="X4" s="93"/>
      <c r="Y4" s="93"/>
      <c r="Z4" s="93"/>
      <c r="AA4" s="93"/>
      <c r="AB4" s="93"/>
      <c r="AC4" s="93"/>
      <c r="AD4" s="93"/>
      <c r="AE4" s="93"/>
      <c r="AF4" s="96" t="s">
        <v>330</v>
      </c>
      <c r="AG4" s="96" t="s">
        <v>331</v>
      </c>
      <c r="AH4" s="96" t="s">
        <v>332</v>
      </c>
      <c r="AI4" s="96" t="s">
        <v>333</v>
      </c>
      <c r="AJ4" s="96" t="s">
        <v>334</v>
      </c>
      <c r="AK4" s="96" t="s">
        <v>334</v>
      </c>
      <c r="AL4" s="96" t="s">
        <v>334</v>
      </c>
      <c r="AM4" s="100" t="s">
        <v>335</v>
      </c>
      <c r="AN4" s="93"/>
      <c r="AO4" s="93"/>
    </row>
    <row r="5" spans="1:41" ht="72">
      <c r="A5" s="93">
        <v>4</v>
      </c>
      <c r="B5" s="93" t="s">
        <v>302</v>
      </c>
      <c r="C5" s="171">
        <v>46148</v>
      </c>
      <c r="D5" s="171">
        <v>46161</v>
      </c>
      <c r="E5" s="96" t="s">
        <v>336</v>
      </c>
      <c r="F5" s="93" t="s">
        <v>313</v>
      </c>
      <c r="G5" s="93">
        <v>51720</v>
      </c>
      <c r="H5" s="96" t="s">
        <v>337</v>
      </c>
      <c r="I5" s="490" t="s">
        <v>338</v>
      </c>
      <c r="J5" s="93">
        <v>8</v>
      </c>
      <c r="K5" s="93">
        <v>6</v>
      </c>
      <c r="L5" s="93">
        <v>24</v>
      </c>
      <c r="M5" s="171">
        <v>46148</v>
      </c>
      <c r="N5" s="171">
        <v>46154</v>
      </c>
      <c r="O5" s="93" t="s">
        <v>12</v>
      </c>
      <c r="P5" s="93"/>
      <c r="Q5" s="93"/>
      <c r="R5" s="93" t="s">
        <v>317</v>
      </c>
      <c r="S5" s="96" t="s">
        <v>339</v>
      </c>
      <c r="T5" s="93"/>
      <c r="U5" s="93"/>
      <c r="V5" s="93"/>
      <c r="W5" s="93"/>
      <c r="X5" s="93"/>
      <c r="Y5" s="93"/>
      <c r="Z5" s="93"/>
      <c r="AA5" s="93"/>
      <c r="AB5" s="96" t="s">
        <v>316</v>
      </c>
      <c r="AC5" s="96" t="s">
        <v>316</v>
      </c>
      <c r="AD5" s="93"/>
      <c r="AE5" s="93"/>
      <c r="AF5" s="96" t="s">
        <v>340</v>
      </c>
      <c r="AG5" s="96" t="s">
        <v>341</v>
      </c>
      <c r="AH5" s="96" t="s">
        <v>342</v>
      </c>
      <c r="AI5" s="93" t="s">
        <v>343</v>
      </c>
      <c r="AJ5" s="96" t="s">
        <v>344</v>
      </c>
      <c r="AK5" s="96" t="s">
        <v>334</v>
      </c>
      <c r="AL5" s="96" t="s">
        <v>334</v>
      </c>
      <c r="AM5" s="96" t="s">
        <v>345</v>
      </c>
      <c r="AN5" s="93"/>
      <c r="AO5" s="93"/>
    </row>
    <row r="6" spans="1:41" ht="48">
      <c r="A6" s="93">
        <v>5</v>
      </c>
      <c r="B6" s="93" t="s">
        <v>302</v>
      </c>
      <c r="C6" s="171">
        <v>46148</v>
      </c>
      <c r="D6" s="171">
        <v>46161</v>
      </c>
      <c r="E6" s="96" t="s">
        <v>303</v>
      </c>
      <c r="F6" s="93" t="s">
        <v>317</v>
      </c>
      <c r="G6" s="93" t="s">
        <v>346</v>
      </c>
      <c r="H6" s="96" t="s">
        <v>347</v>
      </c>
      <c r="I6" s="490" t="s">
        <v>348</v>
      </c>
      <c r="J6" s="93">
        <v>0</v>
      </c>
      <c r="K6" s="93"/>
      <c r="L6" s="93"/>
      <c r="M6" s="93"/>
      <c r="N6" s="93"/>
      <c r="O6" s="93"/>
      <c r="P6" s="93"/>
      <c r="Q6" s="93"/>
      <c r="R6" s="93"/>
      <c r="S6" s="93"/>
      <c r="T6" s="93"/>
      <c r="U6" s="93"/>
      <c r="V6" s="93"/>
      <c r="W6" s="93"/>
      <c r="X6" s="93"/>
      <c r="Y6" s="93"/>
      <c r="Z6" s="93"/>
      <c r="AA6" s="93"/>
      <c r="AB6" s="93"/>
      <c r="AC6" s="93"/>
      <c r="AD6" s="93"/>
      <c r="AE6" s="93"/>
      <c r="AF6" s="96" t="s">
        <v>349</v>
      </c>
      <c r="AG6" s="93" t="s">
        <v>350</v>
      </c>
      <c r="AH6" s="96" t="s">
        <v>351</v>
      </c>
      <c r="AI6" s="96" t="s">
        <v>352</v>
      </c>
      <c r="AJ6" s="96" t="s">
        <v>353</v>
      </c>
      <c r="AK6" s="96" t="s">
        <v>354</v>
      </c>
      <c r="AL6" s="96" t="s">
        <v>354</v>
      </c>
      <c r="AM6" s="96" t="s">
        <v>354</v>
      </c>
      <c r="AN6" s="93"/>
      <c r="AO6" s="93"/>
    </row>
    <row r="7" spans="1:41" ht="72">
      <c r="A7" s="93">
        <v>6</v>
      </c>
      <c r="B7" s="93" t="s">
        <v>302</v>
      </c>
      <c r="C7" s="171">
        <v>46148</v>
      </c>
      <c r="D7" s="171">
        <v>46161</v>
      </c>
      <c r="E7" s="96" t="s">
        <v>303</v>
      </c>
      <c r="F7" s="93" t="s">
        <v>317</v>
      </c>
      <c r="G7" s="129" t="s">
        <v>355</v>
      </c>
      <c r="H7" s="96" t="s">
        <v>356</v>
      </c>
      <c r="I7" s="490" t="s">
        <v>348</v>
      </c>
      <c r="J7" s="93">
        <v>0</v>
      </c>
      <c r="K7" s="93"/>
      <c r="L7" s="93"/>
      <c r="M7" s="93"/>
      <c r="N7" s="93"/>
      <c r="O7" s="93"/>
      <c r="P7" s="93"/>
      <c r="Q7" s="93"/>
      <c r="R7" s="93"/>
      <c r="S7" s="93"/>
      <c r="T7" s="93"/>
      <c r="U7" s="93"/>
      <c r="V7" s="93"/>
      <c r="W7" s="93"/>
      <c r="X7" s="93"/>
      <c r="Y7" s="93"/>
      <c r="Z7" s="93"/>
      <c r="AA7" s="93"/>
      <c r="AB7" s="93"/>
      <c r="AC7" s="93"/>
      <c r="AD7" s="93"/>
      <c r="AE7" s="93"/>
      <c r="AF7" s="96" t="s">
        <v>357</v>
      </c>
      <c r="AG7" s="96" t="s">
        <v>358</v>
      </c>
      <c r="AH7" s="96" t="s">
        <v>351</v>
      </c>
      <c r="AI7" s="96" t="s">
        <v>352</v>
      </c>
      <c r="AJ7" s="96" t="s">
        <v>359</v>
      </c>
      <c r="AK7" s="96" t="s">
        <v>354</v>
      </c>
      <c r="AL7" s="96" t="s">
        <v>354</v>
      </c>
      <c r="AM7" s="96" t="s">
        <v>360</v>
      </c>
      <c r="AN7" s="93"/>
      <c r="AO7" s="93"/>
    </row>
    <row r="8" spans="1:41" ht="36">
      <c r="A8" s="118">
        <v>7</v>
      </c>
      <c r="B8" s="118" t="s">
        <v>302</v>
      </c>
      <c r="C8" s="649">
        <v>46148</v>
      </c>
      <c r="D8" s="649">
        <v>46161</v>
      </c>
      <c r="E8" s="119" t="s">
        <v>303</v>
      </c>
      <c r="F8" s="118" t="s">
        <v>315</v>
      </c>
      <c r="G8" s="118" t="s">
        <v>361</v>
      </c>
      <c r="H8" s="119" t="s">
        <v>362</v>
      </c>
      <c r="I8" s="561" t="s">
        <v>306</v>
      </c>
      <c r="J8" s="118">
        <v>1</v>
      </c>
      <c r="K8" s="118"/>
      <c r="L8" s="118"/>
      <c r="M8" s="118"/>
      <c r="N8" s="118"/>
      <c r="O8" s="118"/>
      <c r="P8" s="118"/>
      <c r="Q8" s="118"/>
      <c r="R8" s="118"/>
      <c r="S8" s="118"/>
      <c r="T8" s="118"/>
      <c r="U8" s="118"/>
      <c r="V8" s="118"/>
      <c r="W8" s="118"/>
      <c r="X8" s="118"/>
      <c r="Y8" s="118"/>
      <c r="Z8" s="118"/>
      <c r="AA8" s="118"/>
      <c r="AB8" s="118"/>
      <c r="AC8" s="118"/>
      <c r="AD8" s="118"/>
      <c r="AE8" s="118"/>
      <c r="AF8" s="118"/>
      <c r="AG8" s="118" t="s">
        <v>363</v>
      </c>
      <c r="AH8" s="118" t="s">
        <v>364</v>
      </c>
      <c r="AI8" s="118" t="s">
        <v>365</v>
      </c>
      <c r="AJ8" s="119" t="s">
        <v>366</v>
      </c>
      <c r="AK8" s="119"/>
      <c r="AL8" s="118"/>
      <c r="AM8" s="118"/>
      <c r="AN8" s="118"/>
      <c r="AO8" s="118"/>
    </row>
    <row r="9" spans="1:41" ht="48">
      <c r="A9" s="96">
        <v>8</v>
      </c>
      <c r="B9" s="96" t="s">
        <v>302</v>
      </c>
      <c r="C9" s="158">
        <v>46148</v>
      </c>
      <c r="D9" s="158">
        <v>46161</v>
      </c>
      <c r="E9" s="96" t="s">
        <v>336</v>
      </c>
      <c r="F9" s="96" t="s">
        <v>315</v>
      </c>
      <c r="G9" s="96" t="s">
        <v>367</v>
      </c>
      <c r="H9" s="96" t="s">
        <v>368</v>
      </c>
      <c r="I9" s="490" t="s">
        <v>369</v>
      </c>
      <c r="J9" s="96">
        <v>3</v>
      </c>
      <c r="K9" s="96"/>
      <c r="L9" s="96"/>
      <c r="M9" s="96"/>
      <c r="N9" s="96"/>
      <c r="O9" s="96"/>
      <c r="P9" s="96"/>
      <c r="Q9" s="96"/>
      <c r="R9" s="96"/>
      <c r="S9" s="96"/>
      <c r="T9" s="96"/>
      <c r="U9" s="96"/>
      <c r="V9" s="96"/>
      <c r="W9" s="96"/>
      <c r="X9" s="96"/>
      <c r="Y9" s="96"/>
      <c r="Z9" s="96"/>
      <c r="AA9" s="96"/>
      <c r="AB9" s="96"/>
      <c r="AC9" s="96"/>
      <c r="AD9" s="96"/>
      <c r="AE9" s="96"/>
      <c r="AF9" s="96"/>
      <c r="AG9" s="96" t="s">
        <v>370</v>
      </c>
      <c r="AH9" s="96" t="s">
        <v>371</v>
      </c>
      <c r="AI9" s="96" t="s">
        <v>371</v>
      </c>
      <c r="AJ9" s="96" t="s">
        <v>372</v>
      </c>
      <c r="AK9" s="96" t="s">
        <v>372</v>
      </c>
      <c r="AL9" s="96" t="s">
        <v>372</v>
      </c>
      <c r="AM9" s="96" t="s">
        <v>372</v>
      </c>
      <c r="AN9" s="96"/>
      <c r="AO9" s="96"/>
    </row>
    <row r="10" spans="1:41" ht="48">
      <c r="A10" s="119">
        <v>9</v>
      </c>
      <c r="B10" s="119" t="s">
        <v>302</v>
      </c>
      <c r="C10" s="644">
        <v>46148</v>
      </c>
      <c r="D10" s="644">
        <v>46161</v>
      </c>
      <c r="E10" s="119" t="s">
        <v>373</v>
      </c>
      <c r="F10" s="119" t="s">
        <v>315</v>
      </c>
      <c r="G10" s="119" t="s">
        <v>374</v>
      </c>
      <c r="H10" s="119" t="s">
        <v>375</v>
      </c>
      <c r="I10" s="561" t="s">
        <v>376</v>
      </c>
      <c r="J10" s="119">
        <v>1</v>
      </c>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t="s">
        <v>370</v>
      </c>
      <c r="AH10" s="119" t="s">
        <v>377</v>
      </c>
      <c r="AI10" s="119" t="s">
        <v>378</v>
      </c>
      <c r="AJ10" s="119" t="s">
        <v>312</v>
      </c>
      <c r="AK10" s="119"/>
      <c r="AL10" s="119"/>
      <c r="AM10" s="119"/>
      <c r="AN10" s="119"/>
      <c r="AO10" s="119"/>
    </row>
    <row r="11" spans="1:41" ht="48">
      <c r="A11" s="93">
        <v>10</v>
      </c>
      <c r="B11" s="96" t="s">
        <v>302</v>
      </c>
      <c r="C11" s="158">
        <v>46148</v>
      </c>
      <c r="D11" s="158">
        <v>46161</v>
      </c>
      <c r="E11" s="96" t="s">
        <v>336</v>
      </c>
      <c r="F11" s="96" t="s">
        <v>315</v>
      </c>
      <c r="G11" s="129">
        <v>25390</v>
      </c>
      <c r="H11" s="96" t="s">
        <v>379</v>
      </c>
      <c r="I11" s="490" t="s">
        <v>380</v>
      </c>
      <c r="J11" s="93">
        <v>1</v>
      </c>
      <c r="K11" s="93"/>
      <c r="L11" s="93"/>
      <c r="M11" s="93"/>
      <c r="N11" s="93"/>
      <c r="O11" s="93"/>
      <c r="P11" s="93"/>
      <c r="Q11" s="93"/>
      <c r="R11" s="93"/>
      <c r="S11" s="93"/>
      <c r="T11" s="93"/>
      <c r="U11" s="93"/>
      <c r="V11" s="93"/>
      <c r="W11" s="93"/>
      <c r="X11" s="93"/>
      <c r="Y11" s="93"/>
      <c r="Z11" s="93"/>
      <c r="AA11" s="93"/>
      <c r="AB11" s="93"/>
      <c r="AC11" s="93"/>
      <c r="AD11" s="93"/>
      <c r="AE11" s="93"/>
      <c r="AF11" s="93"/>
      <c r="AG11" s="93"/>
      <c r="AH11" s="93" t="s">
        <v>381</v>
      </c>
      <c r="AI11" s="96" t="s">
        <v>382</v>
      </c>
      <c r="AJ11" s="96" t="s">
        <v>383</v>
      </c>
      <c r="AK11" s="93"/>
      <c r="AL11" s="93" t="s">
        <v>334</v>
      </c>
      <c r="AM11" s="96" t="s">
        <v>384</v>
      </c>
      <c r="AN11" s="93"/>
      <c r="AO11" s="93"/>
    </row>
    <row r="12" spans="1:41" ht="48">
      <c r="A12" s="93">
        <v>11</v>
      </c>
      <c r="B12" s="96" t="s">
        <v>302</v>
      </c>
      <c r="C12" s="158">
        <v>46148</v>
      </c>
      <c r="D12" s="158">
        <v>46161</v>
      </c>
      <c r="E12" s="119" t="s">
        <v>303</v>
      </c>
      <c r="F12" s="93" t="s">
        <v>304</v>
      </c>
      <c r="G12" s="93">
        <v>52708</v>
      </c>
      <c r="H12" s="96" t="s">
        <v>385</v>
      </c>
      <c r="I12" s="490" t="s">
        <v>306</v>
      </c>
      <c r="J12" s="93">
        <v>3</v>
      </c>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6" t="s">
        <v>386</v>
      </c>
      <c r="AJ12" s="96" t="s">
        <v>387</v>
      </c>
      <c r="AK12" s="96" t="s">
        <v>388</v>
      </c>
      <c r="AL12" s="93" t="s">
        <v>389</v>
      </c>
      <c r="AM12" s="93" t="s">
        <v>390</v>
      </c>
      <c r="AN12" s="93"/>
      <c r="AO12" s="93"/>
    </row>
    <row r="13" spans="1:41" ht="96">
      <c r="A13" s="93">
        <v>12</v>
      </c>
      <c r="B13" s="118" t="s">
        <v>302</v>
      </c>
      <c r="C13" s="649">
        <v>46148</v>
      </c>
      <c r="D13" s="649">
        <v>46161</v>
      </c>
      <c r="E13" s="119" t="s">
        <v>303</v>
      </c>
      <c r="F13" s="118" t="s">
        <v>391</v>
      </c>
      <c r="G13" s="93" t="s">
        <v>392</v>
      </c>
      <c r="H13" s="96" t="s">
        <v>393</v>
      </c>
      <c r="I13" s="490" t="s">
        <v>348</v>
      </c>
      <c r="J13" s="93">
        <v>0</v>
      </c>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6" t="s">
        <v>394</v>
      </c>
      <c r="AJ13" s="96" t="s">
        <v>395</v>
      </c>
      <c r="AK13" s="119"/>
      <c r="AL13" s="93"/>
      <c r="AM13" s="96" t="s">
        <v>396</v>
      </c>
      <c r="AN13" s="93"/>
      <c r="AO13" s="93"/>
    </row>
    <row r="14" spans="1:41" ht="36">
      <c r="A14" s="118">
        <v>13</v>
      </c>
      <c r="B14" s="119" t="s">
        <v>302</v>
      </c>
      <c r="C14" s="644">
        <v>46148</v>
      </c>
      <c r="D14" s="644">
        <v>46161</v>
      </c>
      <c r="E14" s="119" t="s">
        <v>336</v>
      </c>
      <c r="F14" s="119" t="s">
        <v>315</v>
      </c>
      <c r="G14" s="118" t="s">
        <v>397</v>
      </c>
      <c r="H14" s="119" t="s">
        <v>398</v>
      </c>
      <c r="I14" s="561" t="s">
        <v>399</v>
      </c>
      <c r="J14" s="118">
        <v>5</v>
      </c>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619" t="s">
        <v>400</v>
      </c>
      <c r="AK14" s="96" t="s">
        <v>401</v>
      </c>
      <c r="AL14" s="137" t="s">
        <v>402</v>
      </c>
      <c r="AM14" s="119" t="s">
        <v>403</v>
      </c>
      <c r="AN14" s="118"/>
      <c r="AO14" s="118"/>
    </row>
    <row r="15" spans="1:41" ht="60">
      <c r="A15" s="118">
        <v>14</v>
      </c>
      <c r="B15" s="119" t="s">
        <v>302</v>
      </c>
      <c r="C15" s="644">
        <v>46148</v>
      </c>
      <c r="D15" s="644">
        <v>46161</v>
      </c>
      <c r="E15" s="119" t="s">
        <v>303</v>
      </c>
      <c r="F15" s="119" t="s">
        <v>315</v>
      </c>
      <c r="G15" s="118" t="s">
        <v>404</v>
      </c>
      <c r="H15" s="119" t="s">
        <v>405</v>
      </c>
      <c r="I15" s="561" t="s">
        <v>348</v>
      </c>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619" t="s">
        <v>406</v>
      </c>
      <c r="AK15" s="119" t="s">
        <v>407</v>
      </c>
      <c r="AL15" s="137" t="s">
        <v>408</v>
      </c>
      <c r="AM15" s="96" t="s">
        <v>396</v>
      </c>
      <c r="AN15" s="118"/>
      <c r="AO15" s="118"/>
    </row>
    <row r="16" spans="1:41" ht="72">
      <c r="A16" s="93">
        <v>15</v>
      </c>
      <c r="B16" s="96" t="s">
        <v>302</v>
      </c>
      <c r="C16" s="158">
        <v>46148</v>
      </c>
      <c r="D16" s="158">
        <v>46161</v>
      </c>
      <c r="E16" s="96" t="s">
        <v>303</v>
      </c>
      <c r="F16" s="93" t="s">
        <v>304</v>
      </c>
      <c r="G16" s="93">
        <v>53136</v>
      </c>
      <c r="H16" s="96" t="s">
        <v>409</v>
      </c>
      <c r="I16" s="490" t="s">
        <v>306</v>
      </c>
      <c r="J16" s="93">
        <v>3</v>
      </c>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6" t="s">
        <v>410</v>
      </c>
      <c r="AL16" s="93" t="s">
        <v>411</v>
      </c>
      <c r="AM16" s="93" t="s">
        <v>390</v>
      </c>
      <c r="AN16" s="93"/>
      <c r="AO16" s="93"/>
    </row>
    <row r="17" spans="1:41" ht="48">
      <c r="A17" s="118">
        <v>16</v>
      </c>
      <c r="B17" s="119" t="s">
        <v>302</v>
      </c>
      <c r="C17" s="644">
        <v>46148</v>
      </c>
      <c r="D17" s="644">
        <v>46161</v>
      </c>
      <c r="E17" s="119" t="s">
        <v>336</v>
      </c>
      <c r="F17" s="118" t="s">
        <v>313</v>
      </c>
      <c r="G17" s="118">
        <v>52626</v>
      </c>
      <c r="H17" s="118" t="s">
        <v>412</v>
      </c>
      <c r="I17" s="561" t="s">
        <v>399</v>
      </c>
      <c r="J17" s="118">
        <v>5</v>
      </c>
      <c r="K17" s="118">
        <v>3</v>
      </c>
      <c r="L17" s="118">
        <v>12</v>
      </c>
      <c r="M17" s="649">
        <v>46155</v>
      </c>
      <c r="N17" s="649">
        <v>46156</v>
      </c>
      <c r="O17" s="93" t="s">
        <v>12</v>
      </c>
      <c r="P17" s="93" t="s">
        <v>315</v>
      </c>
      <c r="Q17" s="93" t="s">
        <v>316</v>
      </c>
      <c r="R17" s="93" t="s">
        <v>317</v>
      </c>
      <c r="S17" s="96" t="s">
        <v>316</v>
      </c>
      <c r="T17" s="118"/>
      <c r="U17" s="118"/>
      <c r="V17" s="118"/>
      <c r="W17" s="118"/>
      <c r="X17" s="118"/>
      <c r="Y17" s="118"/>
      <c r="Z17" s="118"/>
      <c r="AA17" s="118"/>
      <c r="AB17" s="118" t="s">
        <v>316</v>
      </c>
      <c r="AC17" s="118"/>
      <c r="AD17" s="118"/>
      <c r="AE17" s="118"/>
      <c r="AF17" s="118"/>
      <c r="AG17" s="118"/>
      <c r="AH17" s="118"/>
      <c r="AI17" s="118"/>
      <c r="AJ17" s="118"/>
      <c r="AK17" s="119" t="s">
        <v>413</v>
      </c>
      <c r="AL17" s="119" t="s">
        <v>414</v>
      </c>
      <c r="AM17" s="119" t="s">
        <v>415</v>
      </c>
      <c r="AN17" s="118"/>
      <c r="AO17" s="118"/>
    </row>
    <row r="18" spans="1:41" ht="60">
      <c r="A18" s="93">
        <v>17</v>
      </c>
      <c r="B18" s="96" t="s">
        <v>302</v>
      </c>
      <c r="C18" s="158">
        <v>46148</v>
      </c>
      <c r="D18" s="158">
        <v>46161</v>
      </c>
      <c r="E18" s="96" t="s">
        <v>303</v>
      </c>
      <c r="F18" s="93" t="s">
        <v>416</v>
      </c>
      <c r="G18" s="93" t="s">
        <v>417</v>
      </c>
      <c r="H18" s="96" t="s">
        <v>418</v>
      </c>
      <c r="I18" s="490" t="s">
        <v>348</v>
      </c>
      <c r="J18" s="93">
        <v>0</v>
      </c>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6" t="s">
        <v>419</v>
      </c>
      <c r="AN18" s="93"/>
      <c r="AO18" s="93"/>
    </row>
  </sheetData>
  <conditionalFormatting sqref="J1">
    <cfRule type="containsText" dxfId="1067" priority="34" operator="containsText" text="Closed">
      <formula>NOT(ISERROR(SEARCH("Closed",J1)))</formula>
    </cfRule>
    <cfRule type="containsText" dxfId="1066" priority="35" operator="containsText" text="Open">
      <formula>NOT(ISERROR(SEARCH("Open",J1)))</formula>
    </cfRule>
    <cfRule type="containsText" dxfId="1065" priority="36" operator="containsText" text="Inprogress">
      <formula>NOT(ISERROR(SEARCH("Inprogress",J1)))</formula>
    </cfRule>
  </conditionalFormatting>
  <conditionalFormatting sqref="I2:I3">
    <cfRule type="containsText" dxfId="1064" priority="31" operator="containsText" text="Closed">
      <formula>NOT(ISERROR(SEARCH("Closed",I2)))</formula>
    </cfRule>
    <cfRule type="containsText" dxfId="1063" priority="32" operator="containsText" text="Open">
      <formula>NOT(ISERROR(SEARCH("Open",I2)))</formula>
    </cfRule>
    <cfRule type="containsText" dxfId="1062" priority="33" operator="containsText" text="Inprogress">
      <formula>NOT(ISERROR(SEARCH("Inprogress",I2)))</formula>
    </cfRule>
  </conditionalFormatting>
  <conditionalFormatting sqref="I4">
    <cfRule type="containsText" dxfId="1061" priority="28" operator="containsText" text="Closed">
      <formula>NOT(ISERROR(SEARCH("Closed",I4)))</formula>
    </cfRule>
    <cfRule type="containsText" dxfId="1060" priority="29" operator="containsText" text="Open">
      <formula>NOT(ISERROR(SEARCH("Open",I4)))</formula>
    </cfRule>
    <cfRule type="containsText" dxfId="1059" priority="30" operator="containsText" text="Inprogress">
      <formula>NOT(ISERROR(SEARCH("Inprogress",I4)))</formula>
    </cfRule>
  </conditionalFormatting>
  <conditionalFormatting sqref="I5">
    <cfRule type="containsText" dxfId="1058" priority="25" operator="containsText" text="Closed">
      <formula>NOT(ISERROR(SEARCH("Closed",I5)))</formula>
    </cfRule>
    <cfRule type="containsText" dxfId="1057" priority="26" operator="containsText" text="Open">
      <formula>NOT(ISERROR(SEARCH("Open",I5)))</formula>
    </cfRule>
    <cfRule type="containsText" dxfId="1056" priority="27" operator="containsText" text="Inprogress">
      <formula>NOT(ISERROR(SEARCH("Inprogress",I5)))</formula>
    </cfRule>
  </conditionalFormatting>
  <conditionalFormatting sqref="I6">
    <cfRule type="containsText" dxfId="1055" priority="22" operator="containsText" text="Closed">
      <formula>NOT(ISERROR(SEARCH("Closed",I6)))</formula>
    </cfRule>
    <cfRule type="containsText" dxfId="1054" priority="23" operator="containsText" text="Open">
      <formula>NOT(ISERROR(SEARCH("Open",I6)))</formula>
    </cfRule>
    <cfRule type="containsText" dxfId="1053" priority="24" operator="containsText" text="Inprogress">
      <formula>NOT(ISERROR(SEARCH("Inprogress",I6)))</formula>
    </cfRule>
  </conditionalFormatting>
  <conditionalFormatting sqref="I7">
    <cfRule type="containsText" dxfId="1052" priority="19" operator="containsText" text="Closed">
      <formula>NOT(ISERROR(SEARCH("Closed",I7)))</formula>
    </cfRule>
    <cfRule type="containsText" dxfId="1051" priority="20" operator="containsText" text="Open">
      <formula>NOT(ISERROR(SEARCH("Open",I7)))</formula>
    </cfRule>
    <cfRule type="containsText" dxfId="1050" priority="21" operator="containsText" text="Inprogress">
      <formula>NOT(ISERROR(SEARCH("Inprogress",I7)))</formula>
    </cfRule>
  </conditionalFormatting>
  <conditionalFormatting sqref="I8:I10">
    <cfRule type="containsText" dxfId="1049" priority="16" operator="containsText" text="Closed">
      <formula>NOT(ISERROR(SEARCH("Closed",I8)))</formula>
    </cfRule>
    <cfRule type="containsText" dxfId="1048" priority="17" operator="containsText" text="Open">
      <formula>NOT(ISERROR(SEARCH("Open",I8)))</formula>
    </cfRule>
    <cfRule type="containsText" dxfId="1047" priority="18" operator="containsText" text="Inprogress">
      <formula>NOT(ISERROR(SEARCH("Inprogress",I8)))</formula>
    </cfRule>
  </conditionalFormatting>
  <conditionalFormatting sqref="I11">
    <cfRule type="containsText" dxfId="1046" priority="13" operator="containsText" text="Closed">
      <formula>NOT(ISERROR(SEARCH("Closed",I11)))</formula>
    </cfRule>
    <cfRule type="containsText" dxfId="1045" priority="14" operator="containsText" text="Open">
      <formula>NOT(ISERROR(SEARCH("Open",I11)))</formula>
    </cfRule>
    <cfRule type="containsText" dxfId="1044" priority="15" operator="containsText" text="Inprogress">
      <formula>NOT(ISERROR(SEARCH("Inprogress",I11)))</formula>
    </cfRule>
  </conditionalFormatting>
  <conditionalFormatting sqref="I12">
    <cfRule type="containsText" dxfId="1043" priority="10" operator="containsText" text="Closed">
      <formula>NOT(ISERROR(SEARCH("Closed",I12)))</formula>
    </cfRule>
    <cfRule type="containsText" dxfId="1042" priority="11" operator="containsText" text="Open">
      <formula>NOT(ISERROR(SEARCH("Open",I12)))</formula>
    </cfRule>
    <cfRule type="containsText" dxfId="1041" priority="12" operator="containsText" text="Inprogress">
      <formula>NOT(ISERROR(SEARCH("Inprogress",I12)))</formula>
    </cfRule>
  </conditionalFormatting>
  <conditionalFormatting sqref="I13">
    <cfRule type="containsText" dxfId="1040" priority="7" operator="containsText" text="Closed">
      <formula>NOT(ISERROR(SEARCH("Closed",I13)))</formula>
    </cfRule>
    <cfRule type="containsText" dxfId="1039" priority="8" operator="containsText" text="Open">
      <formula>NOT(ISERROR(SEARCH("Open",I13)))</formula>
    </cfRule>
    <cfRule type="containsText" dxfId="1038" priority="9" operator="containsText" text="Inprogress">
      <formula>NOT(ISERROR(SEARCH("Inprogress",I13)))</formula>
    </cfRule>
  </conditionalFormatting>
  <conditionalFormatting sqref="I14:I17">
    <cfRule type="containsText" dxfId="1037" priority="4" operator="containsText" text="Closed">
      <formula>NOT(ISERROR(SEARCH("Closed",I14)))</formula>
    </cfRule>
    <cfRule type="containsText" dxfId="1036" priority="5" operator="containsText" text="Open">
      <formula>NOT(ISERROR(SEARCH("Open",I14)))</formula>
    </cfRule>
    <cfRule type="containsText" dxfId="1035" priority="6" operator="containsText" text="Inprogress">
      <formula>NOT(ISERROR(SEARCH("Inprogress",I14)))</formula>
    </cfRule>
  </conditionalFormatting>
  <conditionalFormatting sqref="I18">
    <cfRule type="containsText" dxfId="1034" priority="1" operator="containsText" text="Closed">
      <formula>NOT(ISERROR(SEARCH("Closed",I18)))</formula>
    </cfRule>
    <cfRule type="containsText" dxfId="1033" priority="2" operator="containsText" text="Open">
      <formula>NOT(ISERROR(SEARCH("Open",I18)))</formula>
    </cfRule>
    <cfRule type="containsText" dxfId="1032" priority="3" operator="containsText" text="Inprogress">
      <formula>NOT(ISERROR(SEARCH("Inprogress",I18)))</formula>
    </cfRule>
  </conditionalFormatting>
  <dataValidations count="10">
    <dataValidation type="list" allowBlank="1" showErrorMessage="1" sqref="J1" xr:uid="{D229F7C6-5BB7-43E0-AE39-D8F1ACCF2828}">
      <formula1>"Open,Inprogress,Closed"</formula1>
    </dataValidation>
    <dataValidation showErrorMessage="1" sqref="I1" xr:uid="{9895434A-FD4C-45DC-801F-0A79E3D4C6F6}"/>
    <dataValidation allowBlank="1" showInputMessage="1" showErrorMessage="1" sqref="AD1:AE1" xr:uid="{525783F7-3E3E-4AB9-B56B-2F7576C0FBB3}"/>
    <dataValidation type="list" showErrorMessage="1" sqref="Y1:Z1 W1 O1" xr:uid="{23C3E82F-D9C0-4931-B4D5-394D418038EE}">
      <formula1>"Open,Inprogress,Completed,TBD,NA"</formula1>
    </dataValidation>
    <dataValidation type="list" showErrorMessage="1" sqref="S1:T1 X1 AA1" xr:uid="{2778B037-E041-4D4A-A7D8-42E57CC93772}">
      <formula1>"No issues found,Issues observed(BacktoDev),DB Script tests in QA DB,NA,TBD"</formula1>
    </dataValidation>
    <dataValidation type="list" showErrorMessage="1" sqref="AB1" xr:uid="{1544E9F1-9CE6-43B3-A723-15DD27316371}">
      <formula1>"Approved-Satisified AC,Not Approved(Back to Dev),NA,TBD"</formula1>
    </dataValidation>
    <dataValidation type="list" showErrorMessage="1" sqref="AC1" xr:uid="{A502AA5F-129F-41A5-A4B0-1BA835CC8832}">
      <formula1>"Pending-Waiting for Customer confirmation, Approved-Satisified AC,Not Approved-New minor changes requested(Back to Dev),NA,TBD"</formula1>
    </dataValidation>
    <dataValidation type="list" showErrorMessage="1" sqref="Q1" xr:uid="{F49DADA1-92A0-4855-A0C6-875583499941}">
      <formula1>"Pass,Fail(BacktoDev),DB Script tests in QA DB,TBD"</formula1>
    </dataValidation>
    <dataValidation type="list" showErrorMessage="1" sqref="R1" xr:uid="{F51B367D-7911-408C-9721-3C565DCA6B25}">
      <formula1>"Qadir,Rijo,Karthik,None,TBD"</formula1>
    </dataValidation>
    <dataValidation type="list" showErrorMessage="1" sqref="P1" xr:uid="{D87783A1-017C-44BB-A8E9-32B81C5C08BC}">
      <formula1>"Qadir,Rijo,Karthik,Sushmitha,None,TBD"</formula1>
    </dataValidation>
  </dataValidations>
  <hyperlinks>
    <hyperlink ref="T3" r:id="rId1" xr:uid="{339334C6-301B-4119-903A-745E531A845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784A807-F02E-43B5-91C0-700A320A8976}">
          <x14:formula1>
            <xm:f>Settings!$C$3:$C$20</xm:f>
          </x14:formula1>
          <xm:sqref>I2:I18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1E4F8-77B2-446E-86E0-48EEE9A9D2FB}">
  <dimension ref="A1:M1"/>
  <sheetViews>
    <sheetView workbookViewId="0"/>
  </sheetViews>
  <sheetFormatPr defaultRowHeight="12.75"/>
  <cols>
    <col min="3" max="3" width="12.140625" customWidth="1"/>
    <col min="4" max="4" width="10.7109375" customWidth="1"/>
    <col min="7" max="7" width="12.28515625" customWidth="1"/>
    <col min="12" max="12" width="20.5703125" customWidth="1"/>
    <col min="13" max="13" width="14.28515625" customWidth="1"/>
  </cols>
  <sheetData>
    <row r="1" spans="1:13" ht="40.5" customHeight="1">
      <c r="A1" s="108" t="s">
        <v>266</v>
      </c>
      <c r="B1" s="108" t="s">
        <v>10</v>
      </c>
      <c r="C1" s="404" t="s">
        <v>267</v>
      </c>
      <c r="D1" s="404" t="s">
        <v>268</v>
      </c>
      <c r="E1" s="108" t="s">
        <v>269</v>
      </c>
      <c r="F1" s="404" t="s">
        <v>270</v>
      </c>
      <c r="G1" s="404" t="s">
        <v>271</v>
      </c>
      <c r="H1" s="108" t="s">
        <v>272</v>
      </c>
      <c r="I1" s="108" t="s">
        <v>273</v>
      </c>
      <c r="J1" s="108" t="s">
        <v>274</v>
      </c>
      <c r="K1" s="108" t="s">
        <v>275</v>
      </c>
      <c r="L1" s="332" t="s">
        <v>276</v>
      </c>
      <c r="M1" s="405" t="s">
        <v>277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DB44C-7CD9-4983-A703-4EF2AFCF4947}">
  <dimension ref="A1:AO21"/>
  <sheetViews>
    <sheetView topLeftCell="T13" workbookViewId="0">
      <selection activeCell="U17" sqref="U17:AC17"/>
    </sheetView>
  </sheetViews>
  <sheetFormatPr defaultRowHeight="12.75"/>
  <cols>
    <col min="2" max="2" width="15.85546875" customWidth="1"/>
    <col min="3" max="3" width="13.5703125" customWidth="1"/>
    <col min="4" max="4" width="14" customWidth="1"/>
    <col min="5" max="5" width="19.28515625" customWidth="1"/>
    <col min="6" max="6" width="16.140625" customWidth="1"/>
    <col min="7" max="7" width="12.28515625" customWidth="1"/>
    <col min="8" max="8" width="30" customWidth="1"/>
    <col min="9" max="9" width="17.42578125" customWidth="1"/>
    <col min="10" max="10" width="13.7109375" customWidth="1"/>
    <col min="12" max="12" width="11.28515625" customWidth="1"/>
    <col min="13" max="13" width="12.85546875" customWidth="1"/>
    <col min="14" max="14" width="12.42578125" customWidth="1"/>
    <col min="15" max="15" width="11.140625" customWidth="1"/>
    <col min="17" max="17" width="16.140625" customWidth="1"/>
    <col min="18" max="18" width="12.85546875" customWidth="1"/>
    <col min="19" max="19" width="18.140625" customWidth="1"/>
    <col min="20" max="20" width="17.85546875" customWidth="1"/>
    <col min="21" max="21" width="12.5703125" customWidth="1"/>
    <col min="22" max="22" width="14.140625" customWidth="1"/>
    <col min="23" max="23" width="13.140625" customWidth="1"/>
    <col min="24" max="24" width="25.42578125" customWidth="1"/>
    <col min="25" max="25" width="17.42578125" customWidth="1"/>
    <col min="26" max="26" width="15.85546875" customWidth="1"/>
    <col min="27" max="27" width="19.42578125" customWidth="1"/>
    <col min="28" max="28" width="21.7109375" customWidth="1"/>
    <col min="29" max="29" width="15.5703125" customWidth="1"/>
    <col min="30" max="30" width="23.42578125" customWidth="1"/>
    <col min="31" max="31" width="21.140625" customWidth="1"/>
    <col min="32" max="32" width="22.140625" customWidth="1"/>
    <col min="33" max="33" width="15.140625" customWidth="1"/>
    <col min="34" max="34" width="17" customWidth="1"/>
    <col min="35" max="35" width="21.5703125" customWidth="1"/>
    <col min="36" max="36" width="28" customWidth="1"/>
    <col min="37" max="37" width="22.42578125" customWidth="1"/>
    <col min="38" max="38" width="19.85546875" customWidth="1"/>
    <col min="39" max="39" width="13.28515625" customWidth="1"/>
    <col min="40" max="40" width="22.5703125" customWidth="1"/>
    <col min="41" max="41" width="23.85546875" customWidth="1"/>
  </cols>
  <sheetData>
    <row r="1" spans="1:41" ht="27">
      <c r="A1" s="445" t="s">
        <v>266</v>
      </c>
      <c r="B1" s="445" t="s">
        <v>4</v>
      </c>
      <c r="C1" s="445" t="s">
        <v>2</v>
      </c>
      <c r="D1" s="445" t="s">
        <v>3</v>
      </c>
      <c r="E1" s="445" t="s">
        <v>278</v>
      </c>
      <c r="F1" s="445" t="s">
        <v>269</v>
      </c>
      <c r="G1" s="445" t="s">
        <v>279</v>
      </c>
      <c r="H1" s="506" t="s">
        <v>280</v>
      </c>
      <c r="I1" s="445" t="s">
        <v>275</v>
      </c>
      <c r="J1" s="445" t="s">
        <v>281</v>
      </c>
      <c r="K1" s="445" t="s">
        <v>282</v>
      </c>
      <c r="L1" s="445" t="s">
        <v>283</v>
      </c>
      <c r="M1" s="445" t="s">
        <v>284</v>
      </c>
      <c r="N1" s="445" t="s">
        <v>285</v>
      </c>
      <c r="O1" s="445" t="s">
        <v>286</v>
      </c>
      <c r="P1" s="445" t="s">
        <v>287</v>
      </c>
      <c r="Q1" s="445" t="s">
        <v>288</v>
      </c>
      <c r="R1" s="445" t="s">
        <v>289</v>
      </c>
      <c r="S1" s="445" t="s">
        <v>290</v>
      </c>
      <c r="T1" s="445" t="s">
        <v>291</v>
      </c>
      <c r="U1" s="662" t="s">
        <v>292</v>
      </c>
      <c r="V1" s="662" t="s">
        <v>293</v>
      </c>
      <c r="W1" s="445" t="s">
        <v>294</v>
      </c>
      <c r="X1" s="445" t="s">
        <v>295</v>
      </c>
      <c r="Y1" s="445" t="s">
        <v>296</v>
      </c>
      <c r="Z1" s="662" t="s">
        <v>297</v>
      </c>
      <c r="AA1" s="445" t="s">
        <v>298</v>
      </c>
      <c r="AB1" s="445" t="s">
        <v>299</v>
      </c>
      <c r="AC1" s="445" t="s">
        <v>300</v>
      </c>
      <c r="AD1" s="448" t="s">
        <v>277</v>
      </c>
      <c r="AE1" s="445" t="s">
        <v>301</v>
      </c>
      <c r="AF1" s="663">
        <v>46134</v>
      </c>
      <c r="AG1" s="663">
        <v>46135</v>
      </c>
      <c r="AH1" s="663">
        <v>46136</v>
      </c>
      <c r="AI1" s="663">
        <v>46139</v>
      </c>
      <c r="AJ1" s="663">
        <v>46140</v>
      </c>
      <c r="AK1" s="663">
        <v>46141</v>
      </c>
      <c r="AL1" s="663">
        <v>46142</v>
      </c>
      <c r="AM1" s="666">
        <v>46143</v>
      </c>
      <c r="AN1" s="663">
        <v>46146</v>
      </c>
      <c r="AO1" s="663">
        <v>46147</v>
      </c>
    </row>
    <row r="2" spans="1:41" ht="81" customHeight="1">
      <c r="A2" s="93">
        <v>1</v>
      </c>
      <c r="B2" s="93" t="s">
        <v>302</v>
      </c>
      <c r="C2" s="171">
        <v>46134</v>
      </c>
      <c r="D2" s="171">
        <v>46147</v>
      </c>
      <c r="E2" s="96" t="s">
        <v>420</v>
      </c>
      <c r="F2" s="93" t="s">
        <v>304</v>
      </c>
      <c r="G2" s="93">
        <v>52277</v>
      </c>
      <c r="H2" s="93" t="s">
        <v>421</v>
      </c>
      <c r="I2" s="490" t="s">
        <v>306</v>
      </c>
      <c r="J2" s="93">
        <v>1</v>
      </c>
      <c r="K2" s="93">
        <v>1</v>
      </c>
      <c r="L2" s="93">
        <v>4</v>
      </c>
      <c r="M2" s="93" t="s">
        <v>320</v>
      </c>
      <c r="N2" s="93" t="s">
        <v>320</v>
      </c>
      <c r="O2" s="93" t="s">
        <v>320</v>
      </c>
      <c r="P2" s="93" t="s">
        <v>320</v>
      </c>
      <c r="Q2" s="93" t="s">
        <v>320</v>
      </c>
      <c r="R2" s="93" t="s">
        <v>320</v>
      </c>
      <c r="S2" s="93" t="s">
        <v>320</v>
      </c>
      <c r="T2" s="93" t="s">
        <v>320</v>
      </c>
      <c r="U2" s="93" t="s">
        <v>320</v>
      </c>
      <c r="V2" s="93" t="s">
        <v>320</v>
      </c>
      <c r="W2" s="93" t="s">
        <v>320</v>
      </c>
      <c r="X2" s="93" t="s">
        <v>320</v>
      </c>
      <c r="Y2" s="93" t="s">
        <v>320</v>
      </c>
      <c r="Z2" s="93" t="s">
        <v>320</v>
      </c>
      <c r="AA2" s="93" t="s">
        <v>320</v>
      </c>
      <c r="AB2" s="93" t="s">
        <v>320</v>
      </c>
      <c r="AC2" s="93" t="s">
        <v>320</v>
      </c>
      <c r="AD2" s="96" t="s">
        <v>422</v>
      </c>
      <c r="AE2" s="490" t="s">
        <v>423</v>
      </c>
      <c r="AF2" s="96" t="s">
        <v>424</v>
      </c>
      <c r="AG2" s="96" t="s">
        <v>425</v>
      </c>
      <c r="AH2" s="93" t="s">
        <v>426</v>
      </c>
      <c r="AI2" s="93" t="s">
        <v>426</v>
      </c>
      <c r="AJ2" s="100" t="s">
        <v>427</v>
      </c>
      <c r="AK2" s="96" t="s">
        <v>428</v>
      </c>
      <c r="AL2" s="96" t="s">
        <v>429</v>
      </c>
      <c r="AM2" s="93" t="s">
        <v>430</v>
      </c>
      <c r="AN2" s="93"/>
      <c r="AO2" s="93"/>
    </row>
    <row r="3" spans="1:41" ht="72">
      <c r="A3" s="93">
        <v>2</v>
      </c>
      <c r="B3" s="93" t="s">
        <v>302</v>
      </c>
      <c r="C3" s="171">
        <v>46134</v>
      </c>
      <c r="D3" s="171">
        <v>46147</v>
      </c>
      <c r="E3" s="96" t="s">
        <v>420</v>
      </c>
      <c r="F3" s="93" t="s">
        <v>317</v>
      </c>
      <c r="G3" s="129">
        <v>52629</v>
      </c>
      <c r="H3" s="96" t="s">
        <v>431</v>
      </c>
      <c r="I3" s="490" t="s">
        <v>306</v>
      </c>
      <c r="J3" s="93">
        <v>2</v>
      </c>
      <c r="K3" s="93">
        <v>1.75</v>
      </c>
      <c r="L3" s="93">
        <v>7</v>
      </c>
      <c r="M3" s="93" t="s">
        <v>320</v>
      </c>
      <c r="N3" s="93" t="s">
        <v>320</v>
      </c>
      <c r="O3" s="93" t="s">
        <v>320</v>
      </c>
      <c r="P3" s="93" t="s">
        <v>320</v>
      </c>
      <c r="Q3" s="93" t="s">
        <v>320</v>
      </c>
      <c r="R3" s="93" t="s">
        <v>320</v>
      </c>
      <c r="S3" s="93" t="s">
        <v>320</v>
      </c>
      <c r="T3" s="93" t="s">
        <v>320</v>
      </c>
      <c r="U3" s="93" t="s">
        <v>320</v>
      </c>
      <c r="V3" s="93" t="s">
        <v>320</v>
      </c>
      <c r="W3" s="93" t="s">
        <v>320</v>
      </c>
      <c r="X3" s="93" t="s">
        <v>320</v>
      </c>
      <c r="Y3" s="93" t="s">
        <v>320</v>
      </c>
      <c r="Z3" s="93" t="s">
        <v>320</v>
      </c>
      <c r="AA3" s="93" t="s">
        <v>320</v>
      </c>
      <c r="AB3" s="93" t="s">
        <v>320</v>
      </c>
      <c r="AC3" s="93" t="s">
        <v>320</v>
      </c>
      <c r="AD3" s="96" t="s">
        <v>432</v>
      </c>
      <c r="AE3" s="490" t="s">
        <v>423</v>
      </c>
      <c r="AF3" s="93" t="s">
        <v>433</v>
      </c>
      <c r="AG3" s="93" t="s">
        <v>434</v>
      </c>
      <c r="AH3" s="96" t="s">
        <v>435</v>
      </c>
      <c r="AI3" s="93" t="s">
        <v>12</v>
      </c>
      <c r="AJ3" s="93" t="s">
        <v>434</v>
      </c>
      <c r="AK3" s="93" t="s">
        <v>434</v>
      </c>
      <c r="AL3" s="93" t="s">
        <v>434</v>
      </c>
      <c r="AM3" s="93"/>
      <c r="AN3" s="93"/>
      <c r="AO3" s="93"/>
    </row>
    <row r="4" spans="1:41" ht="84">
      <c r="A4" s="93">
        <v>3</v>
      </c>
      <c r="B4" s="93" t="s">
        <v>302</v>
      </c>
      <c r="C4" s="171">
        <v>46134</v>
      </c>
      <c r="D4" s="171">
        <v>46147</v>
      </c>
      <c r="E4" s="682" t="s">
        <v>436</v>
      </c>
      <c r="F4" s="93" t="s">
        <v>437</v>
      </c>
      <c r="G4" s="93" t="s">
        <v>346</v>
      </c>
      <c r="H4" s="96" t="s">
        <v>347</v>
      </c>
      <c r="I4" s="490" t="s">
        <v>348</v>
      </c>
      <c r="J4" s="93">
        <v>0</v>
      </c>
      <c r="K4" s="93">
        <v>4.93</v>
      </c>
      <c r="L4" s="93">
        <v>19.75</v>
      </c>
      <c r="M4" s="171">
        <v>46134</v>
      </c>
      <c r="N4" s="93" t="s">
        <v>320</v>
      </c>
      <c r="O4" s="93" t="s">
        <v>320</v>
      </c>
      <c r="P4" s="93" t="s">
        <v>320</v>
      </c>
      <c r="Q4" s="93" t="s">
        <v>320</v>
      </c>
      <c r="R4" s="93" t="s">
        <v>320</v>
      </c>
      <c r="S4" s="93" t="s">
        <v>320</v>
      </c>
      <c r="T4" s="93" t="s">
        <v>320</v>
      </c>
      <c r="U4" s="93" t="s">
        <v>320</v>
      </c>
      <c r="V4" s="93" t="s">
        <v>320</v>
      </c>
      <c r="W4" s="93" t="s">
        <v>320</v>
      </c>
      <c r="X4" s="93" t="s">
        <v>320</v>
      </c>
      <c r="Y4" s="93" t="s">
        <v>320</v>
      </c>
      <c r="Z4" s="93" t="s">
        <v>320</v>
      </c>
      <c r="AA4" s="93" t="s">
        <v>320</v>
      </c>
      <c r="AB4" s="93" t="s">
        <v>320</v>
      </c>
      <c r="AC4" s="93" t="s">
        <v>320</v>
      </c>
      <c r="AD4" s="96" t="s">
        <v>438</v>
      </c>
      <c r="AE4" s="490" t="s">
        <v>423</v>
      </c>
      <c r="AF4" s="93" t="s">
        <v>439</v>
      </c>
      <c r="AG4" s="93" t="s">
        <v>434</v>
      </c>
      <c r="AH4" s="96" t="s">
        <v>440</v>
      </c>
      <c r="AI4" s="96" t="s">
        <v>441</v>
      </c>
      <c r="AJ4" s="96" t="s">
        <v>442</v>
      </c>
      <c r="AK4" s="96" t="s">
        <v>443</v>
      </c>
      <c r="AL4" s="96" t="s">
        <v>444</v>
      </c>
      <c r="AM4" s="93"/>
      <c r="AN4" s="96" t="s">
        <v>445</v>
      </c>
      <c r="AO4" s="96" t="s">
        <v>445</v>
      </c>
    </row>
    <row r="5" spans="1:41" ht="72">
      <c r="A5" s="93">
        <v>4</v>
      </c>
      <c r="B5" s="93" t="s">
        <v>302</v>
      </c>
      <c r="C5" s="171">
        <v>46134</v>
      </c>
      <c r="D5" s="171">
        <v>46147</v>
      </c>
      <c r="E5" s="682" t="s">
        <v>436</v>
      </c>
      <c r="F5" s="93" t="s">
        <v>317</v>
      </c>
      <c r="G5" s="129" t="s">
        <v>355</v>
      </c>
      <c r="H5" s="96" t="s">
        <v>356</v>
      </c>
      <c r="I5" s="490" t="s">
        <v>348</v>
      </c>
      <c r="J5" s="93">
        <v>0</v>
      </c>
      <c r="K5" s="93">
        <v>2.12</v>
      </c>
      <c r="L5" s="93">
        <v>8.5</v>
      </c>
      <c r="M5" s="171">
        <v>46134</v>
      </c>
      <c r="N5" s="93" t="s">
        <v>320</v>
      </c>
      <c r="O5" s="93" t="s">
        <v>320</v>
      </c>
      <c r="P5" s="93" t="s">
        <v>320</v>
      </c>
      <c r="Q5" s="93" t="s">
        <v>320</v>
      </c>
      <c r="R5" s="93" t="s">
        <v>320</v>
      </c>
      <c r="S5" s="93" t="s">
        <v>320</v>
      </c>
      <c r="T5" s="93" t="s">
        <v>320</v>
      </c>
      <c r="U5" s="93" t="s">
        <v>320</v>
      </c>
      <c r="V5" s="93" t="s">
        <v>320</v>
      </c>
      <c r="W5" s="93" t="s">
        <v>320</v>
      </c>
      <c r="X5" s="93" t="s">
        <v>320</v>
      </c>
      <c r="Y5" s="93" t="s">
        <v>320</v>
      </c>
      <c r="Z5" s="93" t="s">
        <v>320</v>
      </c>
      <c r="AA5" s="93" t="s">
        <v>320</v>
      </c>
      <c r="AB5" s="93" t="s">
        <v>320</v>
      </c>
      <c r="AC5" s="93" t="s">
        <v>320</v>
      </c>
      <c r="AD5" s="412" t="s">
        <v>446</v>
      </c>
      <c r="AE5" s="490" t="s">
        <v>423</v>
      </c>
      <c r="AF5" s="93" t="s">
        <v>447</v>
      </c>
      <c r="AG5" s="93" t="s">
        <v>434</v>
      </c>
      <c r="AH5" s="96" t="s">
        <v>448</v>
      </c>
      <c r="AI5" s="93" t="s">
        <v>449</v>
      </c>
      <c r="AJ5" s="93" t="s">
        <v>450</v>
      </c>
      <c r="AK5" s="96" t="s">
        <v>451</v>
      </c>
      <c r="AL5" s="96" t="s">
        <v>452</v>
      </c>
      <c r="AM5" s="93"/>
      <c r="AN5" s="412" t="s">
        <v>453</v>
      </c>
      <c r="AO5" s="412" t="s">
        <v>453</v>
      </c>
    </row>
    <row r="6" spans="1:41" ht="48">
      <c r="A6" s="93">
        <v>5</v>
      </c>
      <c r="B6" s="93" t="s">
        <v>302</v>
      </c>
      <c r="C6" s="171">
        <v>46134</v>
      </c>
      <c r="D6" s="171">
        <v>46147</v>
      </c>
      <c r="E6" s="682" t="s">
        <v>436</v>
      </c>
      <c r="F6" s="93" t="s">
        <v>315</v>
      </c>
      <c r="G6" s="93">
        <v>52715</v>
      </c>
      <c r="H6" s="96" t="s">
        <v>454</v>
      </c>
      <c r="I6" s="490" t="s">
        <v>306</v>
      </c>
      <c r="J6" s="93">
        <v>2</v>
      </c>
      <c r="K6" s="93">
        <v>2.75</v>
      </c>
      <c r="L6" s="93">
        <v>11</v>
      </c>
      <c r="M6" s="93" t="s">
        <v>320</v>
      </c>
      <c r="N6" s="93" t="s">
        <v>320</v>
      </c>
      <c r="O6" s="93" t="s">
        <v>320</v>
      </c>
      <c r="P6" s="93" t="s">
        <v>320</v>
      </c>
      <c r="Q6" s="93" t="s">
        <v>320</v>
      </c>
      <c r="R6" s="93" t="s">
        <v>320</v>
      </c>
      <c r="S6" s="93" t="s">
        <v>320</v>
      </c>
      <c r="T6" s="93" t="s">
        <v>320</v>
      </c>
      <c r="U6" s="93" t="s">
        <v>320</v>
      </c>
      <c r="V6" s="93" t="s">
        <v>320</v>
      </c>
      <c r="W6" s="93" t="s">
        <v>320</v>
      </c>
      <c r="X6" s="93" t="s">
        <v>320</v>
      </c>
      <c r="Y6" s="93" t="s">
        <v>320</v>
      </c>
      <c r="Z6" s="93" t="s">
        <v>320</v>
      </c>
      <c r="AA6" s="93" t="s">
        <v>320</v>
      </c>
      <c r="AB6" s="93" t="s">
        <v>320</v>
      </c>
      <c r="AC6" s="93" t="s">
        <v>320</v>
      </c>
      <c r="AD6" s="96" t="s">
        <v>455</v>
      </c>
      <c r="AE6" s="490" t="s">
        <v>423</v>
      </c>
      <c r="AF6" s="93" t="s">
        <v>456</v>
      </c>
      <c r="AG6" s="96" t="s">
        <v>457</v>
      </c>
      <c r="AH6" s="93" t="s">
        <v>458</v>
      </c>
      <c r="AI6" s="93" t="s">
        <v>434</v>
      </c>
      <c r="AJ6" s="93" t="s">
        <v>434</v>
      </c>
      <c r="AK6" s="93" t="s">
        <v>434</v>
      </c>
      <c r="AL6" s="93" t="s">
        <v>434</v>
      </c>
      <c r="AM6" s="93"/>
      <c r="AN6" s="93"/>
      <c r="AO6" s="93"/>
    </row>
    <row r="7" spans="1:41" ht="24">
      <c r="A7" s="93">
        <v>6</v>
      </c>
      <c r="B7" s="93" t="s">
        <v>302</v>
      </c>
      <c r="C7" s="171">
        <v>46134</v>
      </c>
      <c r="D7" s="171">
        <v>46147</v>
      </c>
      <c r="E7" s="682" t="s">
        <v>436</v>
      </c>
      <c r="F7" s="93" t="s">
        <v>313</v>
      </c>
      <c r="G7" s="93">
        <v>52714</v>
      </c>
      <c r="H7" s="96" t="s">
        <v>459</v>
      </c>
      <c r="I7" s="490" t="s">
        <v>306</v>
      </c>
      <c r="J7" s="93">
        <v>1</v>
      </c>
      <c r="K7" s="93">
        <v>1</v>
      </c>
      <c r="L7" s="93">
        <v>4</v>
      </c>
      <c r="M7" s="93" t="s">
        <v>320</v>
      </c>
      <c r="N7" s="93" t="s">
        <v>320</v>
      </c>
      <c r="O7" s="93" t="s">
        <v>320</v>
      </c>
      <c r="P7" s="93" t="s">
        <v>320</v>
      </c>
      <c r="Q7" s="93" t="s">
        <v>320</v>
      </c>
      <c r="R7" s="93" t="s">
        <v>320</v>
      </c>
      <c r="S7" s="93" t="s">
        <v>320</v>
      </c>
      <c r="T7" s="93" t="s">
        <v>320</v>
      </c>
      <c r="U7" s="93" t="s">
        <v>320</v>
      </c>
      <c r="V7" s="93" t="s">
        <v>320</v>
      </c>
      <c r="W7" s="93" t="s">
        <v>320</v>
      </c>
      <c r="X7" s="93" t="s">
        <v>320</v>
      </c>
      <c r="Y7" s="93" t="s">
        <v>320</v>
      </c>
      <c r="Z7" s="93" t="s">
        <v>320</v>
      </c>
      <c r="AA7" s="93" t="s">
        <v>320</v>
      </c>
      <c r="AB7" s="93" t="s">
        <v>320</v>
      </c>
      <c r="AC7" s="93" t="s">
        <v>320</v>
      </c>
      <c r="AD7" s="96" t="s">
        <v>455</v>
      </c>
      <c r="AE7" s="490" t="s">
        <v>423</v>
      </c>
      <c r="AF7" s="93"/>
      <c r="AG7" s="93" t="s">
        <v>460</v>
      </c>
      <c r="AH7" s="93" t="s">
        <v>434</v>
      </c>
      <c r="AI7" s="93" t="s">
        <v>434</v>
      </c>
      <c r="AJ7" s="93" t="s">
        <v>434</v>
      </c>
      <c r="AK7" s="93" t="s">
        <v>434</v>
      </c>
      <c r="AL7" s="93" t="s">
        <v>434</v>
      </c>
      <c r="AM7" s="93"/>
      <c r="AN7" s="93"/>
      <c r="AO7" s="93"/>
    </row>
    <row r="8" spans="1:41" ht="24">
      <c r="A8" s="93">
        <v>7</v>
      </c>
      <c r="B8" s="93" t="s">
        <v>302</v>
      </c>
      <c r="C8" s="171">
        <v>46134</v>
      </c>
      <c r="D8" s="171">
        <v>46147</v>
      </c>
      <c r="E8" s="682" t="s">
        <v>436</v>
      </c>
      <c r="F8" s="93" t="s">
        <v>304</v>
      </c>
      <c r="G8" s="93">
        <v>27265</v>
      </c>
      <c r="H8" s="93" t="s">
        <v>461</v>
      </c>
      <c r="I8" s="490" t="s">
        <v>376</v>
      </c>
      <c r="J8" s="93">
        <v>2</v>
      </c>
      <c r="K8" s="93">
        <v>0.75</v>
      </c>
      <c r="L8" s="93">
        <v>3</v>
      </c>
      <c r="M8" s="93" t="s">
        <v>320</v>
      </c>
      <c r="N8" s="93" t="s">
        <v>320</v>
      </c>
      <c r="O8" s="93" t="s">
        <v>320</v>
      </c>
      <c r="P8" s="93" t="s">
        <v>320</v>
      </c>
      <c r="Q8" s="93" t="s">
        <v>320</v>
      </c>
      <c r="R8" s="93" t="s">
        <v>320</v>
      </c>
      <c r="S8" s="93" t="s">
        <v>320</v>
      </c>
      <c r="T8" s="93" t="s">
        <v>320</v>
      </c>
      <c r="U8" s="93" t="s">
        <v>320</v>
      </c>
      <c r="V8" s="93" t="s">
        <v>320</v>
      </c>
      <c r="W8" s="93" t="s">
        <v>320</v>
      </c>
      <c r="X8" s="93" t="s">
        <v>320</v>
      </c>
      <c r="Y8" s="93" t="s">
        <v>320</v>
      </c>
      <c r="Z8" s="93" t="s">
        <v>320</v>
      </c>
      <c r="AA8" s="93" t="s">
        <v>320</v>
      </c>
      <c r="AB8" s="93" t="s">
        <v>320</v>
      </c>
      <c r="AC8" s="93" t="s">
        <v>320</v>
      </c>
      <c r="AD8" s="96" t="s">
        <v>422</v>
      </c>
      <c r="AE8" s="490" t="s">
        <v>423</v>
      </c>
      <c r="AF8" s="93"/>
      <c r="AG8" s="93" t="s">
        <v>462</v>
      </c>
      <c r="AH8" s="93" t="s">
        <v>463</v>
      </c>
      <c r="AI8" s="93" t="s">
        <v>464</v>
      </c>
      <c r="AJ8" s="93" t="s">
        <v>12</v>
      </c>
      <c r="AK8" s="93" t="s">
        <v>434</v>
      </c>
      <c r="AL8" s="93" t="s">
        <v>434</v>
      </c>
      <c r="AM8" s="93"/>
      <c r="AN8" s="93"/>
      <c r="AO8" s="93"/>
    </row>
    <row r="9" spans="1:41" ht="72">
      <c r="A9" s="93">
        <v>8</v>
      </c>
      <c r="B9" s="93" t="s">
        <v>302</v>
      </c>
      <c r="C9" s="171">
        <v>46134</v>
      </c>
      <c r="D9" s="171">
        <v>46147</v>
      </c>
      <c r="E9" s="682" t="s">
        <v>436</v>
      </c>
      <c r="F9" s="93" t="s">
        <v>465</v>
      </c>
      <c r="G9" s="93">
        <v>52724</v>
      </c>
      <c r="H9" s="96" t="s">
        <v>466</v>
      </c>
      <c r="I9" s="490" t="s">
        <v>306</v>
      </c>
      <c r="J9" s="93">
        <v>8</v>
      </c>
      <c r="K9" s="93">
        <v>2.75</v>
      </c>
      <c r="L9" s="93">
        <v>11</v>
      </c>
      <c r="M9" s="93" t="s">
        <v>320</v>
      </c>
      <c r="N9" s="93" t="s">
        <v>320</v>
      </c>
      <c r="O9" s="93" t="s">
        <v>320</v>
      </c>
      <c r="P9" s="93" t="s">
        <v>320</v>
      </c>
      <c r="Q9" s="93" t="s">
        <v>320</v>
      </c>
      <c r="R9" s="93" t="s">
        <v>320</v>
      </c>
      <c r="S9" s="93" t="s">
        <v>320</v>
      </c>
      <c r="T9" s="93" t="s">
        <v>320</v>
      </c>
      <c r="U9" s="93" t="s">
        <v>320</v>
      </c>
      <c r="V9" s="93" t="s">
        <v>320</v>
      </c>
      <c r="W9" s="93" t="s">
        <v>320</v>
      </c>
      <c r="X9" s="93" t="s">
        <v>320</v>
      </c>
      <c r="Y9" s="93" t="s">
        <v>320</v>
      </c>
      <c r="Z9" s="93" t="s">
        <v>320</v>
      </c>
      <c r="AA9" s="93" t="s">
        <v>320</v>
      </c>
      <c r="AB9" s="93" t="s">
        <v>320</v>
      </c>
      <c r="AC9" s="93" t="s">
        <v>320</v>
      </c>
      <c r="AD9" s="96" t="s">
        <v>455</v>
      </c>
      <c r="AE9" s="490" t="s">
        <v>423</v>
      </c>
      <c r="AF9" s="93"/>
      <c r="AG9" s="93" t="s">
        <v>467</v>
      </c>
      <c r="AH9" s="93" t="s">
        <v>468</v>
      </c>
      <c r="AI9" s="96" t="s">
        <v>469</v>
      </c>
      <c r="AJ9" s="93" t="s">
        <v>12</v>
      </c>
      <c r="AK9" s="93" t="s">
        <v>434</v>
      </c>
      <c r="AL9" s="93" t="s">
        <v>434</v>
      </c>
      <c r="AM9" s="93"/>
      <c r="AN9" s="93"/>
      <c r="AO9" s="93"/>
    </row>
    <row r="10" spans="1:41" ht="24">
      <c r="A10" s="93">
        <v>9</v>
      </c>
      <c r="B10" s="93" t="s">
        <v>302</v>
      </c>
      <c r="C10" s="171">
        <v>46134</v>
      </c>
      <c r="D10" s="171">
        <v>46147</v>
      </c>
      <c r="E10" s="682" t="s">
        <v>436</v>
      </c>
      <c r="F10" s="93" t="s">
        <v>315</v>
      </c>
      <c r="G10" s="93">
        <v>52719</v>
      </c>
      <c r="H10" s="96" t="s">
        <v>470</v>
      </c>
      <c r="I10" s="490" t="s">
        <v>306</v>
      </c>
      <c r="J10" s="93">
        <v>2</v>
      </c>
      <c r="K10" s="93">
        <v>2</v>
      </c>
      <c r="L10" s="93">
        <v>8</v>
      </c>
      <c r="M10" s="93" t="s">
        <v>320</v>
      </c>
      <c r="N10" s="93" t="s">
        <v>320</v>
      </c>
      <c r="O10" s="93" t="s">
        <v>320</v>
      </c>
      <c r="P10" s="93" t="s">
        <v>320</v>
      </c>
      <c r="Q10" s="93" t="s">
        <v>320</v>
      </c>
      <c r="R10" s="93" t="s">
        <v>320</v>
      </c>
      <c r="S10" s="93" t="s">
        <v>320</v>
      </c>
      <c r="T10" s="93" t="s">
        <v>320</v>
      </c>
      <c r="U10" s="93" t="s">
        <v>320</v>
      </c>
      <c r="V10" s="93" t="s">
        <v>320</v>
      </c>
      <c r="W10" s="93" t="s">
        <v>320</v>
      </c>
      <c r="X10" s="93" t="s">
        <v>320</v>
      </c>
      <c r="Y10" s="93" t="s">
        <v>320</v>
      </c>
      <c r="Z10" s="93" t="s">
        <v>320</v>
      </c>
      <c r="AA10" s="93" t="s">
        <v>320</v>
      </c>
      <c r="AB10" s="93" t="s">
        <v>320</v>
      </c>
      <c r="AC10" s="93" t="s">
        <v>320</v>
      </c>
      <c r="AD10" s="96" t="s">
        <v>455</v>
      </c>
      <c r="AE10" s="490" t="s">
        <v>423</v>
      </c>
      <c r="AF10" s="93"/>
      <c r="AG10" s="93"/>
      <c r="AH10" s="93" t="s">
        <v>471</v>
      </c>
      <c r="AI10" s="93" t="s">
        <v>434</v>
      </c>
      <c r="AJ10" s="93" t="s">
        <v>434</v>
      </c>
      <c r="AK10" s="93" t="s">
        <v>434</v>
      </c>
      <c r="AL10" s="93" t="s">
        <v>434</v>
      </c>
      <c r="AM10" s="93"/>
      <c r="AN10" s="93"/>
      <c r="AO10" s="93"/>
    </row>
    <row r="11" spans="1:41" ht="46.5" customHeight="1">
      <c r="A11" s="93">
        <v>10</v>
      </c>
      <c r="B11" s="93" t="s">
        <v>302</v>
      </c>
      <c r="C11" s="171">
        <v>46134</v>
      </c>
      <c r="D11" s="171">
        <v>46147</v>
      </c>
      <c r="E11" s="682" t="s">
        <v>436</v>
      </c>
      <c r="F11" s="93" t="s">
        <v>304</v>
      </c>
      <c r="G11" s="93">
        <v>27265</v>
      </c>
      <c r="H11" s="676" t="s">
        <v>472</v>
      </c>
      <c r="I11" s="490" t="s">
        <v>376</v>
      </c>
      <c r="J11" s="93">
        <v>0</v>
      </c>
      <c r="K11" s="93">
        <v>0.75</v>
      </c>
      <c r="L11" s="93">
        <v>4</v>
      </c>
      <c r="M11" s="93" t="s">
        <v>320</v>
      </c>
      <c r="N11" s="93" t="s">
        <v>320</v>
      </c>
      <c r="O11" s="93" t="s">
        <v>320</v>
      </c>
      <c r="P11" s="93" t="s">
        <v>320</v>
      </c>
      <c r="Q11" s="93" t="s">
        <v>320</v>
      </c>
      <c r="R11" s="93" t="s">
        <v>320</v>
      </c>
      <c r="S11" s="93" t="s">
        <v>320</v>
      </c>
      <c r="T11" s="93" t="s">
        <v>320</v>
      </c>
      <c r="U11" s="93" t="s">
        <v>320</v>
      </c>
      <c r="V11" s="93" t="s">
        <v>320</v>
      </c>
      <c r="W11" s="93" t="s">
        <v>320</v>
      </c>
      <c r="X11" s="93" t="s">
        <v>320</v>
      </c>
      <c r="Y11" s="93" t="s">
        <v>320</v>
      </c>
      <c r="Z11" s="93" t="s">
        <v>320</v>
      </c>
      <c r="AA11" s="93" t="s">
        <v>320</v>
      </c>
      <c r="AB11" s="93" t="s">
        <v>320</v>
      </c>
      <c r="AC11" s="93" t="s">
        <v>320</v>
      </c>
      <c r="AD11" s="96" t="s">
        <v>422</v>
      </c>
      <c r="AE11" s="490" t="s">
        <v>423</v>
      </c>
      <c r="AF11" s="93"/>
      <c r="AG11" s="93"/>
      <c r="AH11" s="93"/>
      <c r="AI11" s="96" t="s">
        <v>473</v>
      </c>
      <c r="AJ11" s="93" t="s">
        <v>434</v>
      </c>
      <c r="AK11" s="93" t="s">
        <v>434</v>
      </c>
      <c r="AL11" s="93" t="s">
        <v>434</v>
      </c>
      <c r="AM11" s="93"/>
      <c r="AN11" s="93"/>
      <c r="AO11" s="93"/>
    </row>
    <row r="12" spans="1:41" ht="79.5" customHeight="1">
      <c r="A12" s="93">
        <v>11</v>
      </c>
      <c r="B12" s="93" t="s">
        <v>302</v>
      </c>
      <c r="C12" s="171">
        <v>46134</v>
      </c>
      <c r="D12" s="171">
        <v>46147</v>
      </c>
      <c r="E12" s="682" t="s">
        <v>436</v>
      </c>
      <c r="F12" s="93" t="s">
        <v>313</v>
      </c>
      <c r="G12" s="93">
        <v>52936</v>
      </c>
      <c r="H12" s="96" t="s">
        <v>474</v>
      </c>
      <c r="I12" s="490" t="s">
        <v>306</v>
      </c>
      <c r="J12" s="93">
        <v>3</v>
      </c>
      <c r="K12" s="93">
        <v>3</v>
      </c>
      <c r="L12" s="93">
        <v>12</v>
      </c>
      <c r="M12" s="93" t="s">
        <v>320</v>
      </c>
      <c r="N12" s="93" t="s">
        <v>320</v>
      </c>
      <c r="O12" s="93" t="s">
        <v>320</v>
      </c>
      <c r="P12" s="93" t="s">
        <v>320</v>
      </c>
      <c r="Q12" s="93" t="s">
        <v>320</v>
      </c>
      <c r="R12" s="93" t="s">
        <v>320</v>
      </c>
      <c r="S12" s="93" t="s">
        <v>320</v>
      </c>
      <c r="T12" s="93" t="s">
        <v>320</v>
      </c>
      <c r="U12" s="93" t="s">
        <v>320</v>
      </c>
      <c r="V12" s="93" t="s">
        <v>320</v>
      </c>
      <c r="W12" s="93" t="s">
        <v>320</v>
      </c>
      <c r="X12" s="93" t="s">
        <v>320</v>
      </c>
      <c r="Y12" s="93" t="s">
        <v>320</v>
      </c>
      <c r="Z12" s="93" t="s">
        <v>320</v>
      </c>
      <c r="AA12" s="93" t="s">
        <v>320</v>
      </c>
      <c r="AB12" s="93" t="s">
        <v>320</v>
      </c>
      <c r="AC12" s="93" t="s">
        <v>320</v>
      </c>
      <c r="AD12" s="96" t="s">
        <v>455</v>
      </c>
      <c r="AE12" s="490" t="s">
        <v>423</v>
      </c>
      <c r="AF12" s="93"/>
      <c r="AG12" s="93"/>
      <c r="AH12" s="93"/>
      <c r="AI12" s="96" t="s">
        <v>475</v>
      </c>
      <c r="AJ12" s="96" t="s">
        <v>476</v>
      </c>
      <c r="AK12" s="93" t="s">
        <v>12</v>
      </c>
      <c r="AL12" s="93" t="s">
        <v>434</v>
      </c>
      <c r="AM12" s="93"/>
      <c r="AN12" s="93"/>
      <c r="AO12" s="93"/>
    </row>
    <row r="13" spans="1:41" ht="53.25" customHeight="1">
      <c r="A13" s="93">
        <v>12</v>
      </c>
      <c r="B13" s="93" t="s">
        <v>302</v>
      </c>
      <c r="C13" s="171">
        <v>46134</v>
      </c>
      <c r="D13" s="171">
        <v>46147</v>
      </c>
      <c r="E13" s="682" t="s">
        <v>436</v>
      </c>
      <c r="F13" s="93" t="s">
        <v>315</v>
      </c>
      <c r="G13" s="571" t="s">
        <v>477</v>
      </c>
      <c r="H13" s="96" t="s">
        <v>478</v>
      </c>
      <c r="I13" s="490" t="s">
        <v>306</v>
      </c>
      <c r="J13" s="93">
        <v>2</v>
      </c>
      <c r="K13" s="93">
        <v>2.25</v>
      </c>
      <c r="L13" s="93">
        <v>9</v>
      </c>
      <c r="M13" s="93" t="s">
        <v>320</v>
      </c>
      <c r="N13" s="93" t="s">
        <v>320</v>
      </c>
      <c r="O13" s="93" t="s">
        <v>320</v>
      </c>
      <c r="P13" s="93" t="s">
        <v>320</v>
      </c>
      <c r="Q13" s="93" t="s">
        <v>320</v>
      </c>
      <c r="R13" s="93" t="s">
        <v>320</v>
      </c>
      <c r="S13" s="93" t="s">
        <v>320</v>
      </c>
      <c r="T13" s="93" t="s">
        <v>320</v>
      </c>
      <c r="U13" s="93" t="s">
        <v>320</v>
      </c>
      <c r="V13" s="93" t="s">
        <v>320</v>
      </c>
      <c r="W13" s="93" t="s">
        <v>320</v>
      </c>
      <c r="X13" s="93" t="s">
        <v>320</v>
      </c>
      <c r="Y13" s="93" t="s">
        <v>320</v>
      </c>
      <c r="Z13" s="93" t="s">
        <v>320</v>
      </c>
      <c r="AA13" s="93" t="s">
        <v>320</v>
      </c>
      <c r="AB13" s="93" t="s">
        <v>320</v>
      </c>
      <c r="AC13" s="93" t="s">
        <v>320</v>
      </c>
      <c r="AD13" s="96" t="s">
        <v>455</v>
      </c>
      <c r="AE13" s="490" t="s">
        <v>423</v>
      </c>
      <c r="AF13" s="93"/>
      <c r="AG13" s="93"/>
      <c r="AH13" s="93"/>
      <c r="AI13" s="93" t="s">
        <v>479</v>
      </c>
      <c r="AJ13" s="96" t="s">
        <v>480</v>
      </c>
      <c r="AK13" s="93" t="s">
        <v>12</v>
      </c>
      <c r="AL13" s="93" t="s">
        <v>434</v>
      </c>
      <c r="AM13" s="93"/>
      <c r="AN13" s="93"/>
      <c r="AO13" s="93"/>
    </row>
    <row r="14" spans="1:41" ht="72">
      <c r="A14" s="118">
        <v>13</v>
      </c>
      <c r="B14" s="118" t="s">
        <v>302</v>
      </c>
      <c r="C14" s="649">
        <v>46134</v>
      </c>
      <c r="D14" s="649">
        <v>46147</v>
      </c>
      <c r="E14" s="683" t="s">
        <v>436</v>
      </c>
      <c r="F14" s="118" t="s">
        <v>317</v>
      </c>
      <c r="G14" s="118" t="s">
        <v>481</v>
      </c>
      <c r="H14" s="119" t="s">
        <v>482</v>
      </c>
      <c r="I14" s="561" t="s">
        <v>376</v>
      </c>
      <c r="J14" s="118">
        <v>0</v>
      </c>
      <c r="K14" s="118">
        <v>2.5</v>
      </c>
      <c r="L14" s="118">
        <v>10</v>
      </c>
      <c r="M14" s="171">
        <v>46136</v>
      </c>
      <c r="N14" s="171">
        <v>46141</v>
      </c>
      <c r="O14" s="93" t="s">
        <v>12</v>
      </c>
      <c r="P14" s="93" t="s">
        <v>315</v>
      </c>
      <c r="Q14" s="96" t="s">
        <v>316</v>
      </c>
      <c r="R14" s="93" t="s">
        <v>313</v>
      </c>
      <c r="S14" s="96" t="s">
        <v>316</v>
      </c>
      <c r="T14" s="93" t="s">
        <v>320</v>
      </c>
      <c r="U14" s="93" t="s">
        <v>320</v>
      </c>
      <c r="V14" s="93" t="s">
        <v>320</v>
      </c>
      <c r="W14" s="93" t="s">
        <v>320</v>
      </c>
      <c r="X14" s="93" t="s">
        <v>320</v>
      </c>
      <c r="Y14" s="93" t="s">
        <v>320</v>
      </c>
      <c r="Z14" s="93" t="s">
        <v>320</v>
      </c>
      <c r="AA14" s="93" t="s">
        <v>320</v>
      </c>
      <c r="AB14" s="93" t="s">
        <v>320</v>
      </c>
      <c r="AC14" s="93" t="s">
        <v>320</v>
      </c>
      <c r="AD14" s="119" t="s">
        <v>483</v>
      </c>
      <c r="AE14" s="490" t="s">
        <v>423</v>
      </c>
      <c r="AF14" s="93"/>
      <c r="AG14" s="93"/>
      <c r="AH14" s="93"/>
      <c r="AI14" s="96" t="s">
        <v>484</v>
      </c>
      <c r="AJ14" s="93"/>
      <c r="AK14" s="96" t="s">
        <v>485</v>
      </c>
      <c r="AL14" s="96" t="s">
        <v>486</v>
      </c>
      <c r="AM14" s="93"/>
      <c r="AN14" s="93"/>
      <c r="AO14" s="93"/>
    </row>
    <row r="15" spans="1:41" ht="84">
      <c r="A15" s="93">
        <v>14</v>
      </c>
      <c r="B15" s="93" t="s">
        <v>302</v>
      </c>
      <c r="C15" s="171">
        <v>46134</v>
      </c>
      <c r="D15" s="171">
        <v>46147</v>
      </c>
      <c r="E15" s="682" t="s">
        <v>436</v>
      </c>
      <c r="F15" s="93" t="s">
        <v>315</v>
      </c>
      <c r="G15" s="93">
        <v>52912</v>
      </c>
      <c r="H15" s="96" t="s">
        <v>487</v>
      </c>
      <c r="I15" s="490" t="s">
        <v>306</v>
      </c>
      <c r="J15" s="93">
        <v>2</v>
      </c>
      <c r="K15" s="93">
        <v>0.12</v>
      </c>
      <c r="L15" s="93">
        <v>0.5</v>
      </c>
      <c r="M15" s="93" t="s">
        <v>320</v>
      </c>
      <c r="N15" s="93" t="s">
        <v>320</v>
      </c>
      <c r="O15" s="93" t="s">
        <v>12</v>
      </c>
      <c r="P15" s="93" t="s">
        <v>313</v>
      </c>
      <c r="Q15" s="96" t="s">
        <v>316</v>
      </c>
      <c r="R15" s="93" t="s">
        <v>317</v>
      </c>
      <c r="S15" s="96" t="s">
        <v>316</v>
      </c>
      <c r="T15" s="130" t="s">
        <v>488</v>
      </c>
      <c r="U15" s="171">
        <v>46135</v>
      </c>
      <c r="V15" s="171">
        <v>46135</v>
      </c>
      <c r="W15" s="96" t="s">
        <v>319</v>
      </c>
      <c r="X15" s="96" t="s">
        <v>316</v>
      </c>
      <c r="Y15" s="96" t="s">
        <v>319</v>
      </c>
      <c r="Z15" s="96" t="s">
        <v>320</v>
      </c>
      <c r="AA15" s="96" t="s">
        <v>316</v>
      </c>
      <c r="AB15" s="96" t="s">
        <v>316</v>
      </c>
      <c r="AC15" s="96" t="s">
        <v>316</v>
      </c>
      <c r="AD15" s="96" t="s">
        <v>489</v>
      </c>
      <c r="AE15" s="490" t="s">
        <v>423</v>
      </c>
      <c r="AF15" s="93"/>
      <c r="AG15" s="93"/>
      <c r="AH15" s="93"/>
      <c r="AI15" s="93"/>
      <c r="AJ15" s="93" t="s">
        <v>490</v>
      </c>
      <c r="AK15" s="93" t="s">
        <v>12</v>
      </c>
      <c r="AL15" s="93" t="s">
        <v>434</v>
      </c>
      <c r="AM15" s="93"/>
      <c r="AN15" s="93"/>
      <c r="AO15" s="93"/>
    </row>
    <row r="16" spans="1:41" ht="48">
      <c r="A16" s="93">
        <v>15</v>
      </c>
      <c r="B16" s="93" t="s">
        <v>302</v>
      </c>
      <c r="C16" s="171">
        <v>46134</v>
      </c>
      <c r="D16" s="171">
        <v>46147</v>
      </c>
      <c r="E16" s="96" t="s">
        <v>420</v>
      </c>
      <c r="F16" s="93" t="s">
        <v>315</v>
      </c>
      <c r="G16" s="93">
        <v>27200</v>
      </c>
      <c r="H16" s="96" t="s">
        <v>375</v>
      </c>
      <c r="I16" s="490" t="s">
        <v>380</v>
      </c>
      <c r="J16" s="93">
        <v>2</v>
      </c>
      <c r="K16" s="93">
        <v>1.5</v>
      </c>
      <c r="L16" s="93">
        <v>6</v>
      </c>
      <c r="M16" s="171">
        <v>46141</v>
      </c>
      <c r="N16" s="171">
        <v>46146</v>
      </c>
      <c r="O16" s="93" t="s">
        <v>12</v>
      </c>
      <c r="P16" s="93" t="s">
        <v>320</v>
      </c>
      <c r="Q16" s="93" t="s">
        <v>320</v>
      </c>
      <c r="R16" s="93" t="s">
        <v>320</v>
      </c>
      <c r="S16" s="93" t="s">
        <v>320</v>
      </c>
      <c r="T16" s="93" t="s">
        <v>320</v>
      </c>
      <c r="U16" s="93" t="s">
        <v>320</v>
      </c>
      <c r="V16" s="93" t="s">
        <v>320</v>
      </c>
      <c r="W16" s="93" t="s">
        <v>320</v>
      </c>
      <c r="X16" s="93" t="s">
        <v>320</v>
      </c>
      <c r="Y16" s="93" t="s">
        <v>320</v>
      </c>
      <c r="Z16" s="93" t="s">
        <v>320</v>
      </c>
      <c r="AA16" s="93" t="s">
        <v>320</v>
      </c>
      <c r="AB16" s="96" t="s">
        <v>316</v>
      </c>
      <c r="AC16" s="93" t="s">
        <v>320</v>
      </c>
      <c r="AD16" s="96" t="s">
        <v>491</v>
      </c>
      <c r="AE16" s="490" t="s">
        <v>423</v>
      </c>
      <c r="AF16" s="118"/>
      <c r="AG16" s="118"/>
      <c r="AH16" s="118"/>
      <c r="AI16" s="118"/>
      <c r="AJ16" s="118"/>
      <c r="AK16" s="119" t="s">
        <v>492</v>
      </c>
      <c r="AL16" s="118" t="s">
        <v>493</v>
      </c>
      <c r="AM16" s="118" t="s">
        <v>494</v>
      </c>
      <c r="AN16" s="119" t="s">
        <v>495</v>
      </c>
      <c r="AO16" s="119" t="s">
        <v>496</v>
      </c>
    </row>
    <row r="17" spans="1:41" ht="84">
      <c r="A17" s="93">
        <v>16</v>
      </c>
      <c r="B17" s="93" t="s">
        <v>302</v>
      </c>
      <c r="C17" s="171">
        <v>46134</v>
      </c>
      <c r="D17" s="171">
        <v>46147</v>
      </c>
      <c r="E17" s="96" t="s">
        <v>420</v>
      </c>
      <c r="F17" s="93" t="s">
        <v>313</v>
      </c>
      <c r="G17" s="93">
        <v>45225</v>
      </c>
      <c r="H17" s="96" t="s">
        <v>314</v>
      </c>
      <c r="I17" s="490" t="s">
        <v>338</v>
      </c>
      <c r="J17" s="93">
        <v>3</v>
      </c>
      <c r="K17">
        <v>1.5</v>
      </c>
      <c r="L17" s="93">
        <v>6</v>
      </c>
      <c r="M17" s="171">
        <v>46141</v>
      </c>
      <c r="N17" s="171">
        <v>46141</v>
      </c>
      <c r="O17" s="93" t="s">
        <v>12</v>
      </c>
      <c r="P17" s="93" t="s">
        <v>315</v>
      </c>
      <c r="Q17" s="93" t="s">
        <v>316</v>
      </c>
      <c r="R17" s="93" t="s">
        <v>317</v>
      </c>
      <c r="S17" s="96" t="s">
        <v>316</v>
      </c>
      <c r="T17" s="130" t="s">
        <v>497</v>
      </c>
      <c r="U17" s="171">
        <v>46147</v>
      </c>
      <c r="V17" s="171">
        <v>46147</v>
      </c>
      <c r="W17" s="96" t="s">
        <v>319</v>
      </c>
      <c r="X17" s="96" t="s">
        <v>316</v>
      </c>
      <c r="Y17" s="96" t="s">
        <v>319</v>
      </c>
      <c r="Z17" s="96" t="s">
        <v>320</v>
      </c>
      <c r="AA17" s="96" t="s">
        <v>316</v>
      </c>
      <c r="AB17" s="96" t="s">
        <v>316</v>
      </c>
      <c r="AC17" s="96" t="s">
        <v>316</v>
      </c>
      <c r="AD17" s="96" t="s">
        <v>498</v>
      </c>
      <c r="AE17" s="490" t="s">
        <v>423</v>
      </c>
      <c r="AF17" s="118"/>
      <c r="AG17" s="118"/>
      <c r="AH17" s="118"/>
      <c r="AI17" s="118"/>
      <c r="AJ17" s="118"/>
      <c r="AK17" s="119" t="s">
        <v>499</v>
      </c>
      <c r="AL17" s="119" t="s">
        <v>500</v>
      </c>
      <c r="AM17" s="118" t="s">
        <v>494</v>
      </c>
      <c r="AN17" s="119" t="s">
        <v>501</v>
      </c>
      <c r="AO17" s="118" t="s">
        <v>502</v>
      </c>
    </row>
    <row r="18" spans="1:41" ht="36">
      <c r="A18" s="118">
        <v>17</v>
      </c>
      <c r="B18" s="118" t="s">
        <v>302</v>
      </c>
      <c r="C18" s="649">
        <v>46134</v>
      </c>
      <c r="D18" s="649">
        <v>46147</v>
      </c>
      <c r="E18" s="119" t="s">
        <v>420</v>
      </c>
      <c r="F18" s="118" t="s">
        <v>304</v>
      </c>
      <c r="G18" s="118">
        <v>52474</v>
      </c>
      <c r="H18" s="119" t="s">
        <v>305</v>
      </c>
      <c r="I18" s="561" t="s">
        <v>503</v>
      </c>
      <c r="J18" s="118">
        <v>3</v>
      </c>
      <c r="K18" s="93">
        <v>3.33</v>
      </c>
      <c r="L18" s="118">
        <v>10</v>
      </c>
      <c r="M18" s="93" t="s">
        <v>320</v>
      </c>
      <c r="N18" s="93" t="s">
        <v>320</v>
      </c>
      <c r="O18" s="93" t="s">
        <v>320</v>
      </c>
      <c r="P18" s="93" t="s">
        <v>320</v>
      </c>
      <c r="Q18" s="93" t="s">
        <v>320</v>
      </c>
      <c r="R18" s="93" t="s">
        <v>320</v>
      </c>
      <c r="S18" s="93" t="s">
        <v>320</v>
      </c>
      <c r="T18" s="93" t="s">
        <v>320</v>
      </c>
      <c r="U18" s="93" t="s">
        <v>320</v>
      </c>
      <c r="V18" s="93" t="s">
        <v>320</v>
      </c>
      <c r="W18" s="93" t="s">
        <v>320</v>
      </c>
      <c r="X18" s="93" t="s">
        <v>320</v>
      </c>
      <c r="Y18" s="93" t="s">
        <v>320</v>
      </c>
      <c r="Z18" s="93" t="s">
        <v>320</v>
      </c>
      <c r="AA18" s="93" t="s">
        <v>320</v>
      </c>
      <c r="AB18" s="93" t="s">
        <v>320</v>
      </c>
      <c r="AC18" s="93" t="s">
        <v>320</v>
      </c>
      <c r="AD18" s="96" t="s">
        <v>422</v>
      </c>
      <c r="AE18" s="490" t="s">
        <v>423</v>
      </c>
      <c r="AF18" s="118"/>
      <c r="AG18" s="118"/>
      <c r="AH18" s="118"/>
      <c r="AI18" s="118"/>
      <c r="AJ18" s="118"/>
      <c r="AK18" s="118"/>
      <c r="AL18" s="118"/>
      <c r="AM18" s="118" t="s">
        <v>494</v>
      </c>
      <c r="AN18" s="619" t="s">
        <v>504</v>
      </c>
      <c r="AO18" s="93" t="s">
        <v>505</v>
      </c>
    </row>
    <row r="19" spans="1:41" ht="72">
      <c r="A19" s="93">
        <v>18</v>
      </c>
      <c r="B19" s="93" t="s">
        <v>302</v>
      </c>
      <c r="C19" s="171">
        <v>46134</v>
      </c>
      <c r="D19" s="171">
        <v>46147</v>
      </c>
      <c r="E19" s="682" t="s">
        <v>436</v>
      </c>
      <c r="F19" s="93" t="s">
        <v>506</v>
      </c>
      <c r="G19" s="93" t="s">
        <v>507</v>
      </c>
      <c r="H19" s="96" t="s">
        <v>508</v>
      </c>
      <c r="I19" s="490" t="s">
        <v>509</v>
      </c>
      <c r="J19" s="93">
        <v>0</v>
      </c>
      <c r="K19" s="93">
        <v>2.25</v>
      </c>
      <c r="L19" s="93">
        <v>9</v>
      </c>
      <c r="M19" s="171">
        <v>46142</v>
      </c>
      <c r="N19" s="171">
        <v>46146</v>
      </c>
      <c r="O19" s="93" t="s">
        <v>320</v>
      </c>
      <c r="P19" s="93" t="s">
        <v>320</v>
      </c>
      <c r="Q19" s="93" t="s">
        <v>320</v>
      </c>
      <c r="R19" s="93" t="s">
        <v>320</v>
      </c>
      <c r="S19" s="93" t="s">
        <v>320</v>
      </c>
      <c r="T19" s="93" t="s">
        <v>320</v>
      </c>
      <c r="U19" s="93" t="s">
        <v>320</v>
      </c>
      <c r="V19" s="93" t="s">
        <v>320</v>
      </c>
      <c r="W19" s="93" t="s">
        <v>320</v>
      </c>
      <c r="X19" s="93" t="s">
        <v>320</v>
      </c>
      <c r="Y19" s="93" t="s">
        <v>320</v>
      </c>
      <c r="Z19" s="93" t="s">
        <v>320</v>
      </c>
      <c r="AA19" s="93" t="s">
        <v>320</v>
      </c>
      <c r="AB19" s="93" t="s">
        <v>320</v>
      </c>
      <c r="AC19" s="93" t="s">
        <v>320</v>
      </c>
      <c r="AD19" s="96" t="s">
        <v>510</v>
      </c>
      <c r="AE19" s="490" t="s">
        <v>423</v>
      </c>
      <c r="AF19" s="93"/>
      <c r="AG19" s="93"/>
      <c r="AH19" s="93"/>
      <c r="AI19" s="93"/>
      <c r="AJ19" s="93"/>
      <c r="AK19" s="93"/>
      <c r="AL19" s="93"/>
      <c r="AM19" s="93"/>
      <c r="AN19" s="642" t="s">
        <v>510</v>
      </c>
      <c r="AO19" s="93"/>
    </row>
    <row r="20" spans="1:41" ht="60">
      <c r="A20" s="118">
        <v>19</v>
      </c>
      <c r="B20" s="118" t="s">
        <v>302</v>
      </c>
      <c r="C20" s="649">
        <v>46134</v>
      </c>
      <c r="D20" s="649">
        <v>46147</v>
      </c>
      <c r="E20" s="119" t="s">
        <v>420</v>
      </c>
      <c r="F20" s="118" t="s">
        <v>315</v>
      </c>
      <c r="G20" s="118" t="s">
        <v>327</v>
      </c>
      <c r="H20" s="119" t="s">
        <v>328</v>
      </c>
      <c r="I20" s="561" t="s">
        <v>348</v>
      </c>
      <c r="J20" s="118">
        <v>5</v>
      </c>
      <c r="K20" s="118">
        <v>1.25</v>
      </c>
      <c r="L20" s="118">
        <v>5</v>
      </c>
      <c r="M20" s="649">
        <v>46147</v>
      </c>
      <c r="N20" s="118" t="s">
        <v>320</v>
      </c>
      <c r="O20" s="118" t="s">
        <v>320</v>
      </c>
      <c r="P20" s="118" t="s">
        <v>320</v>
      </c>
      <c r="Q20" s="118" t="s">
        <v>320</v>
      </c>
      <c r="R20" s="118" t="s">
        <v>320</v>
      </c>
      <c r="S20" s="118" t="s">
        <v>320</v>
      </c>
      <c r="T20" s="118" t="s">
        <v>320</v>
      </c>
      <c r="U20" s="118" t="s">
        <v>320</v>
      </c>
      <c r="V20" s="118" t="s">
        <v>320</v>
      </c>
      <c r="W20" s="118" t="s">
        <v>320</v>
      </c>
      <c r="X20" s="118" t="s">
        <v>320</v>
      </c>
      <c r="Y20" s="118" t="s">
        <v>320</v>
      </c>
      <c r="Z20" s="118" t="s">
        <v>320</v>
      </c>
      <c r="AA20" s="118" t="s">
        <v>320</v>
      </c>
      <c r="AB20" s="118" t="s">
        <v>320</v>
      </c>
      <c r="AC20" s="118" t="s">
        <v>320</v>
      </c>
      <c r="AD20" s="119" t="s">
        <v>511</v>
      </c>
      <c r="AE20" s="561" t="s">
        <v>423</v>
      </c>
      <c r="AF20" s="118"/>
      <c r="AG20" s="118"/>
      <c r="AH20" s="118"/>
      <c r="AI20" s="118"/>
      <c r="AJ20" s="118"/>
      <c r="AK20" s="118"/>
      <c r="AL20" s="118"/>
      <c r="AM20" s="118"/>
      <c r="AN20" s="117"/>
      <c r="AO20" s="119" t="s">
        <v>512</v>
      </c>
    </row>
    <row r="21" spans="1:41" ht="54" customHeight="1">
      <c r="A21" s="93">
        <v>20</v>
      </c>
      <c r="B21" s="93" t="s">
        <v>302</v>
      </c>
      <c r="C21" s="171">
        <v>46134</v>
      </c>
      <c r="D21" s="171">
        <v>46147</v>
      </c>
      <c r="E21" s="96" t="s">
        <v>420</v>
      </c>
      <c r="F21" s="93" t="s">
        <v>313</v>
      </c>
      <c r="G21" s="93">
        <v>26753</v>
      </c>
      <c r="H21" s="96" t="s">
        <v>513</v>
      </c>
      <c r="I21" s="490" t="s">
        <v>514</v>
      </c>
      <c r="J21" s="93">
        <v>2</v>
      </c>
      <c r="K21" s="93">
        <v>0.5</v>
      </c>
      <c r="L21" s="93">
        <v>2</v>
      </c>
      <c r="M21" s="171">
        <v>46147</v>
      </c>
      <c r="N21" s="171">
        <v>46147</v>
      </c>
      <c r="O21" s="93" t="s">
        <v>12</v>
      </c>
      <c r="P21" s="93" t="s">
        <v>320</v>
      </c>
      <c r="Q21" s="93" t="s">
        <v>320</v>
      </c>
      <c r="R21" s="93" t="s">
        <v>320</v>
      </c>
      <c r="S21" s="93" t="s">
        <v>320</v>
      </c>
      <c r="T21" s="93" t="s">
        <v>320</v>
      </c>
      <c r="U21" s="93" t="s">
        <v>320</v>
      </c>
      <c r="V21" s="93" t="s">
        <v>320</v>
      </c>
      <c r="W21" s="93" t="s">
        <v>320</v>
      </c>
      <c r="X21" s="93" t="s">
        <v>320</v>
      </c>
      <c r="Y21" s="93" t="s">
        <v>320</v>
      </c>
      <c r="Z21" s="93" t="s">
        <v>320</v>
      </c>
      <c r="AA21" s="93" t="s">
        <v>320</v>
      </c>
      <c r="AB21" s="96" t="s">
        <v>316</v>
      </c>
      <c r="AC21" s="96" t="s">
        <v>316</v>
      </c>
      <c r="AD21" s="96" t="s">
        <v>498</v>
      </c>
      <c r="AE21" s="490" t="s">
        <v>423</v>
      </c>
      <c r="AF21" s="93"/>
      <c r="AG21" s="93"/>
      <c r="AH21" s="93"/>
      <c r="AI21" s="93"/>
      <c r="AJ21" s="93"/>
      <c r="AK21" s="93"/>
      <c r="AL21" s="93"/>
      <c r="AM21" s="93"/>
      <c r="AN21" s="620"/>
      <c r="AO21" s="93" t="s">
        <v>515</v>
      </c>
    </row>
  </sheetData>
  <autoFilter ref="A1:AO17" xr:uid="{209DB44C-7CD9-4983-A703-4EF2AFCF4947}"/>
  <conditionalFormatting sqref="J1 I2:I4">
    <cfRule type="containsText" dxfId="1031" priority="28" operator="containsText" text="Closed">
      <formula>NOT(ISERROR(SEARCH("Closed",I1)))</formula>
    </cfRule>
    <cfRule type="containsText" dxfId="1030" priority="29" operator="containsText" text="Open">
      <formula>NOT(ISERROR(SEARCH("Open",I1)))</formula>
    </cfRule>
    <cfRule type="containsText" dxfId="1029" priority="30" operator="containsText" text="Inprogress">
      <formula>NOT(ISERROR(SEARCH("Inprogress",I1)))</formula>
    </cfRule>
  </conditionalFormatting>
  <conditionalFormatting sqref="I5:I8">
    <cfRule type="containsText" dxfId="1028" priority="22" operator="containsText" text="Closed">
      <formula>NOT(ISERROR(SEARCH("Closed",I5)))</formula>
    </cfRule>
    <cfRule type="containsText" dxfId="1027" priority="23" operator="containsText" text="Open">
      <formula>NOT(ISERROR(SEARCH("Open",I5)))</formula>
    </cfRule>
    <cfRule type="containsText" dxfId="1026" priority="24" operator="containsText" text="Inprogress">
      <formula>NOT(ISERROR(SEARCH("Inprogress",I5)))</formula>
    </cfRule>
  </conditionalFormatting>
  <conditionalFormatting sqref="I9">
    <cfRule type="containsText" dxfId="1025" priority="19" operator="containsText" text="Closed">
      <formula>NOT(ISERROR(SEARCH("Closed",I9)))</formula>
    </cfRule>
    <cfRule type="containsText" dxfId="1024" priority="20" operator="containsText" text="Open">
      <formula>NOT(ISERROR(SEARCH("Open",I9)))</formula>
    </cfRule>
    <cfRule type="containsText" dxfId="1023" priority="21" operator="containsText" text="Inprogress">
      <formula>NOT(ISERROR(SEARCH("Inprogress",I9)))</formula>
    </cfRule>
  </conditionalFormatting>
  <conditionalFormatting sqref="I10">
    <cfRule type="containsText" dxfId="1022" priority="16" operator="containsText" text="Closed">
      <formula>NOT(ISERROR(SEARCH("Closed",I10)))</formula>
    </cfRule>
    <cfRule type="containsText" dxfId="1021" priority="17" operator="containsText" text="Open">
      <formula>NOT(ISERROR(SEARCH("Open",I10)))</formula>
    </cfRule>
    <cfRule type="containsText" dxfId="1020" priority="18" operator="containsText" text="Inprogress">
      <formula>NOT(ISERROR(SEARCH("Inprogress",I10)))</formula>
    </cfRule>
  </conditionalFormatting>
  <conditionalFormatting sqref="I11">
    <cfRule type="containsText" dxfId="1019" priority="10" operator="containsText" text="Closed">
      <formula>NOT(ISERROR(SEARCH("Closed",I11)))</formula>
    </cfRule>
    <cfRule type="containsText" dxfId="1018" priority="11" operator="containsText" text="Open">
      <formula>NOT(ISERROR(SEARCH("Open",I11)))</formula>
    </cfRule>
    <cfRule type="containsText" dxfId="1017" priority="12" operator="containsText" text="Inprogress">
      <formula>NOT(ISERROR(SEARCH("Inprogress",I11)))</formula>
    </cfRule>
  </conditionalFormatting>
  <conditionalFormatting sqref="I12:I13">
    <cfRule type="containsText" dxfId="1016" priority="7" operator="containsText" text="Closed">
      <formula>NOT(ISERROR(SEARCH("Closed",I12)))</formula>
    </cfRule>
    <cfRule type="containsText" dxfId="1015" priority="8" operator="containsText" text="Open">
      <formula>NOT(ISERROR(SEARCH("Open",I12)))</formula>
    </cfRule>
    <cfRule type="containsText" dxfId="1014" priority="9" operator="containsText" text="Inprogress">
      <formula>NOT(ISERROR(SEARCH("Inprogress",I12)))</formula>
    </cfRule>
  </conditionalFormatting>
  <conditionalFormatting sqref="I15:I21">
    <cfRule type="containsText" dxfId="1013" priority="4" operator="containsText" text="Closed">
      <formula>NOT(ISERROR(SEARCH("Closed",I15)))</formula>
    </cfRule>
    <cfRule type="containsText" dxfId="1012" priority="5" operator="containsText" text="Open">
      <formula>NOT(ISERROR(SEARCH("Open",I15)))</formula>
    </cfRule>
    <cfRule type="containsText" dxfId="1011" priority="6" operator="containsText" text="Inprogress">
      <formula>NOT(ISERROR(SEARCH("Inprogress",I15)))</formula>
    </cfRule>
  </conditionalFormatting>
  <conditionalFormatting sqref="I14">
    <cfRule type="containsText" dxfId="1010" priority="1" operator="containsText" text="Closed">
      <formula>NOT(ISERROR(SEARCH("Closed",I14)))</formula>
    </cfRule>
    <cfRule type="containsText" dxfId="1009" priority="2" operator="containsText" text="Open">
      <formula>NOT(ISERROR(SEARCH("Open",I14)))</formula>
    </cfRule>
    <cfRule type="containsText" dxfId="1008" priority="3" operator="containsText" text="Inprogress">
      <formula>NOT(ISERROR(SEARCH("Inprogress",I14)))</formula>
    </cfRule>
  </conditionalFormatting>
  <dataValidations count="11">
    <dataValidation type="list" showErrorMessage="1" sqref="P1" xr:uid="{B2B44542-0BE0-4C18-8C88-8B76B07001B2}">
      <formula1>"Qadir,Rijo,Karthik,Sushmitha,None,TBD"</formula1>
    </dataValidation>
    <dataValidation type="list" showErrorMessage="1" sqref="R1" xr:uid="{C36DE2E4-1E39-4315-8945-841F16564293}">
      <formula1>"Qadir,Rijo,Karthik,None,TBD"</formula1>
    </dataValidation>
    <dataValidation type="list" showErrorMessage="1" sqref="Q1" xr:uid="{A510A30F-BC08-4346-AA94-F01419701B9A}">
      <formula1>"Pass,Fail(BacktoDev),DB Script tests in QA DB,TBD"</formula1>
    </dataValidation>
    <dataValidation type="list" showErrorMessage="1" sqref="AC1" xr:uid="{C5DD2D73-AE5C-4876-B8CC-FD8B54C9B079}">
      <formula1>"Pending-Waiting for Customer confirmation, Approved-Satisified AC,Not Approved-New minor changes requested(Back to Dev),NA,TBD"</formula1>
    </dataValidation>
    <dataValidation type="list" showErrorMessage="1" sqref="AB1" xr:uid="{281E3C80-55CC-423D-ABD3-4983CA368C50}">
      <formula1>"Approved-Satisified AC,Not Approved(Back to Dev),NA,TBD"</formula1>
    </dataValidation>
    <dataValidation type="list" showErrorMessage="1" sqref="S1:T1 X1 AA1" xr:uid="{CB22DE3A-65C4-4CB6-8BEB-3E511BCCBF95}">
      <formula1>"No issues found,Issues observed(BacktoDev),DB Script tests in QA DB,NA,TBD"</formula1>
    </dataValidation>
    <dataValidation type="list" showErrorMessage="1" sqref="Y1:Z1 W1 O1" xr:uid="{E9637715-9D2E-441E-8B96-72FC9E5388B8}">
      <formula1>"Open,Inprogress,Completed,TBD,NA"</formula1>
    </dataValidation>
    <dataValidation allowBlank="1" showInputMessage="1" showErrorMessage="1" sqref="AD1:AE1" xr:uid="{2830C09B-0AFB-4F5A-B32D-A4F8CB3094EF}"/>
    <dataValidation showErrorMessage="1" sqref="I1" xr:uid="{FAB1BE11-E0CD-438F-8449-F01026FF5BD9}"/>
    <dataValidation type="list" allowBlank="1" showErrorMessage="1" sqref="J1" xr:uid="{A2826F63-BA34-4FBA-981B-65F685F8F88B}">
      <formula1>"Open,Inprogress,Closed"</formula1>
    </dataValidation>
    <dataValidation type="list" allowBlank="1" showInputMessage="1" showErrorMessage="1" sqref="AE2:AE21" xr:uid="{4E47EAB6-4A9A-4872-84F4-3270ED4580DB}">
      <formula1>"Exceeds Expectation,Meets Expectation,Needs improvements"</formula1>
    </dataValidation>
  </dataValidations>
  <hyperlinks>
    <hyperlink ref="G11" r:id="rId1" display="27265 MSB ACCT - BKK - [Regression] Bank rec. id is displayed instead of date in Bank Rec. History Report (26.4)" xr:uid="{A413E361-1578-4196-B395-A7371FF38E60}"/>
    <hyperlink ref="T15" r:id="rId2" xr:uid="{A55889A3-3892-46C7-A837-DD94FB234B8B}"/>
    <hyperlink ref="T17" r:id="rId3" xr:uid="{C8985D4D-A938-401C-B458-9B51B227750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27A731F-F5F9-4A57-9BA6-FC3B20F4B69C}">
          <x14:formula1>
            <xm:f>Settings!$C$3:$C$20</xm:f>
          </x14:formula1>
          <xm:sqref>I2:I21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B090B-190C-4098-B2B7-1088F42BF337}">
  <dimension ref="A1:M10"/>
  <sheetViews>
    <sheetView topLeftCell="A6" workbookViewId="0">
      <selection activeCell="M9" sqref="M9"/>
    </sheetView>
  </sheetViews>
  <sheetFormatPr defaultRowHeight="12.75"/>
  <cols>
    <col min="2" max="2" width="17.140625" customWidth="1"/>
    <col min="3" max="3" width="12.7109375" customWidth="1"/>
    <col min="4" max="4" width="10.42578125" customWidth="1"/>
    <col min="5" max="5" width="14.7109375" customWidth="1"/>
    <col min="7" max="7" width="35.85546875" customWidth="1"/>
    <col min="9" max="9" width="12.42578125" customWidth="1"/>
    <col min="11" max="11" width="27.42578125" customWidth="1"/>
    <col min="12" max="12" width="21.7109375" customWidth="1"/>
    <col min="13" max="13" width="38.7109375" customWidth="1"/>
  </cols>
  <sheetData>
    <row r="1" spans="1:13" ht="39.75" customHeight="1">
      <c r="A1" s="108" t="s">
        <v>266</v>
      </c>
      <c r="B1" s="108" t="s">
        <v>10</v>
      </c>
      <c r="C1" s="404" t="s">
        <v>267</v>
      </c>
      <c r="D1" s="404" t="s">
        <v>268</v>
      </c>
      <c r="E1" s="108" t="s">
        <v>269</v>
      </c>
      <c r="F1" s="404" t="s">
        <v>270</v>
      </c>
      <c r="G1" s="404" t="s">
        <v>271</v>
      </c>
      <c r="H1" s="108" t="s">
        <v>272</v>
      </c>
      <c r="I1" s="108" t="s">
        <v>273</v>
      </c>
      <c r="J1" s="108" t="s">
        <v>274</v>
      </c>
      <c r="K1" s="108" t="s">
        <v>275</v>
      </c>
      <c r="L1" s="332" t="s">
        <v>276</v>
      </c>
      <c r="M1" s="405" t="s">
        <v>277</v>
      </c>
    </row>
    <row r="2" spans="1:13" ht="107.25" customHeight="1">
      <c r="A2" s="93">
        <v>1</v>
      </c>
      <c r="B2" s="93" t="s">
        <v>302</v>
      </c>
      <c r="C2" s="143" t="s">
        <v>346</v>
      </c>
      <c r="D2" s="93"/>
      <c r="E2" s="143" t="s">
        <v>437</v>
      </c>
      <c r="F2" s="93" t="s">
        <v>516</v>
      </c>
      <c r="G2" s="96" t="s">
        <v>347</v>
      </c>
      <c r="H2" s="93" t="s">
        <v>517</v>
      </c>
      <c r="I2" s="93" t="s">
        <v>518</v>
      </c>
      <c r="J2" s="93" t="s">
        <v>519</v>
      </c>
      <c r="K2" s="681" t="s">
        <v>348</v>
      </c>
      <c r="L2" s="74" t="s">
        <v>520</v>
      </c>
      <c r="M2" s="96" t="s">
        <v>521</v>
      </c>
    </row>
    <row r="3" spans="1:13" ht="71.25" customHeight="1">
      <c r="A3" s="93">
        <v>2</v>
      </c>
      <c r="B3" s="93" t="s">
        <v>302</v>
      </c>
      <c r="C3" s="657" t="s">
        <v>355</v>
      </c>
      <c r="D3" s="93"/>
      <c r="E3" s="143" t="s">
        <v>317</v>
      </c>
      <c r="F3" s="93" t="s">
        <v>522</v>
      </c>
      <c r="G3" s="96" t="s">
        <v>356</v>
      </c>
      <c r="H3" s="93" t="s">
        <v>517</v>
      </c>
      <c r="I3" s="93" t="s">
        <v>518</v>
      </c>
      <c r="J3" s="93" t="s">
        <v>519</v>
      </c>
      <c r="K3" s="681" t="s">
        <v>348</v>
      </c>
      <c r="L3" s="74" t="s">
        <v>520</v>
      </c>
      <c r="M3" s="96" t="s">
        <v>523</v>
      </c>
    </row>
    <row r="4" spans="1:13" ht="48" hidden="1">
      <c r="A4" s="93">
        <v>3</v>
      </c>
      <c r="B4" s="93" t="s">
        <v>302</v>
      </c>
      <c r="C4" s="143">
        <v>27265</v>
      </c>
      <c r="D4" s="93"/>
      <c r="E4" s="143" t="s">
        <v>304</v>
      </c>
      <c r="F4" s="93" t="s">
        <v>522</v>
      </c>
      <c r="G4" s="93" t="s">
        <v>461</v>
      </c>
      <c r="H4" s="236" t="s">
        <v>524</v>
      </c>
      <c r="I4" s="93" t="s">
        <v>518</v>
      </c>
      <c r="J4" s="93" t="s">
        <v>525</v>
      </c>
      <c r="K4" s="681" t="s">
        <v>376</v>
      </c>
      <c r="L4" s="74" t="s">
        <v>526</v>
      </c>
      <c r="M4" s="96" t="s">
        <v>527</v>
      </c>
    </row>
    <row r="5" spans="1:13" ht="48" hidden="1">
      <c r="A5" s="93">
        <v>4</v>
      </c>
      <c r="B5" s="93" t="s">
        <v>302</v>
      </c>
      <c r="C5" s="143">
        <v>27265</v>
      </c>
      <c r="D5" s="93"/>
      <c r="E5" s="143" t="s">
        <v>304</v>
      </c>
      <c r="F5" s="93" t="s">
        <v>522</v>
      </c>
      <c r="G5" s="684" t="s">
        <v>472</v>
      </c>
      <c r="H5" s="236" t="s">
        <v>524</v>
      </c>
      <c r="I5" s="93" t="s">
        <v>518</v>
      </c>
      <c r="J5" s="93" t="s">
        <v>525</v>
      </c>
      <c r="K5" s="681" t="s">
        <v>376</v>
      </c>
      <c r="L5" s="74" t="s">
        <v>526</v>
      </c>
      <c r="M5" s="96" t="s">
        <v>527</v>
      </c>
    </row>
    <row r="6" spans="1:13" ht="72">
      <c r="A6" s="93">
        <v>5</v>
      </c>
      <c r="B6" s="93" t="s">
        <v>302</v>
      </c>
      <c r="C6" s="143" t="s">
        <v>481</v>
      </c>
      <c r="D6" s="93"/>
      <c r="E6" s="143" t="s">
        <v>317</v>
      </c>
      <c r="F6" s="93" t="s">
        <v>522</v>
      </c>
      <c r="G6" s="96" t="s">
        <v>482</v>
      </c>
      <c r="H6" s="93" t="s">
        <v>517</v>
      </c>
      <c r="I6" s="93" t="s">
        <v>518</v>
      </c>
      <c r="J6" s="93" t="s">
        <v>519</v>
      </c>
      <c r="K6" s="681" t="s">
        <v>376</v>
      </c>
      <c r="L6" s="74" t="s">
        <v>520</v>
      </c>
      <c r="M6" s="96" t="s">
        <v>528</v>
      </c>
    </row>
    <row r="7" spans="1:13" ht="48">
      <c r="A7" s="93">
        <v>6</v>
      </c>
      <c r="B7" s="93" t="s">
        <v>302</v>
      </c>
      <c r="C7" s="143">
        <v>27200</v>
      </c>
      <c r="D7" s="93"/>
      <c r="E7" s="143" t="s">
        <v>315</v>
      </c>
      <c r="F7" s="93" t="s">
        <v>522</v>
      </c>
      <c r="G7" s="96" t="s">
        <v>375</v>
      </c>
      <c r="H7" s="93" t="s">
        <v>517</v>
      </c>
      <c r="I7" s="93" t="s">
        <v>518</v>
      </c>
      <c r="J7" s="93" t="s">
        <v>519</v>
      </c>
      <c r="K7" s="681" t="s">
        <v>376</v>
      </c>
      <c r="L7" s="74" t="s">
        <v>529</v>
      </c>
      <c r="M7" s="96" t="s">
        <v>530</v>
      </c>
    </row>
    <row r="8" spans="1:13" ht="48" hidden="1">
      <c r="A8" s="93">
        <v>7</v>
      </c>
      <c r="B8" s="93" t="s">
        <v>302</v>
      </c>
      <c r="C8" s="143" t="s">
        <v>507</v>
      </c>
      <c r="D8" s="93"/>
      <c r="E8" s="143" t="s">
        <v>506</v>
      </c>
      <c r="F8" s="93" t="s">
        <v>522</v>
      </c>
      <c r="G8" s="96" t="s">
        <v>508</v>
      </c>
      <c r="H8" s="236" t="s">
        <v>531</v>
      </c>
      <c r="I8" s="93" t="s">
        <v>518</v>
      </c>
      <c r="J8" s="93" t="s">
        <v>525</v>
      </c>
      <c r="K8" s="681" t="s">
        <v>509</v>
      </c>
      <c r="L8" s="74" t="s">
        <v>532</v>
      </c>
      <c r="M8" s="96" t="s">
        <v>510</v>
      </c>
    </row>
    <row r="9" spans="1:13" ht="60">
      <c r="A9" s="93">
        <v>8</v>
      </c>
      <c r="B9" s="93" t="s">
        <v>302</v>
      </c>
      <c r="C9" s="143" t="s">
        <v>327</v>
      </c>
      <c r="D9" s="93"/>
      <c r="E9" s="143" t="s">
        <v>315</v>
      </c>
      <c r="F9" s="93" t="s">
        <v>522</v>
      </c>
      <c r="G9" s="96" t="s">
        <v>328</v>
      </c>
      <c r="H9" s="93" t="s">
        <v>517</v>
      </c>
      <c r="I9" s="93" t="s">
        <v>518</v>
      </c>
      <c r="J9" s="93" t="s">
        <v>525</v>
      </c>
      <c r="K9" s="681" t="s">
        <v>348</v>
      </c>
      <c r="L9" s="74" t="s">
        <v>529</v>
      </c>
      <c r="M9" s="96" t="s">
        <v>533</v>
      </c>
    </row>
    <row r="10" spans="1:13" ht="36">
      <c r="A10" s="93">
        <v>9</v>
      </c>
      <c r="B10" s="93" t="s">
        <v>302</v>
      </c>
      <c r="C10" s="143">
        <v>26753</v>
      </c>
      <c r="D10" s="93"/>
      <c r="E10" s="143" t="s">
        <v>313</v>
      </c>
      <c r="F10" s="93" t="s">
        <v>522</v>
      </c>
      <c r="G10" s="96" t="s">
        <v>513</v>
      </c>
      <c r="H10" s="93" t="s">
        <v>517</v>
      </c>
      <c r="I10" s="93" t="s">
        <v>518</v>
      </c>
      <c r="J10" s="93" t="s">
        <v>525</v>
      </c>
      <c r="K10" s="681" t="s">
        <v>376</v>
      </c>
      <c r="L10" s="74" t="s">
        <v>529</v>
      </c>
      <c r="M10" s="96" t="s">
        <v>534</v>
      </c>
    </row>
  </sheetData>
  <conditionalFormatting sqref="K2 K8">
    <cfRule type="containsText" dxfId="1007" priority="22" operator="containsText" text="Closed">
      <formula>NOT(ISERROR(SEARCH("Closed",K2)))</formula>
    </cfRule>
    <cfRule type="containsText" dxfId="1006" priority="23" operator="containsText" text="Open">
      <formula>NOT(ISERROR(SEARCH("Open",K2)))</formula>
    </cfRule>
    <cfRule type="containsText" dxfId="1005" priority="24" operator="containsText" text="Inprogress">
      <formula>NOT(ISERROR(SEARCH("Inprogress",K2)))</formula>
    </cfRule>
  </conditionalFormatting>
  <conditionalFormatting sqref="K3">
    <cfRule type="containsText" dxfId="1004" priority="19" operator="containsText" text="Closed">
      <formula>NOT(ISERROR(SEARCH("Closed",K3)))</formula>
    </cfRule>
    <cfRule type="containsText" dxfId="1003" priority="20" operator="containsText" text="Open">
      <formula>NOT(ISERROR(SEARCH("Open",K3)))</formula>
    </cfRule>
    <cfRule type="containsText" dxfId="1002" priority="21" operator="containsText" text="Inprogress">
      <formula>NOT(ISERROR(SEARCH("Inprogress",K3)))</formula>
    </cfRule>
  </conditionalFormatting>
  <conditionalFormatting sqref="K4:K5">
    <cfRule type="containsText" dxfId="1001" priority="16" operator="containsText" text="Closed">
      <formula>NOT(ISERROR(SEARCH("Closed",K4)))</formula>
    </cfRule>
    <cfRule type="containsText" dxfId="1000" priority="17" operator="containsText" text="Open">
      <formula>NOT(ISERROR(SEARCH("Open",K4)))</formula>
    </cfRule>
    <cfRule type="containsText" dxfId="999" priority="18" operator="containsText" text="Inprogress">
      <formula>NOT(ISERROR(SEARCH("Inprogress",K4)))</formula>
    </cfRule>
  </conditionalFormatting>
  <conditionalFormatting sqref="K6:K7">
    <cfRule type="containsText" dxfId="998" priority="13" operator="containsText" text="Closed">
      <formula>NOT(ISERROR(SEARCH("Closed",K6)))</formula>
    </cfRule>
    <cfRule type="containsText" dxfId="997" priority="14" operator="containsText" text="Open">
      <formula>NOT(ISERROR(SEARCH("Open",K6)))</formula>
    </cfRule>
    <cfRule type="containsText" dxfId="996" priority="15" operator="containsText" text="Inprogress">
      <formula>NOT(ISERROR(SEARCH("Inprogress",K6)))</formula>
    </cfRule>
  </conditionalFormatting>
  <conditionalFormatting sqref="K9">
    <cfRule type="containsText" dxfId="995" priority="4" operator="containsText" text="Closed">
      <formula>NOT(ISERROR(SEARCH("Closed",K9)))</formula>
    </cfRule>
    <cfRule type="containsText" dxfId="994" priority="5" operator="containsText" text="Open">
      <formula>NOT(ISERROR(SEARCH("Open",K9)))</formula>
    </cfRule>
    <cfRule type="containsText" dxfId="993" priority="6" operator="containsText" text="Inprogress">
      <formula>NOT(ISERROR(SEARCH("Inprogress",K9)))</formula>
    </cfRule>
  </conditionalFormatting>
  <conditionalFormatting sqref="K10">
    <cfRule type="containsText" dxfId="992" priority="1" operator="containsText" text="Closed">
      <formula>NOT(ISERROR(SEARCH("Closed",K10)))</formula>
    </cfRule>
    <cfRule type="containsText" dxfId="991" priority="2" operator="containsText" text="Open">
      <formula>NOT(ISERROR(SEARCH("Open",K10)))</formula>
    </cfRule>
    <cfRule type="containsText" dxfId="990" priority="3" operator="containsText" text="Inprogress">
      <formula>NOT(ISERROR(SEARCH("Inprogress",K10)))</formula>
    </cfRule>
  </conditionalFormatting>
  <dataValidations count="1">
    <dataValidation type="list" allowBlank="1" showErrorMessage="1" sqref="H4:H5 H8" xr:uid="{C15C7F54-F2B2-4CF7-9880-63021AFCF802}">
      <formula1>"Minor,Significant,Major"</formula1>
    </dataValidation>
  </dataValidations>
  <hyperlinks>
    <hyperlink ref="C5" r:id="rId1" display="27265 MSB ACCT - BKK - [Regression] Bank rec. id is displayed instead of date in Bank Rec. History Report (26.4)" xr:uid="{FFDDB6B1-FD65-4386-B557-F0CD97DFD75A}"/>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CB7AC57A-47D0-4572-80F1-270FDD0197E3}">
          <x14:formula1>
            <xm:f>Settings!$C$3:$C$20</xm:f>
          </x14:formula1>
          <xm:sqref>K2:K10</xm:sqref>
        </x14:dataValidation>
        <x14:dataValidation type="list" allowBlank="1" showErrorMessage="1" xr:uid="{9D0406DB-AB52-42B8-A149-C2DEA9451C59}">
          <x14:formula1>
            <xm:f>Details!$A$2:$A$10</xm:f>
          </x14:formula1>
          <xm:sqref>L2:L10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C1F9-6657-49C4-9174-F330FA7B342D}">
  <dimension ref="A1:AO43"/>
  <sheetViews>
    <sheetView topLeftCell="F1" workbookViewId="0">
      <selection activeCell="G7" sqref="G7"/>
    </sheetView>
  </sheetViews>
  <sheetFormatPr defaultRowHeight="12.75"/>
  <cols>
    <col min="2" max="2" width="16.5703125" customWidth="1"/>
    <col min="3" max="3" width="11" customWidth="1"/>
    <col min="4" max="4" width="12.7109375" customWidth="1"/>
    <col min="5" max="5" width="20.5703125" customWidth="1"/>
    <col min="6" max="6" width="12.28515625" customWidth="1"/>
    <col min="7" max="7" width="15.5703125" customWidth="1"/>
    <col min="8" max="8" width="30" customWidth="1"/>
    <col min="9" max="9" width="21.85546875" customWidth="1"/>
    <col min="12" max="12" width="11.140625" customWidth="1"/>
    <col min="13" max="14" width="9.42578125" bestFit="1" customWidth="1"/>
    <col min="15" max="15" width="12" customWidth="1"/>
    <col min="17" max="17" width="15.85546875" customWidth="1"/>
    <col min="18" max="18" width="11.42578125" customWidth="1"/>
    <col min="19" max="19" width="19" customWidth="1"/>
    <col min="20" max="20" width="24.7109375" customWidth="1"/>
    <col min="21" max="21" width="11.42578125" customWidth="1"/>
    <col min="22" max="22" width="12.42578125" customWidth="1"/>
    <col min="23" max="23" width="12.85546875" customWidth="1"/>
    <col min="24" max="24" width="20.5703125" customWidth="1"/>
    <col min="25" max="25" width="12.5703125" customWidth="1"/>
    <col min="26" max="26" width="12.7109375" customWidth="1"/>
    <col min="27" max="27" width="19.140625" customWidth="1"/>
    <col min="28" max="28" width="15.7109375" customWidth="1"/>
    <col min="29" max="29" width="15.5703125" customWidth="1"/>
    <col min="30" max="30" width="22.5703125" customWidth="1"/>
    <col min="31" max="31" width="18.7109375" customWidth="1"/>
    <col min="32" max="32" width="16.5703125" customWidth="1"/>
    <col min="33" max="33" width="22.42578125" customWidth="1"/>
    <col min="34" max="34" width="25" customWidth="1"/>
    <col min="35" max="35" width="33.42578125" customWidth="1"/>
    <col min="36" max="36" width="20.28515625" customWidth="1"/>
    <col min="37" max="37" width="14" customWidth="1"/>
    <col min="38" max="38" width="32.42578125" customWidth="1"/>
    <col min="39" max="39" width="14" customWidth="1"/>
    <col min="40" max="40" width="14.7109375" customWidth="1"/>
    <col min="41" max="41" width="15.5703125" customWidth="1"/>
  </cols>
  <sheetData>
    <row r="1" spans="1:41" ht="27">
      <c r="A1" s="247" t="s">
        <v>266</v>
      </c>
      <c r="B1" s="247" t="s">
        <v>4</v>
      </c>
      <c r="C1" s="247" t="s">
        <v>2</v>
      </c>
      <c r="D1" s="247" t="s">
        <v>3</v>
      </c>
      <c r="E1" s="247" t="s">
        <v>278</v>
      </c>
      <c r="F1" s="247" t="s">
        <v>269</v>
      </c>
      <c r="G1" s="247" t="s">
        <v>279</v>
      </c>
      <c r="H1" s="543"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668" t="s">
        <v>301</v>
      </c>
      <c r="AF1" s="518">
        <v>46120</v>
      </c>
      <c r="AG1" s="669">
        <v>46121</v>
      </c>
      <c r="AH1" s="518">
        <v>46122</v>
      </c>
      <c r="AI1" s="518">
        <v>46125</v>
      </c>
      <c r="AJ1" s="518">
        <v>46126</v>
      </c>
      <c r="AK1" s="518">
        <v>46127</v>
      </c>
      <c r="AL1" s="518">
        <v>46128</v>
      </c>
      <c r="AM1" s="519">
        <v>46129</v>
      </c>
      <c r="AN1" s="518">
        <v>46132</v>
      </c>
      <c r="AO1" s="518">
        <v>46133</v>
      </c>
    </row>
    <row r="2" spans="1:41" ht="62.25" customHeight="1">
      <c r="A2" s="93">
        <v>1</v>
      </c>
      <c r="B2" s="117" t="s">
        <v>302</v>
      </c>
      <c r="C2" s="649">
        <v>46120</v>
      </c>
      <c r="D2" s="649">
        <v>46133</v>
      </c>
      <c r="E2" s="119" t="s">
        <v>535</v>
      </c>
      <c r="F2" s="118" t="s">
        <v>304</v>
      </c>
      <c r="G2" s="118">
        <v>52277</v>
      </c>
      <c r="H2" s="118" t="s">
        <v>421</v>
      </c>
      <c r="I2" s="561" t="s">
        <v>369</v>
      </c>
      <c r="J2" s="93">
        <v>2</v>
      </c>
      <c r="K2" s="93">
        <v>4</v>
      </c>
      <c r="L2" s="93">
        <v>16</v>
      </c>
      <c r="M2" s="93" t="s">
        <v>320</v>
      </c>
      <c r="N2" s="93" t="s">
        <v>320</v>
      </c>
      <c r="O2" s="93" t="s">
        <v>320</v>
      </c>
      <c r="P2" s="93" t="s">
        <v>320</v>
      </c>
      <c r="Q2" s="93" t="s">
        <v>320</v>
      </c>
      <c r="R2" s="93" t="s">
        <v>320</v>
      </c>
      <c r="S2" s="93" t="s">
        <v>320</v>
      </c>
      <c r="T2" s="93" t="s">
        <v>320</v>
      </c>
      <c r="U2" s="93" t="s">
        <v>320</v>
      </c>
      <c r="V2" s="93" t="s">
        <v>320</v>
      </c>
      <c r="W2" s="93" t="s">
        <v>320</v>
      </c>
      <c r="X2" s="93" t="s">
        <v>320</v>
      </c>
      <c r="Y2" s="93" t="s">
        <v>320</v>
      </c>
      <c r="Z2" s="93" t="s">
        <v>320</v>
      </c>
      <c r="AA2" s="93" t="s">
        <v>320</v>
      </c>
      <c r="AB2" s="93" t="s">
        <v>320</v>
      </c>
      <c r="AC2" s="93" t="s">
        <v>320</v>
      </c>
      <c r="AD2" s="96" t="s">
        <v>536</v>
      </c>
      <c r="AE2" s="490" t="s">
        <v>423</v>
      </c>
      <c r="AF2" s="96" t="s">
        <v>537</v>
      </c>
      <c r="AG2" s="100" t="s">
        <v>538</v>
      </c>
      <c r="AH2" s="96" t="s">
        <v>539</v>
      </c>
      <c r="AI2" s="96" t="s">
        <v>540</v>
      </c>
      <c r="AJ2" s="96" t="s">
        <v>541</v>
      </c>
      <c r="AK2" s="96" t="s">
        <v>542</v>
      </c>
      <c r="AL2" s="96" t="s">
        <v>543</v>
      </c>
      <c r="AM2" s="96" t="s">
        <v>543</v>
      </c>
      <c r="AN2" s="96" t="s">
        <v>543</v>
      </c>
      <c r="AO2" s="96" t="s">
        <v>543</v>
      </c>
    </row>
    <row r="3" spans="1:41" ht="48">
      <c r="A3" s="93">
        <v>2</v>
      </c>
      <c r="B3" s="117" t="s">
        <v>302</v>
      </c>
      <c r="C3" s="649">
        <v>46120</v>
      </c>
      <c r="D3" s="649">
        <v>46133</v>
      </c>
      <c r="E3" s="96" t="s">
        <v>535</v>
      </c>
      <c r="F3" s="93" t="s">
        <v>315</v>
      </c>
      <c r="G3" s="93" t="s">
        <v>361</v>
      </c>
      <c r="H3" s="670" t="s">
        <v>362</v>
      </c>
      <c r="I3" s="490" t="s">
        <v>338</v>
      </c>
      <c r="J3" s="93">
        <v>2</v>
      </c>
      <c r="K3" s="93">
        <v>1.25</v>
      </c>
      <c r="L3" s="93">
        <v>5</v>
      </c>
      <c r="M3" s="649">
        <v>46120</v>
      </c>
      <c r="N3" s="649">
        <v>46120</v>
      </c>
      <c r="O3" s="93" t="s">
        <v>12</v>
      </c>
      <c r="P3" s="93" t="s">
        <v>313</v>
      </c>
      <c r="Q3" s="96" t="s">
        <v>316</v>
      </c>
      <c r="R3" s="96" t="s">
        <v>317</v>
      </c>
      <c r="S3" s="96" t="s">
        <v>316</v>
      </c>
      <c r="T3" s="93" t="s">
        <v>320</v>
      </c>
      <c r="U3" s="93" t="s">
        <v>320</v>
      </c>
      <c r="V3" s="93" t="s">
        <v>320</v>
      </c>
      <c r="W3" s="93" t="s">
        <v>320</v>
      </c>
      <c r="X3" s="93" t="s">
        <v>320</v>
      </c>
      <c r="Y3" s="93" t="s">
        <v>320</v>
      </c>
      <c r="Z3" s="93" t="s">
        <v>320</v>
      </c>
      <c r="AA3" s="93" t="s">
        <v>320</v>
      </c>
      <c r="AB3" s="93" t="s">
        <v>320</v>
      </c>
      <c r="AC3" s="93" t="s">
        <v>320</v>
      </c>
      <c r="AD3" s="96" t="s">
        <v>544</v>
      </c>
      <c r="AE3" s="490" t="s">
        <v>423</v>
      </c>
      <c r="AF3" s="96" t="s">
        <v>545</v>
      </c>
      <c r="AG3" s="96" t="s">
        <v>546</v>
      </c>
      <c r="AH3" s="93"/>
      <c r="AI3" s="96" t="s">
        <v>547</v>
      </c>
      <c r="AJ3" s="96" t="s">
        <v>548</v>
      </c>
      <c r="AK3" s="96" t="s">
        <v>548</v>
      </c>
      <c r="AL3" s="96" t="s">
        <v>548</v>
      </c>
      <c r="AM3" s="96" t="s">
        <v>548</v>
      </c>
      <c r="AN3" s="96" t="s">
        <v>548</v>
      </c>
      <c r="AO3" s="96"/>
    </row>
    <row r="4" spans="1:41" ht="132" customHeight="1">
      <c r="A4" s="93">
        <v>3</v>
      </c>
      <c r="B4" s="117" t="s">
        <v>302</v>
      </c>
      <c r="C4" s="649">
        <v>46120</v>
      </c>
      <c r="D4" s="649">
        <v>46133</v>
      </c>
      <c r="E4" s="96" t="s">
        <v>535</v>
      </c>
      <c r="F4" s="93" t="s">
        <v>313</v>
      </c>
      <c r="G4" s="93">
        <v>24926</v>
      </c>
      <c r="H4" s="670" t="s">
        <v>549</v>
      </c>
      <c r="I4" s="490" t="s">
        <v>338</v>
      </c>
      <c r="J4" s="93">
        <v>2</v>
      </c>
      <c r="K4" s="93">
        <v>1</v>
      </c>
      <c r="L4" s="93">
        <v>4</v>
      </c>
      <c r="M4" s="171">
        <v>46120</v>
      </c>
      <c r="N4" s="171">
        <v>46121</v>
      </c>
      <c r="O4" s="93" t="s">
        <v>320</v>
      </c>
      <c r="P4" s="93" t="s">
        <v>320</v>
      </c>
      <c r="Q4" s="93" t="s">
        <v>320</v>
      </c>
      <c r="R4" s="93" t="s">
        <v>320</v>
      </c>
      <c r="S4" s="93" t="s">
        <v>320</v>
      </c>
      <c r="T4" s="93" t="s">
        <v>320</v>
      </c>
      <c r="U4" s="93" t="s">
        <v>320</v>
      </c>
      <c r="V4" s="93" t="s">
        <v>320</v>
      </c>
      <c r="W4" s="93" t="s">
        <v>320</v>
      </c>
      <c r="X4" s="93" t="s">
        <v>320</v>
      </c>
      <c r="Y4" s="93" t="s">
        <v>320</v>
      </c>
      <c r="Z4" s="93" t="s">
        <v>320</v>
      </c>
      <c r="AA4" s="93" t="s">
        <v>320</v>
      </c>
      <c r="AB4" s="93" t="s">
        <v>320</v>
      </c>
      <c r="AC4" s="93" t="s">
        <v>320</v>
      </c>
      <c r="AD4" s="96" t="s">
        <v>544</v>
      </c>
      <c r="AE4" s="490" t="s">
        <v>423</v>
      </c>
      <c r="AF4" s="96" t="s">
        <v>550</v>
      </c>
      <c r="AG4" s="93" t="s">
        <v>551</v>
      </c>
      <c r="AH4" s="93"/>
      <c r="AI4" s="96" t="s">
        <v>552</v>
      </c>
      <c r="AJ4" s="96" t="s">
        <v>548</v>
      </c>
      <c r="AK4" s="96" t="s">
        <v>548</v>
      </c>
      <c r="AL4" s="96" t="s">
        <v>548</v>
      </c>
      <c r="AM4" s="96" t="s">
        <v>548</v>
      </c>
      <c r="AN4" s="96" t="s">
        <v>548</v>
      </c>
      <c r="AO4" s="96"/>
    </row>
    <row r="5" spans="1:41" ht="36">
      <c r="A5" s="93">
        <v>4</v>
      </c>
      <c r="B5" s="117" t="s">
        <v>302</v>
      </c>
      <c r="C5" s="649">
        <v>46120</v>
      </c>
      <c r="D5" s="649">
        <v>46133</v>
      </c>
      <c r="E5" s="96" t="s">
        <v>535</v>
      </c>
      <c r="F5" s="93" t="s">
        <v>313</v>
      </c>
      <c r="G5" s="93">
        <v>45225</v>
      </c>
      <c r="H5" s="670" t="s">
        <v>314</v>
      </c>
      <c r="I5" s="490" t="s">
        <v>553</v>
      </c>
      <c r="J5" s="93">
        <v>3</v>
      </c>
      <c r="K5" s="93">
        <v>1.5</v>
      </c>
      <c r="L5" s="93">
        <v>6</v>
      </c>
      <c r="M5" s="649">
        <v>46120</v>
      </c>
      <c r="N5" s="93"/>
      <c r="O5" s="93" t="s">
        <v>320</v>
      </c>
      <c r="P5" s="93" t="s">
        <v>320</v>
      </c>
      <c r="Q5" s="93" t="s">
        <v>320</v>
      </c>
      <c r="R5" s="93" t="s">
        <v>320</v>
      </c>
      <c r="S5" s="93" t="s">
        <v>320</v>
      </c>
      <c r="T5" s="93" t="s">
        <v>320</v>
      </c>
      <c r="U5" s="93" t="s">
        <v>320</v>
      </c>
      <c r="V5" s="93" t="s">
        <v>320</v>
      </c>
      <c r="W5" s="93" t="s">
        <v>320</v>
      </c>
      <c r="X5" s="93" t="s">
        <v>320</v>
      </c>
      <c r="Y5" s="93" t="s">
        <v>320</v>
      </c>
      <c r="Z5" s="93" t="s">
        <v>320</v>
      </c>
      <c r="AA5" s="93" t="s">
        <v>320</v>
      </c>
      <c r="AB5" s="93" t="s">
        <v>320</v>
      </c>
      <c r="AC5" s="93" t="s">
        <v>320</v>
      </c>
      <c r="AD5" s="96" t="s">
        <v>544</v>
      </c>
      <c r="AE5" s="490" t="s">
        <v>423</v>
      </c>
      <c r="AF5" s="96" t="s">
        <v>554</v>
      </c>
      <c r="AG5" s="96" t="s">
        <v>555</v>
      </c>
      <c r="AH5" s="93"/>
      <c r="AI5" s="96" t="s">
        <v>556</v>
      </c>
      <c r="AJ5" s="96" t="s">
        <v>548</v>
      </c>
      <c r="AK5" s="96" t="s">
        <v>548</v>
      </c>
      <c r="AL5" s="96" t="s">
        <v>548</v>
      </c>
      <c r="AM5" s="96" t="s">
        <v>548</v>
      </c>
      <c r="AN5" s="96" t="s">
        <v>548</v>
      </c>
      <c r="AO5" s="96"/>
    </row>
    <row r="6" spans="1:41" ht="72">
      <c r="A6" s="93">
        <v>5</v>
      </c>
      <c r="B6" s="117" t="s">
        <v>302</v>
      </c>
      <c r="C6" s="649">
        <v>46120</v>
      </c>
      <c r="D6" s="649">
        <v>46133</v>
      </c>
      <c r="E6" s="119" t="s">
        <v>557</v>
      </c>
      <c r="F6" s="93" t="s">
        <v>317</v>
      </c>
      <c r="G6" s="118">
        <v>87509</v>
      </c>
      <c r="H6" s="96" t="s">
        <v>558</v>
      </c>
      <c r="I6" s="490" t="s">
        <v>306</v>
      </c>
      <c r="J6" s="93">
        <v>0</v>
      </c>
      <c r="K6" s="93">
        <v>1.25</v>
      </c>
      <c r="L6" s="93">
        <v>5</v>
      </c>
      <c r="M6" s="649">
        <v>46120</v>
      </c>
      <c r="N6" s="649">
        <v>46120</v>
      </c>
      <c r="O6" s="93" t="s">
        <v>320</v>
      </c>
      <c r="P6" s="93" t="s">
        <v>320</v>
      </c>
      <c r="Q6" s="93" t="s">
        <v>320</v>
      </c>
      <c r="R6" s="93" t="s">
        <v>320</v>
      </c>
      <c r="S6" s="93" t="s">
        <v>320</v>
      </c>
      <c r="T6" s="130" t="s">
        <v>559</v>
      </c>
      <c r="U6" s="171">
        <v>46121</v>
      </c>
      <c r="V6" s="171">
        <v>46121</v>
      </c>
      <c r="W6" s="96" t="s">
        <v>319</v>
      </c>
      <c r="X6" s="96" t="s">
        <v>316</v>
      </c>
      <c r="Y6" s="96" t="s">
        <v>319</v>
      </c>
      <c r="Z6" s="96" t="s">
        <v>320</v>
      </c>
      <c r="AA6" s="96" t="s">
        <v>316</v>
      </c>
      <c r="AB6" s="96" t="s">
        <v>316</v>
      </c>
      <c r="AC6" s="96" t="s">
        <v>316</v>
      </c>
      <c r="AD6" s="93" t="s">
        <v>560</v>
      </c>
      <c r="AE6" s="490" t="s">
        <v>423</v>
      </c>
      <c r="AF6" s="96" t="s">
        <v>561</v>
      </c>
      <c r="AG6" s="93" t="s">
        <v>562</v>
      </c>
      <c r="AH6" s="93" t="s">
        <v>434</v>
      </c>
      <c r="AI6" s="93" t="s">
        <v>434</v>
      </c>
      <c r="AJ6" s="96" t="s">
        <v>434</v>
      </c>
      <c r="AK6" s="96" t="s">
        <v>434</v>
      </c>
      <c r="AL6" s="96" t="s">
        <v>434</v>
      </c>
      <c r="AM6" s="96" t="s">
        <v>434</v>
      </c>
      <c r="AN6" s="96" t="s">
        <v>434</v>
      </c>
      <c r="AO6" s="96"/>
    </row>
    <row r="7" spans="1:41" ht="36">
      <c r="A7" s="93">
        <v>6</v>
      </c>
      <c r="B7" s="117" t="s">
        <v>302</v>
      </c>
      <c r="C7" s="649">
        <v>46120</v>
      </c>
      <c r="D7" s="649">
        <v>46133</v>
      </c>
      <c r="E7" s="96" t="s">
        <v>535</v>
      </c>
      <c r="F7" s="620" t="s">
        <v>317</v>
      </c>
      <c r="G7" s="129">
        <v>52629</v>
      </c>
      <c r="H7" s="133" t="s">
        <v>431</v>
      </c>
      <c r="I7" s="490" t="s">
        <v>369</v>
      </c>
      <c r="J7" s="93">
        <v>2</v>
      </c>
      <c r="K7" s="93">
        <v>0.25</v>
      </c>
      <c r="L7" s="93">
        <v>1</v>
      </c>
      <c r="M7" s="649">
        <v>46125</v>
      </c>
      <c r="N7" s="649">
        <v>46125</v>
      </c>
      <c r="O7" s="93" t="s">
        <v>320</v>
      </c>
      <c r="P7" s="93" t="s">
        <v>320</v>
      </c>
      <c r="Q7" s="93" t="s">
        <v>320</v>
      </c>
      <c r="R7" s="93" t="s">
        <v>320</v>
      </c>
      <c r="S7" s="93" t="s">
        <v>320</v>
      </c>
      <c r="T7" s="93" t="s">
        <v>320</v>
      </c>
      <c r="U7" s="93" t="s">
        <v>320</v>
      </c>
      <c r="V7" s="93" t="s">
        <v>320</v>
      </c>
      <c r="W7" s="93" t="s">
        <v>320</v>
      </c>
      <c r="X7" s="93" t="s">
        <v>320</v>
      </c>
      <c r="Y7" s="93" t="s">
        <v>320</v>
      </c>
      <c r="Z7" s="93" t="s">
        <v>320</v>
      </c>
      <c r="AA7" s="93" t="s">
        <v>320</v>
      </c>
      <c r="AB7" s="93" t="s">
        <v>320</v>
      </c>
      <c r="AC7" s="93" t="s">
        <v>320</v>
      </c>
      <c r="AD7" s="96" t="s">
        <v>544</v>
      </c>
      <c r="AE7" s="490" t="s">
        <v>423</v>
      </c>
      <c r="AF7" s="93"/>
      <c r="AG7" s="93" t="s">
        <v>563</v>
      </c>
      <c r="AH7" s="93"/>
      <c r="AI7" s="93" t="s">
        <v>564</v>
      </c>
      <c r="AJ7" s="96" t="s">
        <v>565</v>
      </c>
      <c r="AK7" s="96" t="s">
        <v>566</v>
      </c>
      <c r="AL7" s="96" t="s">
        <v>567</v>
      </c>
      <c r="AM7" s="96" t="s">
        <v>567</v>
      </c>
      <c r="AN7" s="96" t="s">
        <v>568</v>
      </c>
      <c r="AO7" s="96" t="s">
        <v>569</v>
      </c>
    </row>
    <row r="8" spans="1:41" ht="36">
      <c r="A8" s="93">
        <v>7</v>
      </c>
      <c r="B8" s="117" t="s">
        <v>302</v>
      </c>
      <c r="C8" s="649">
        <v>46120</v>
      </c>
      <c r="D8" s="649">
        <v>46133</v>
      </c>
      <c r="E8" s="119" t="s">
        <v>557</v>
      </c>
      <c r="F8" s="93" t="s">
        <v>313</v>
      </c>
      <c r="G8" s="135" t="s">
        <v>570</v>
      </c>
      <c r="H8" s="96" t="s">
        <v>571</v>
      </c>
      <c r="I8" s="490" t="s">
        <v>376</v>
      </c>
      <c r="J8" s="93">
        <v>0</v>
      </c>
      <c r="K8" s="93">
        <v>1.5</v>
      </c>
      <c r="L8" s="93">
        <v>6</v>
      </c>
      <c r="M8" s="649">
        <v>46121</v>
      </c>
      <c r="N8" s="649">
        <v>46122</v>
      </c>
      <c r="O8" s="93" t="s">
        <v>320</v>
      </c>
      <c r="P8" s="93" t="s">
        <v>320</v>
      </c>
      <c r="Q8" s="93" t="s">
        <v>320</v>
      </c>
      <c r="R8" s="93" t="s">
        <v>320</v>
      </c>
      <c r="S8" s="93" t="s">
        <v>320</v>
      </c>
      <c r="T8" s="93" t="s">
        <v>320</v>
      </c>
      <c r="U8" s="93" t="s">
        <v>320</v>
      </c>
      <c r="V8" s="93" t="s">
        <v>320</v>
      </c>
      <c r="W8" s="93" t="s">
        <v>320</v>
      </c>
      <c r="X8" s="93" t="s">
        <v>320</v>
      </c>
      <c r="Y8" s="93" t="s">
        <v>320</v>
      </c>
      <c r="Z8" s="93" t="s">
        <v>320</v>
      </c>
      <c r="AA8" s="93" t="s">
        <v>320</v>
      </c>
      <c r="AB8" s="93" t="s">
        <v>320</v>
      </c>
      <c r="AC8" s="93" t="s">
        <v>320</v>
      </c>
      <c r="AD8" s="96" t="s">
        <v>572</v>
      </c>
      <c r="AE8" s="490" t="s">
        <v>423</v>
      </c>
      <c r="AF8" s="93"/>
      <c r="AG8" s="96" t="s">
        <v>573</v>
      </c>
      <c r="AH8" s="96" t="s">
        <v>574</v>
      </c>
      <c r="AI8" s="93" t="s">
        <v>575</v>
      </c>
      <c r="AJ8" s="96" t="s">
        <v>576</v>
      </c>
      <c r="AK8" s="96" t="s">
        <v>434</v>
      </c>
      <c r="AL8" s="96" t="s">
        <v>434</v>
      </c>
      <c r="AM8" s="96" t="s">
        <v>434</v>
      </c>
      <c r="AN8" s="96" t="s">
        <v>434</v>
      </c>
      <c r="AO8" s="96"/>
    </row>
    <row r="9" spans="1:41" ht="48">
      <c r="A9" s="93">
        <v>8</v>
      </c>
      <c r="B9" s="117" t="s">
        <v>302</v>
      </c>
      <c r="C9" s="649">
        <v>46120</v>
      </c>
      <c r="D9" s="649">
        <v>46133</v>
      </c>
      <c r="E9" s="96" t="s">
        <v>535</v>
      </c>
      <c r="F9" s="93" t="s">
        <v>315</v>
      </c>
      <c r="G9" s="93" t="s">
        <v>577</v>
      </c>
      <c r="H9" s="670" t="s">
        <v>578</v>
      </c>
      <c r="I9" s="490" t="s">
        <v>579</v>
      </c>
      <c r="J9" s="93">
        <v>2</v>
      </c>
      <c r="K9" s="93">
        <v>1.5</v>
      </c>
      <c r="L9" s="93">
        <v>6</v>
      </c>
      <c r="M9" s="649">
        <v>46121</v>
      </c>
      <c r="N9" s="93" t="s">
        <v>320</v>
      </c>
      <c r="O9" s="93" t="s">
        <v>320</v>
      </c>
      <c r="P9" s="93" t="s">
        <v>320</v>
      </c>
      <c r="Q9" s="93" t="s">
        <v>320</v>
      </c>
      <c r="R9" s="93" t="s">
        <v>320</v>
      </c>
      <c r="S9" s="93" t="s">
        <v>320</v>
      </c>
      <c r="T9" s="93" t="s">
        <v>320</v>
      </c>
      <c r="U9" s="93" t="s">
        <v>320</v>
      </c>
      <c r="V9" s="93" t="s">
        <v>320</v>
      </c>
      <c r="W9" s="93" t="s">
        <v>320</v>
      </c>
      <c r="X9" s="93" t="s">
        <v>320</v>
      </c>
      <c r="Y9" s="93" t="s">
        <v>320</v>
      </c>
      <c r="Z9" s="93" t="s">
        <v>320</v>
      </c>
      <c r="AA9" s="93" t="s">
        <v>320</v>
      </c>
      <c r="AB9" s="93" t="s">
        <v>320</v>
      </c>
      <c r="AC9" s="93" t="s">
        <v>320</v>
      </c>
      <c r="AD9" s="93" t="s">
        <v>544</v>
      </c>
      <c r="AE9" s="490" t="s">
        <v>423</v>
      </c>
      <c r="AG9" s="96" t="s">
        <v>580</v>
      </c>
      <c r="AH9" s="93"/>
      <c r="AI9" s="93" t="s">
        <v>581</v>
      </c>
      <c r="AJ9" s="96" t="s">
        <v>548</v>
      </c>
      <c r="AK9" s="96" t="s">
        <v>548</v>
      </c>
      <c r="AL9" s="96" t="s">
        <v>548</v>
      </c>
      <c r="AM9" s="96" t="s">
        <v>548</v>
      </c>
      <c r="AN9" s="96" t="s">
        <v>548</v>
      </c>
      <c r="AO9" s="96"/>
    </row>
    <row r="10" spans="1:41" ht="48">
      <c r="A10" s="93">
        <v>9</v>
      </c>
      <c r="B10" s="117" t="s">
        <v>302</v>
      </c>
      <c r="C10" s="649">
        <v>46120</v>
      </c>
      <c r="D10" s="649">
        <v>46133</v>
      </c>
      <c r="E10" s="96" t="s">
        <v>557</v>
      </c>
      <c r="F10" s="93" t="s">
        <v>315</v>
      </c>
      <c r="G10" s="93" t="s">
        <v>582</v>
      </c>
      <c r="H10" s="96" t="s">
        <v>583</v>
      </c>
      <c r="I10" s="490" t="s">
        <v>503</v>
      </c>
      <c r="J10" s="93">
        <v>2</v>
      </c>
      <c r="K10" s="93">
        <v>2</v>
      </c>
      <c r="L10" s="93">
        <v>8</v>
      </c>
      <c r="M10" s="93" t="s">
        <v>320</v>
      </c>
      <c r="N10" s="93" t="s">
        <v>320</v>
      </c>
      <c r="O10" s="93" t="s">
        <v>320</v>
      </c>
      <c r="P10" s="93" t="s">
        <v>320</v>
      </c>
      <c r="Q10" s="93" t="s">
        <v>320</v>
      </c>
      <c r="R10" s="93" t="s">
        <v>320</v>
      </c>
      <c r="S10" s="93" t="s">
        <v>320</v>
      </c>
      <c r="T10" s="93" t="s">
        <v>320</v>
      </c>
      <c r="U10" s="93" t="s">
        <v>320</v>
      </c>
      <c r="V10" s="93" t="s">
        <v>320</v>
      </c>
      <c r="W10" s="93" t="s">
        <v>320</v>
      </c>
      <c r="X10" s="93" t="s">
        <v>320</v>
      </c>
      <c r="Y10" s="93" t="s">
        <v>320</v>
      </c>
      <c r="Z10" s="93" t="s">
        <v>320</v>
      </c>
      <c r="AA10" s="93" t="s">
        <v>320</v>
      </c>
      <c r="AB10" s="93" t="s">
        <v>320</v>
      </c>
      <c r="AC10" s="93" t="s">
        <v>320</v>
      </c>
      <c r="AD10" s="93"/>
      <c r="AE10" s="490" t="s">
        <v>423</v>
      </c>
      <c r="AF10" s="93"/>
      <c r="AG10" s="93"/>
      <c r="AH10" s="96" t="s">
        <v>584</v>
      </c>
      <c r="AI10" s="96" t="s">
        <v>585</v>
      </c>
      <c r="AJ10" s="96" t="s">
        <v>586</v>
      </c>
      <c r="AK10" s="96" t="s">
        <v>586</v>
      </c>
      <c r="AL10" s="96" t="s">
        <v>586</v>
      </c>
      <c r="AM10" s="96" t="s">
        <v>586</v>
      </c>
      <c r="AN10" s="96" t="s">
        <v>586</v>
      </c>
      <c r="AO10" s="96" t="s">
        <v>586</v>
      </c>
    </row>
    <row r="11" spans="1:41" ht="36">
      <c r="A11" s="118">
        <v>10</v>
      </c>
      <c r="B11" s="117" t="s">
        <v>302</v>
      </c>
      <c r="C11" s="649">
        <v>46120</v>
      </c>
      <c r="D11" s="649">
        <v>46133</v>
      </c>
      <c r="E11" s="119" t="s">
        <v>557</v>
      </c>
      <c r="F11" s="118" t="s">
        <v>313</v>
      </c>
      <c r="G11" s="118" t="s">
        <v>587</v>
      </c>
      <c r="H11" s="119" t="s">
        <v>588</v>
      </c>
      <c r="I11" s="561" t="s">
        <v>306</v>
      </c>
      <c r="J11" s="118">
        <v>1</v>
      </c>
      <c r="K11" s="118">
        <v>1</v>
      </c>
      <c r="L11" s="118">
        <v>4</v>
      </c>
      <c r="M11" s="93" t="s">
        <v>320</v>
      </c>
      <c r="N11" s="93" t="s">
        <v>320</v>
      </c>
      <c r="O11" s="93" t="s">
        <v>320</v>
      </c>
      <c r="P11" s="93" t="s">
        <v>320</v>
      </c>
      <c r="Q11" s="93" t="s">
        <v>320</v>
      </c>
      <c r="R11" s="93" t="s">
        <v>320</v>
      </c>
      <c r="S11" s="93" t="s">
        <v>320</v>
      </c>
      <c r="T11" s="93" t="s">
        <v>320</v>
      </c>
      <c r="U11" s="93" t="s">
        <v>320</v>
      </c>
      <c r="V11" s="93" t="s">
        <v>320</v>
      </c>
      <c r="W11" s="93" t="s">
        <v>320</v>
      </c>
      <c r="X11" s="93" t="s">
        <v>320</v>
      </c>
      <c r="Y11" s="93" t="s">
        <v>320</v>
      </c>
      <c r="Z11" s="93" t="s">
        <v>320</v>
      </c>
      <c r="AA11" s="93" t="s">
        <v>320</v>
      </c>
      <c r="AB11" s="93" t="s">
        <v>320</v>
      </c>
      <c r="AC11" s="93" t="s">
        <v>320</v>
      </c>
      <c r="AD11" s="118"/>
      <c r="AE11" s="490" t="s">
        <v>423</v>
      </c>
      <c r="AF11" s="118"/>
      <c r="AG11" s="118"/>
      <c r="AH11" s="119" t="s">
        <v>589</v>
      </c>
      <c r="AI11" s="118" t="s">
        <v>590</v>
      </c>
      <c r="AJ11" s="96" t="s">
        <v>586</v>
      </c>
      <c r="AK11" s="96" t="s">
        <v>586</v>
      </c>
      <c r="AL11" s="96" t="s">
        <v>586</v>
      </c>
      <c r="AM11" s="96" t="s">
        <v>586</v>
      </c>
      <c r="AN11" s="96" t="s">
        <v>586</v>
      </c>
      <c r="AO11" s="96" t="s">
        <v>586</v>
      </c>
    </row>
    <row r="12" spans="1:41" ht="36">
      <c r="A12" s="93">
        <v>11</v>
      </c>
      <c r="B12" s="93" t="s">
        <v>302</v>
      </c>
      <c r="C12" s="171">
        <v>46120</v>
      </c>
      <c r="D12" s="171">
        <v>46133</v>
      </c>
      <c r="E12" s="96" t="s">
        <v>557</v>
      </c>
      <c r="F12" s="93" t="s">
        <v>465</v>
      </c>
      <c r="G12" s="93">
        <v>52724</v>
      </c>
      <c r="H12" s="96" t="s">
        <v>466</v>
      </c>
      <c r="I12" s="490" t="s">
        <v>503</v>
      </c>
      <c r="J12" s="93">
        <v>8</v>
      </c>
      <c r="K12" s="118">
        <v>2.25</v>
      </c>
      <c r="L12" s="93">
        <v>9</v>
      </c>
      <c r="M12" s="93" t="s">
        <v>320</v>
      </c>
      <c r="N12" s="93" t="s">
        <v>320</v>
      </c>
      <c r="O12" s="93" t="s">
        <v>320</v>
      </c>
      <c r="P12" s="93" t="s">
        <v>320</v>
      </c>
      <c r="Q12" s="93" t="s">
        <v>320</v>
      </c>
      <c r="R12" s="93" t="s">
        <v>320</v>
      </c>
      <c r="S12" s="93" t="s">
        <v>320</v>
      </c>
      <c r="T12" s="93" t="s">
        <v>320</v>
      </c>
      <c r="U12" s="93" t="s">
        <v>320</v>
      </c>
      <c r="V12" s="93" t="s">
        <v>320</v>
      </c>
      <c r="W12" s="93" t="s">
        <v>320</v>
      </c>
      <c r="X12" s="93" t="s">
        <v>320</v>
      </c>
      <c r="Y12" s="93" t="s">
        <v>320</v>
      </c>
      <c r="Z12" s="93" t="s">
        <v>320</v>
      </c>
      <c r="AA12" s="93" t="s">
        <v>320</v>
      </c>
      <c r="AB12" s="93" t="s">
        <v>320</v>
      </c>
      <c r="AC12" s="93" t="s">
        <v>320</v>
      </c>
      <c r="AD12" s="93"/>
      <c r="AE12" s="490" t="s">
        <v>423</v>
      </c>
      <c r="AF12" s="93"/>
      <c r="AG12" s="93"/>
      <c r="AH12" s="96" t="s">
        <v>591</v>
      </c>
      <c r="AI12" s="96" t="s">
        <v>592</v>
      </c>
      <c r="AJ12" s="119" t="s">
        <v>586</v>
      </c>
      <c r="AK12" s="96" t="s">
        <v>586</v>
      </c>
      <c r="AL12" s="96" t="s">
        <v>586</v>
      </c>
      <c r="AM12" s="96" t="s">
        <v>593</v>
      </c>
      <c r="AN12" s="96" t="s">
        <v>594</v>
      </c>
      <c r="AO12" s="96" t="s">
        <v>586</v>
      </c>
    </row>
    <row r="13" spans="1:41" ht="60">
      <c r="A13" s="118">
        <v>12</v>
      </c>
      <c r="B13" s="118" t="s">
        <v>302</v>
      </c>
      <c r="C13" s="649">
        <v>46120</v>
      </c>
      <c r="D13" s="649">
        <v>46133</v>
      </c>
      <c r="E13" s="119" t="s">
        <v>557</v>
      </c>
      <c r="F13" s="118" t="s">
        <v>595</v>
      </c>
      <c r="G13" s="134">
        <v>52716</v>
      </c>
      <c r="H13" s="119" t="s">
        <v>596</v>
      </c>
      <c r="I13" s="561" t="s">
        <v>306</v>
      </c>
      <c r="J13" s="117">
        <v>5</v>
      </c>
      <c r="K13" s="93">
        <v>4.5</v>
      </c>
      <c r="L13" s="550">
        <v>18</v>
      </c>
      <c r="M13" s="93" t="s">
        <v>320</v>
      </c>
      <c r="N13" s="93" t="s">
        <v>320</v>
      </c>
      <c r="O13" s="93" t="s">
        <v>320</v>
      </c>
      <c r="P13" s="93" t="s">
        <v>320</v>
      </c>
      <c r="Q13" s="93" t="s">
        <v>320</v>
      </c>
      <c r="R13" s="93" t="s">
        <v>320</v>
      </c>
      <c r="S13" s="93" t="s">
        <v>320</v>
      </c>
      <c r="T13" s="93" t="s">
        <v>320</v>
      </c>
      <c r="U13" s="93" t="s">
        <v>320</v>
      </c>
      <c r="V13" s="93" t="s">
        <v>320</v>
      </c>
      <c r="W13" s="93" t="s">
        <v>320</v>
      </c>
      <c r="X13" s="93" t="s">
        <v>320</v>
      </c>
      <c r="Y13" s="93" t="s">
        <v>320</v>
      </c>
      <c r="Z13" s="93" t="s">
        <v>320</v>
      </c>
      <c r="AA13" s="93" t="s">
        <v>320</v>
      </c>
      <c r="AB13" s="93" t="s">
        <v>320</v>
      </c>
      <c r="AC13" s="93" t="s">
        <v>320</v>
      </c>
      <c r="AD13" s="118"/>
      <c r="AE13" s="490" t="s">
        <v>423</v>
      </c>
      <c r="AF13" s="118"/>
      <c r="AG13" s="118"/>
      <c r="AH13" s="118"/>
      <c r="AI13" s="119" t="s">
        <v>597</v>
      </c>
      <c r="AJ13" s="119" t="s">
        <v>598</v>
      </c>
      <c r="AK13" s="119" t="s">
        <v>599</v>
      </c>
      <c r="AL13" s="119" t="s">
        <v>600</v>
      </c>
      <c r="AM13" s="119" t="s">
        <v>434</v>
      </c>
      <c r="AN13" s="119" t="s">
        <v>434</v>
      </c>
      <c r="AO13" s="119" t="s">
        <v>434</v>
      </c>
    </row>
    <row r="14" spans="1:41" ht="72">
      <c r="A14" s="93">
        <v>13</v>
      </c>
      <c r="B14" s="93" t="s">
        <v>302</v>
      </c>
      <c r="C14" s="649">
        <v>46120</v>
      </c>
      <c r="D14" s="649">
        <v>46133</v>
      </c>
      <c r="E14" s="119" t="s">
        <v>557</v>
      </c>
      <c r="F14" s="118" t="s">
        <v>317</v>
      </c>
      <c r="G14" s="134">
        <v>52817</v>
      </c>
      <c r="H14" s="119" t="s">
        <v>601</v>
      </c>
      <c r="I14" s="561" t="s">
        <v>306</v>
      </c>
      <c r="J14" s="117">
        <v>2</v>
      </c>
      <c r="K14" s="93">
        <v>5.62</v>
      </c>
      <c r="L14" s="550">
        <v>22.5</v>
      </c>
      <c r="M14" s="649">
        <v>46121</v>
      </c>
      <c r="N14" s="649">
        <v>46127</v>
      </c>
      <c r="O14" s="93" t="s">
        <v>12</v>
      </c>
      <c r="P14" s="93" t="s">
        <v>313</v>
      </c>
      <c r="Q14" s="96" t="s">
        <v>316</v>
      </c>
      <c r="R14" s="93" t="s">
        <v>313</v>
      </c>
      <c r="S14" s="96" t="s">
        <v>316</v>
      </c>
      <c r="T14" s="170" t="s">
        <v>602</v>
      </c>
      <c r="U14" s="649">
        <v>46128</v>
      </c>
      <c r="V14" s="649">
        <v>46128</v>
      </c>
      <c r="W14" s="96" t="s">
        <v>319</v>
      </c>
      <c r="X14" s="96" t="s">
        <v>316</v>
      </c>
      <c r="Y14" s="96" t="s">
        <v>319</v>
      </c>
      <c r="Z14" s="96" t="s">
        <v>320</v>
      </c>
      <c r="AA14" s="96" t="s">
        <v>316</v>
      </c>
      <c r="AB14" s="96" t="s">
        <v>316</v>
      </c>
      <c r="AC14" s="96" t="s">
        <v>316</v>
      </c>
      <c r="AD14" s="118"/>
      <c r="AE14" s="490" t="s">
        <v>423</v>
      </c>
      <c r="AF14" s="118"/>
      <c r="AG14" s="118"/>
      <c r="AH14" s="118"/>
      <c r="AI14" s="118" t="s">
        <v>603</v>
      </c>
      <c r="AJ14" s="119" t="s">
        <v>604</v>
      </c>
      <c r="AK14" s="119" t="s">
        <v>605</v>
      </c>
      <c r="AL14" s="119" t="s">
        <v>606</v>
      </c>
      <c r="AM14" s="119" t="s">
        <v>607</v>
      </c>
      <c r="AN14" s="100"/>
      <c r="AO14" s="119" t="s">
        <v>608</v>
      </c>
    </row>
    <row r="15" spans="1:41" ht="48">
      <c r="A15" s="93">
        <v>14</v>
      </c>
      <c r="B15" s="620" t="s">
        <v>302</v>
      </c>
      <c r="C15" s="171">
        <v>46120</v>
      </c>
      <c r="D15" s="171">
        <v>46133</v>
      </c>
      <c r="E15" s="96" t="s">
        <v>557</v>
      </c>
      <c r="F15" s="93" t="s">
        <v>304</v>
      </c>
      <c r="G15" s="93">
        <v>27165</v>
      </c>
      <c r="H15" s="96" t="s">
        <v>609</v>
      </c>
      <c r="I15" s="490" t="s">
        <v>376</v>
      </c>
      <c r="J15" s="93">
        <v>0</v>
      </c>
      <c r="K15" s="183">
        <v>0.25</v>
      </c>
      <c r="L15" s="93">
        <v>1</v>
      </c>
      <c r="M15" s="93" t="s">
        <v>320</v>
      </c>
      <c r="N15" s="93" t="s">
        <v>320</v>
      </c>
      <c r="O15" s="93" t="s">
        <v>320</v>
      </c>
      <c r="P15" s="93" t="s">
        <v>320</v>
      </c>
      <c r="Q15" s="93" t="s">
        <v>320</v>
      </c>
      <c r="R15" s="93" t="s">
        <v>320</v>
      </c>
      <c r="S15" s="93" t="s">
        <v>320</v>
      </c>
      <c r="T15" s="93" t="s">
        <v>320</v>
      </c>
      <c r="U15" s="93" t="s">
        <v>320</v>
      </c>
      <c r="V15" s="93" t="s">
        <v>320</v>
      </c>
      <c r="W15" s="93" t="s">
        <v>320</v>
      </c>
      <c r="X15" s="93" t="s">
        <v>320</v>
      </c>
      <c r="Y15" s="93" t="s">
        <v>320</v>
      </c>
      <c r="Z15" s="93" t="s">
        <v>320</v>
      </c>
      <c r="AA15" s="93" t="s">
        <v>320</v>
      </c>
      <c r="AB15" s="93" t="s">
        <v>320</v>
      </c>
      <c r="AC15" s="93" t="s">
        <v>320</v>
      </c>
      <c r="AD15" s="93"/>
      <c r="AE15" s="490" t="s">
        <v>423</v>
      </c>
      <c r="AF15" s="93"/>
      <c r="AG15" s="93"/>
      <c r="AH15" s="93"/>
      <c r="AI15" s="93"/>
      <c r="AJ15" s="96" t="s">
        <v>610</v>
      </c>
      <c r="AK15" s="96" t="s">
        <v>611</v>
      </c>
      <c r="AL15" s="96"/>
      <c r="AM15" s="96" t="s">
        <v>612</v>
      </c>
      <c r="AN15" s="96"/>
      <c r="AO15" s="96"/>
    </row>
    <row r="16" spans="1:41" ht="48">
      <c r="A16">
        <v>15</v>
      </c>
      <c r="B16" s="620" t="s">
        <v>302</v>
      </c>
      <c r="C16" s="171">
        <v>46120</v>
      </c>
      <c r="D16" s="171">
        <v>46133</v>
      </c>
      <c r="E16" s="96" t="s">
        <v>557</v>
      </c>
      <c r="F16" s="93" t="s">
        <v>304</v>
      </c>
      <c r="G16" s="93">
        <v>27187</v>
      </c>
      <c r="H16" s="96" t="s">
        <v>613</v>
      </c>
      <c r="I16" s="490" t="s">
        <v>376</v>
      </c>
      <c r="J16" s="93">
        <v>0</v>
      </c>
      <c r="K16">
        <v>0.375</v>
      </c>
      <c r="L16" s="93">
        <v>1.5</v>
      </c>
      <c r="M16" s="93" t="s">
        <v>320</v>
      </c>
      <c r="N16" s="93" t="s">
        <v>320</v>
      </c>
      <c r="O16" s="93" t="s">
        <v>320</v>
      </c>
      <c r="P16" s="93" t="s">
        <v>320</v>
      </c>
      <c r="Q16" s="93" t="s">
        <v>320</v>
      </c>
      <c r="R16" s="93" t="s">
        <v>320</v>
      </c>
      <c r="S16" s="93" t="s">
        <v>320</v>
      </c>
      <c r="T16" s="93" t="s">
        <v>320</v>
      </c>
      <c r="U16" s="93" t="s">
        <v>320</v>
      </c>
      <c r="V16" s="93" t="s">
        <v>320</v>
      </c>
      <c r="W16" s="93" t="s">
        <v>320</v>
      </c>
      <c r="X16" s="93" t="s">
        <v>320</v>
      </c>
      <c r="Y16" s="93" t="s">
        <v>320</v>
      </c>
      <c r="Z16" s="93" t="s">
        <v>320</v>
      </c>
      <c r="AA16" s="93" t="s">
        <v>320</v>
      </c>
      <c r="AB16" s="93" t="s">
        <v>320</v>
      </c>
      <c r="AC16" s="93" t="s">
        <v>320</v>
      </c>
      <c r="AD16" s="93"/>
      <c r="AE16" s="490" t="s">
        <v>423</v>
      </c>
      <c r="AF16" s="93"/>
      <c r="AG16" s="93"/>
      <c r="AH16" s="93"/>
      <c r="AI16" s="93"/>
      <c r="AJ16" s="96" t="s">
        <v>614</v>
      </c>
      <c r="AK16" s="96" t="s">
        <v>615</v>
      </c>
      <c r="AL16" s="96"/>
      <c r="AM16" s="96"/>
      <c r="AN16" s="96"/>
      <c r="AO16" s="96"/>
    </row>
    <row r="17" spans="1:41" ht="36">
      <c r="A17">
        <v>16</v>
      </c>
      <c r="B17" s="620" t="s">
        <v>302</v>
      </c>
      <c r="C17" s="171">
        <v>46120</v>
      </c>
      <c r="D17" s="171">
        <v>46133</v>
      </c>
      <c r="E17" s="96" t="s">
        <v>557</v>
      </c>
      <c r="F17" s="93" t="s">
        <v>304</v>
      </c>
      <c r="G17" s="93">
        <v>27168</v>
      </c>
      <c r="H17" s="96" t="s">
        <v>616</v>
      </c>
      <c r="I17" s="490" t="s">
        <v>376</v>
      </c>
      <c r="J17" s="93">
        <v>3</v>
      </c>
      <c r="K17" s="93">
        <v>0.43</v>
      </c>
      <c r="L17">
        <v>1.75</v>
      </c>
      <c r="M17" s="93" t="s">
        <v>320</v>
      </c>
      <c r="N17" s="93" t="s">
        <v>320</v>
      </c>
      <c r="O17" s="93" t="s">
        <v>320</v>
      </c>
      <c r="P17" s="93" t="s">
        <v>320</v>
      </c>
      <c r="Q17" s="93" t="s">
        <v>320</v>
      </c>
      <c r="R17" s="93" t="s">
        <v>320</v>
      </c>
      <c r="S17" s="93" t="s">
        <v>320</v>
      </c>
      <c r="T17" s="93" t="s">
        <v>320</v>
      </c>
      <c r="U17" s="93" t="s">
        <v>320</v>
      </c>
      <c r="V17" s="93" t="s">
        <v>320</v>
      </c>
      <c r="W17" s="93" t="s">
        <v>320</v>
      </c>
      <c r="X17" s="93" t="s">
        <v>320</v>
      </c>
      <c r="Y17" s="93" t="s">
        <v>320</v>
      </c>
      <c r="Z17" s="93" t="s">
        <v>320</v>
      </c>
      <c r="AA17" s="93" t="s">
        <v>320</v>
      </c>
      <c r="AB17" s="93" t="s">
        <v>320</v>
      </c>
      <c r="AC17" s="93" t="s">
        <v>320</v>
      </c>
      <c r="AD17" s="93"/>
      <c r="AE17" s="490" t="s">
        <v>423</v>
      </c>
      <c r="AF17" s="93"/>
      <c r="AG17" s="93"/>
      <c r="AH17" s="93"/>
      <c r="AI17" s="93"/>
      <c r="AJ17" s="96" t="s">
        <v>617</v>
      </c>
      <c r="AK17" s="96" t="s">
        <v>615</v>
      </c>
      <c r="AL17" s="96"/>
      <c r="AM17" s="96"/>
      <c r="AN17" s="96"/>
      <c r="AO17" s="96"/>
    </row>
    <row r="18" spans="1:41" ht="48">
      <c r="A18">
        <v>17</v>
      </c>
      <c r="B18" s="620" t="s">
        <v>302</v>
      </c>
      <c r="C18" s="171">
        <v>46120</v>
      </c>
      <c r="D18" s="171">
        <v>46133</v>
      </c>
      <c r="E18" s="96" t="s">
        <v>557</v>
      </c>
      <c r="F18" s="93" t="s">
        <v>304</v>
      </c>
      <c r="G18" s="93">
        <v>27179</v>
      </c>
      <c r="H18" s="96" t="s">
        <v>618</v>
      </c>
      <c r="I18" s="490" t="s">
        <v>376</v>
      </c>
      <c r="J18" s="93">
        <v>0</v>
      </c>
      <c r="K18" s="93">
        <v>0.81</v>
      </c>
      <c r="L18" s="93">
        <v>3.25</v>
      </c>
      <c r="M18" s="93" t="s">
        <v>320</v>
      </c>
      <c r="N18" s="93" t="s">
        <v>320</v>
      </c>
      <c r="O18" s="93" t="s">
        <v>320</v>
      </c>
      <c r="P18" s="93" t="s">
        <v>320</v>
      </c>
      <c r="Q18" s="93" t="s">
        <v>320</v>
      </c>
      <c r="R18" s="93" t="s">
        <v>320</v>
      </c>
      <c r="S18" s="93" t="s">
        <v>320</v>
      </c>
      <c r="T18" s="93" t="s">
        <v>320</v>
      </c>
      <c r="U18" s="93" t="s">
        <v>320</v>
      </c>
      <c r="V18" s="93" t="s">
        <v>320</v>
      </c>
      <c r="W18" s="93" t="s">
        <v>320</v>
      </c>
      <c r="X18" s="93" t="s">
        <v>320</v>
      </c>
      <c r="Y18" s="93" t="s">
        <v>320</v>
      </c>
      <c r="Z18" s="93" t="s">
        <v>320</v>
      </c>
      <c r="AA18" s="93" t="s">
        <v>320</v>
      </c>
      <c r="AB18" s="93" t="s">
        <v>320</v>
      </c>
      <c r="AC18" s="93" t="s">
        <v>320</v>
      </c>
      <c r="AD18" s="93"/>
      <c r="AE18" s="490" t="s">
        <v>423</v>
      </c>
      <c r="AF18" s="93"/>
      <c r="AG18" s="93"/>
      <c r="AH18" s="93"/>
      <c r="AI18" s="93"/>
      <c r="AJ18" s="96" t="s">
        <v>619</v>
      </c>
      <c r="AK18" s="96" t="s">
        <v>620</v>
      </c>
      <c r="AL18" s="96" t="s">
        <v>621</v>
      </c>
      <c r="AM18" s="96" t="s">
        <v>615</v>
      </c>
      <c r="AN18" s="96"/>
      <c r="AO18" s="96"/>
    </row>
    <row r="19" spans="1:41" ht="36">
      <c r="A19">
        <v>18</v>
      </c>
      <c r="B19" s="117" t="s">
        <v>302</v>
      </c>
      <c r="C19" s="649">
        <v>46120</v>
      </c>
      <c r="D19" s="649">
        <v>46133</v>
      </c>
      <c r="E19" s="119" t="s">
        <v>557</v>
      </c>
      <c r="F19" s="118" t="s">
        <v>304</v>
      </c>
      <c r="G19" s="118">
        <v>27169</v>
      </c>
      <c r="H19" s="119" t="s">
        <v>622</v>
      </c>
      <c r="I19" s="561" t="s">
        <v>376</v>
      </c>
      <c r="J19" s="118">
        <v>3</v>
      </c>
      <c r="K19" s="93">
        <v>0.81</v>
      </c>
      <c r="L19" s="118">
        <v>3.25</v>
      </c>
      <c r="M19" s="93" t="s">
        <v>320</v>
      </c>
      <c r="N19" s="93" t="s">
        <v>320</v>
      </c>
      <c r="O19" s="93" t="s">
        <v>320</v>
      </c>
      <c r="P19" s="93" t="s">
        <v>320</v>
      </c>
      <c r="Q19" s="93" t="s">
        <v>320</v>
      </c>
      <c r="R19" s="93" t="s">
        <v>320</v>
      </c>
      <c r="S19" s="93" t="s">
        <v>320</v>
      </c>
      <c r="T19" s="93" t="s">
        <v>320</v>
      </c>
      <c r="U19" s="93" t="s">
        <v>320</v>
      </c>
      <c r="V19" s="93" t="s">
        <v>320</v>
      </c>
      <c r="W19" s="93" t="s">
        <v>320</v>
      </c>
      <c r="X19" s="93" t="s">
        <v>320</v>
      </c>
      <c r="Y19" s="93" t="s">
        <v>320</v>
      </c>
      <c r="Z19" s="93" t="s">
        <v>320</v>
      </c>
      <c r="AA19" s="93" t="s">
        <v>320</v>
      </c>
      <c r="AB19" s="93" t="s">
        <v>320</v>
      </c>
      <c r="AC19" s="93" t="s">
        <v>320</v>
      </c>
      <c r="AD19" s="118"/>
      <c r="AE19" s="490" t="s">
        <v>423</v>
      </c>
      <c r="AF19" s="118"/>
      <c r="AG19" s="118"/>
      <c r="AH19" s="118"/>
      <c r="AI19" s="118"/>
      <c r="AJ19" s="119" t="s">
        <v>623</v>
      </c>
      <c r="AK19" s="119"/>
      <c r="AL19" s="119" t="s">
        <v>615</v>
      </c>
      <c r="AM19" s="119"/>
      <c r="AN19" s="119"/>
      <c r="AO19" s="119"/>
    </row>
    <row r="20" spans="1:41" ht="48">
      <c r="A20" s="93">
        <v>19</v>
      </c>
      <c r="B20" s="93" t="s">
        <v>302</v>
      </c>
      <c r="C20" s="171">
        <v>46120</v>
      </c>
      <c r="D20" s="171">
        <v>46133</v>
      </c>
      <c r="E20" s="96" t="s">
        <v>557</v>
      </c>
      <c r="F20" s="93" t="s">
        <v>304</v>
      </c>
      <c r="G20" s="93">
        <v>27184</v>
      </c>
      <c r="H20" s="96" t="s">
        <v>624</v>
      </c>
      <c r="I20" s="490" t="s">
        <v>376</v>
      </c>
      <c r="J20" s="93">
        <v>0</v>
      </c>
      <c r="K20" s="93">
        <v>0.31</v>
      </c>
      <c r="L20" s="93">
        <v>1.25</v>
      </c>
      <c r="M20" s="93" t="s">
        <v>320</v>
      </c>
      <c r="N20" s="93" t="s">
        <v>320</v>
      </c>
      <c r="O20" s="93" t="s">
        <v>320</v>
      </c>
      <c r="P20" s="93" t="s">
        <v>320</v>
      </c>
      <c r="Q20" s="93" t="s">
        <v>320</v>
      </c>
      <c r="R20" s="93" t="s">
        <v>320</v>
      </c>
      <c r="S20" s="93" t="s">
        <v>320</v>
      </c>
      <c r="T20" s="93" t="s">
        <v>320</v>
      </c>
      <c r="U20" s="93" t="s">
        <v>320</v>
      </c>
      <c r="V20" s="93" t="s">
        <v>320</v>
      </c>
      <c r="W20" s="93" t="s">
        <v>320</v>
      </c>
      <c r="X20" s="93" t="s">
        <v>320</v>
      </c>
      <c r="Y20" s="93" t="s">
        <v>320</v>
      </c>
      <c r="Z20" s="93" t="s">
        <v>320</v>
      </c>
      <c r="AA20" s="93" t="s">
        <v>320</v>
      </c>
      <c r="AB20" s="93" t="s">
        <v>320</v>
      </c>
      <c r="AC20" s="93" t="s">
        <v>320</v>
      </c>
      <c r="AD20" s="93"/>
      <c r="AE20" s="490" t="s">
        <v>423</v>
      </c>
      <c r="AF20" s="93"/>
      <c r="AG20" s="93"/>
      <c r="AH20" s="93"/>
      <c r="AI20" s="93"/>
      <c r="AJ20" s="96" t="s">
        <v>625</v>
      </c>
      <c r="AK20" s="96" t="s">
        <v>615</v>
      </c>
      <c r="AL20" s="96"/>
      <c r="AM20" s="96"/>
      <c r="AN20" s="96"/>
      <c r="AO20" s="96"/>
    </row>
    <row r="21" spans="1:41" ht="84">
      <c r="A21" s="93">
        <v>20</v>
      </c>
      <c r="B21" s="93" t="s">
        <v>302</v>
      </c>
      <c r="C21" s="171">
        <v>46120</v>
      </c>
      <c r="D21" s="171">
        <v>46133</v>
      </c>
      <c r="E21" s="96" t="s">
        <v>557</v>
      </c>
      <c r="F21" s="93" t="s">
        <v>315</v>
      </c>
      <c r="G21" s="93" t="s">
        <v>626</v>
      </c>
      <c r="H21" s="96" t="s">
        <v>627</v>
      </c>
      <c r="I21" s="490" t="s">
        <v>306</v>
      </c>
      <c r="J21" s="93">
        <v>2</v>
      </c>
      <c r="K21" s="93">
        <v>1.5</v>
      </c>
      <c r="L21" s="93">
        <v>6</v>
      </c>
      <c r="M21" s="93" t="s">
        <v>320</v>
      </c>
      <c r="N21" s="93" t="s">
        <v>320</v>
      </c>
      <c r="O21" s="93" t="s">
        <v>320</v>
      </c>
      <c r="P21" s="93" t="s">
        <v>320</v>
      </c>
      <c r="Q21" s="93" t="s">
        <v>320</v>
      </c>
      <c r="R21" s="93" t="s">
        <v>320</v>
      </c>
      <c r="S21" s="93" t="s">
        <v>320</v>
      </c>
      <c r="T21" s="93" t="s">
        <v>320</v>
      </c>
      <c r="U21" s="93" t="s">
        <v>320</v>
      </c>
      <c r="V21" s="93" t="s">
        <v>320</v>
      </c>
      <c r="W21" s="93" t="s">
        <v>320</v>
      </c>
      <c r="X21" s="93" t="s">
        <v>320</v>
      </c>
      <c r="Y21" s="93" t="s">
        <v>320</v>
      </c>
      <c r="Z21" s="93" t="s">
        <v>320</v>
      </c>
      <c r="AA21" s="93" t="s">
        <v>320</v>
      </c>
      <c r="AB21" s="93" t="s">
        <v>320</v>
      </c>
      <c r="AC21" s="93" t="s">
        <v>320</v>
      </c>
      <c r="AD21" s="93"/>
      <c r="AE21" s="490" t="s">
        <v>423</v>
      </c>
      <c r="AF21" s="93"/>
      <c r="AG21" s="93"/>
      <c r="AH21" s="93"/>
      <c r="AI21" s="93"/>
      <c r="AJ21" s="96"/>
      <c r="AK21" s="96" t="s">
        <v>628</v>
      </c>
      <c r="AL21" s="96" t="s">
        <v>629</v>
      </c>
      <c r="AM21" s="96" t="s">
        <v>630</v>
      </c>
      <c r="AN21" s="96" t="s">
        <v>631</v>
      </c>
      <c r="AO21" s="96" t="s">
        <v>631</v>
      </c>
    </row>
    <row r="22" spans="1:41" ht="24">
      <c r="A22" s="93">
        <v>21</v>
      </c>
      <c r="B22" s="93" t="s">
        <v>302</v>
      </c>
      <c r="C22" s="171">
        <v>46120</v>
      </c>
      <c r="D22" s="171">
        <v>46133</v>
      </c>
      <c r="E22" s="96" t="s">
        <v>557</v>
      </c>
      <c r="F22" s="93" t="s">
        <v>304</v>
      </c>
      <c r="G22" s="93">
        <v>27178</v>
      </c>
      <c r="H22" s="93" t="s">
        <v>632</v>
      </c>
      <c r="I22" s="490" t="s">
        <v>376</v>
      </c>
      <c r="J22" s="93">
        <v>3</v>
      </c>
      <c r="K22" s="93">
        <v>0.31</v>
      </c>
      <c r="L22" s="93">
        <v>1.25</v>
      </c>
      <c r="M22" s="93" t="s">
        <v>320</v>
      </c>
      <c r="N22" s="93" t="s">
        <v>320</v>
      </c>
      <c r="O22" s="93" t="s">
        <v>320</v>
      </c>
      <c r="P22" s="93" t="s">
        <v>320</v>
      </c>
      <c r="Q22" s="93" t="s">
        <v>320</v>
      </c>
      <c r="R22" s="93" t="s">
        <v>320</v>
      </c>
      <c r="S22" s="93" t="s">
        <v>320</v>
      </c>
      <c r="T22" s="93" t="s">
        <v>320</v>
      </c>
      <c r="U22" s="93" t="s">
        <v>320</v>
      </c>
      <c r="V22" s="93" t="s">
        <v>320</v>
      </c>
      <c r="W22" s="93" t="s">
        <v>320</v>
      </c>
      <c r="X22" s="93" t="s">
        <v>320</v>
      </c>
      <c r="Y22" s="93" t="s">
        <v>320</v>
      </c>
      <c r="Z22" s="93" t="s">
        <v>320</v>
      </c>
      <c r="AA22" s="93" t="s">
        <v>320</v>
      </c>
      <c r="AB22" s="93" t="s">
        <v>320</v>
      </c>
      <c r="AC22" s="93" t="s">
        <v>320</v>
      </c>
      <c r="AD22" s="93"/>
      <c r="AE22" s="490" t="s">
        <v>423</v>
      </c>
      <c r="AF22" s="93"/>
      <c r="AG22" s="93"/>
      <c r="AH22" s="93"/>
      <c r="AI22" s="93"/>
      <c r="AJ22" s="96"/>
      <c r="AK22" s="96" t="s">
        <v>633</v>
      </c>
      <c r="AL22" s="96" t="s">
        <v>634</v>
      </c>
      <c r="AM22" s="96" t="s">
        <v>615</v>
      </c>
      <c r="AN22" s="96"/>
      <c r="AO22" s="96"/>
    </row>
    <row r="23" spans="1:41" ht="24">
      <c r="A23" s="93">
        <v>22</v>
      </c>
      <c r="B23" s="93" t="s">
        <v>302</v>
      </c>
      <c r="C23" s="171">
        <v>46120</v>
      </c>
      <c r="D23" s="171">
        <v>46133</v>
      </c>
      <c r="E23" s="96" t="s">
        <v>557</v>
      </c>
      <c r="F23" s="93" t="s">
        <v>304</v>
      </c>
      <c r="G23" s="93">
        <v>27185</v>
      </c>
      <c r="H23" s="93" t="s">
        <v>635</v>
      </c>
      <c r="I23" s="490" t="s">
        <v>376</v>
      </c>
      <c r="J23" s="93">
        <v>0</v>
      </c>
      <c r="K23" s="93">
        <v>0.31</v>
      </c>
      <c r="L23" s="93">
        <v>1.25</v>
      </c>
      <c r="M23" s="93" t="s">
        <v>320</v>
      </c>
      <c r="N23" s="93" t="s">
        <v>320</v>
      </c>
      <c r="O23" s="93" t="s">
        <v>320</v>
      </c>
      <c r="P23" s="93" t="s">
        <v>320</v>
      </c>
      <c r="Q23" s="93" t="s">
        <v>320</v>
      </c>
      <c r="R23" s="93" t="s">
        <v>320</v>
      </c>
      <c r="S23" s="93" t="s">
        <v>320</v>
      </c>
      <c r="T23" s="93" t="s">
        <v>320</v>
      </c>
      <c r="U23" s="93" t="s">
        <v>320</v>
      </c>
      <c r="V23" s="93" t="s">
        <v>320</v>
      </c>
      <c r="W23" s="93" t="s">
        <v>320</v>
      </c>
      <c r="X23" s="93" t="s">
        <v>320</v>
      </c>
      <c r="Y23" s="93" t="s">
        <v>320</v>
      </c>
      <c r="Z23" s="93" t="s">
        <v>320</v>
      </c>
      <c r="AA23" s="93" t="s">
        <v>320</v>
      </c>
      <c r="AB23" s="93" t="s">
        <v>320</v>
      </c>
      <c r="AC23" s="93" t="s">
        <v>320</v>
      </c>
      <c r="AD23" s="93"/>
      <c r="AE23" s="490" t="s">
        <v>423</v>
      </c>
      <c r="AF23" s="93"/>
      <c r="AG23" s="93"/>
      <c r="AH23" s="93"/>
      <c r="AI23" s="93"/>
      <c r="AJ23" s="96"/>
      <c r="AK23" s="96" t="s">
        <v>633</v>
      </c>
      <c r="AL23" s="96" t="s">
        <v>636</v>
      </c>
      <c r="AM23" s="96" t="s">
        <v>615</v>
      </c>
      <c r="AN23" s="96"/>
      <c r="AO23" s="96"/>
    </row>
    <row r="24" spans="1:41" ht="24">
      <c r="A24" s="93">
        <v>23</v>
      </c>
      <c r="B24" s="93" t="s">
        <v>302</v>
      </c>
      <c r="C24" s="171">
        <v>46120</v>
      </c>
      <c r="D24" s="171">
        <v>46133</v>
      </c>
      <c r="E24" s="96" t="s">
        <v>557</v>
      </c>
      <c r="F24" s="93" t="s">
        <v>304</v>
      </c>
      <c r="G24" s="93">
        <v>27173</v>
      </c>
      <c r="H24" s="93" t="s">
        <v>637</v>
      </c>
      <c r="I24" s="490" t="s">
        <v>376</v>
      </c>
      <c r="J24" s="93">
        <v>3</v>
      </c>
      <c r="K24" s="93">
        <v>0.31</v>
      </c>
      <c r="L24" s="93">
        <v>1.25</v>
      </c>
      <c r="M24" s="93" t="s">
        <v>320</v>
      </c>
      <c r="N24" s="93" t="s">
        <v>320</v>
      </c>
      <c r="O24" s="93" t="s">
        <v>320</v>
      </c>
      <c r="P24" s="93" t="s">
        <v>320</v>
      </c>
      <c r="Q24" s="93" t="s">
        <v>320</v>
      </c>
      <c r="R24" s="93" t="s">
        <v>320</v>
      </c>
      <c r="S24" s="93" t="s">
        <v>320</v>
      </c>
      <c r="T24" s="93" t="s">
        <v>320</v>
      </c>
      <c r="U24" s="93" t="s">
        <v>320</v>
      </c>
      <c r="V24" s="93" t="s">
        <v>320</v>
      </c>
      <c r="W24" s="93" t="s">
        <v>320</v>
      </c>
      <c r="X24" s="93" t="s">
        <v>320</v>
      </c>
      <c r="Y24" s="93" t="s">
        <v>320</v>
      </c>
      <c r="Z24" s="93" t="s">
        <v>320</v>
      </c>
      <c r="AA24" s="93" t="s">
        <v>320</v>
      </c>
      <c r="AB24" s="93" t="s">
        <v>320</v>
      </c>
      <c r="AC24" s="93" t="s">
        <v>320</v>
      </c>
      <c r="AD24" s="93"/>
      <c r="AE24" s="490" t="s">
        <v>423</v>
      </c>
      <c r="AF24" s="93"/>
      <c r="AG24" s="93"/>
      <c r="AH24" s="93"/>
      <c r="AI24" s="93"/>
      <c r="AJ24" s="96"/>
      <c r="AK24" s="96" t="s">
        <v>638</v>
      </c>
      <c r="AL24" s="96"/>
      <c r="AM24" s="96" t="s">
        <v>615</v>
      </c>
      <c r="AN24" s="96"/>
      <c r="AO24" s="96"/>
    </row>
    <row r="25" spans="1:41" ht="24">
      <c r="A25" s="93">
        <v>24</v>
      </c>
      <c r="B25" s="93" t="s">
        <v>302</v>
      </c>
      <c r="C25" s="171">
        <v>46120</v>
      </c>
      <c r="D25" s="171">
        <v>46133</v>
      </c>
      <c r="E25" s="96" t="s">
        <v>557</v>
      </c>
      <c r="F25" s="93" t="s">
        <v>304</v>
      </c>
      <c r="G25" s="93">
        <v>27198</v>
      </c>
      <c r="H25" s="93" t="s">
        <v>639</v>
      </c>
      <c r="I25" s="490" t="s">
        <v>376</v>
      </c>
      <c r="J25" s="93">
        <v>0</v>
      </c>
      <c r="K25" s="93">
        <v>0.37</v>
      </c>
      <c r="L25" s="93">
        <v>1.5</v>
      </c>
      <c r="M25" s="93" t="s">
        <v>320</v>
      </c>
      <c r="N25" s="93" t="s">
        <v>320</v>
      </c>
      <c r="O25" s="93" t="s">
        <v>320</v>
      </c>
      <c r="P25" s="93" t="s">
        <v>320</v>
      </c>
      <c r="Q25" s="93" t="s">
        <v>320</v>
      </c>
      <c r="R25" s="93" t="s">
        <v>320</v>
      </c>
      <c r="S25" s="93" t="s">
        <v>320</v>
      </c>
      <c r="T25" s="93" t="s">
        <v>320</v>
      </c>
      <c r="U25" s="93" t="s">
        <v>320</v>
      </c>
      <c r="V25" s="93" t="s">
        <v>320</v>
      </c>
      <c r="W25" s="93" t="s">
        <v>320</v>
      </c>
      <c r="X25" s="93" t="s">
        <v>320</v>
      </c>
      <c r="Y25" s="93" t="s">
        <v>320</v>
      </c>
      <c r="Z25" s="93" t="s">
        <v>320</v>
      </c>
      <c r="AA25" s="93" t="s">
        <v>320</v>
      </c>
      <c r="AB25" s="93" t="s">
        <v>320</v>
      </c>
      <c r="AC25" s="93" t="s">
        <v>320</v>
      </c>
      <c r="AD25" s="93"/>
      <c r="AE25" s="490" t="s">
        <v>423</v>
      </c>
      <c r="AF25" s="93"/>
      <c r="AG25" s="93"/>
      <c r="AH25" s="93"/>
      <c r="AI25" s="93"/>
      <c r="AJ25" s="96"/>
      <c r="AK25" s="96" t="s">
        <v>640</v>
      </c>
      <c r="AL25" s="96"/>
      <c r="AM25" s="96" t="s">
        <v>615</v>
      </c>
      <c r="AN25" s="96"/>
      <c r="AO25" s="96"/>
    </row>
    <row r="26" spans="1:41" ht="24">
      <c r="A26" s="93">
        <v>25</v>
      </c>
      <c r="B26" s="93" t="s">
        <v>302</v>
      </c>
      <c r="C26" s="171">
        <v>46120</v>
      </c>
      <c r="D26" s="171">
        <v>46133</v>
      </c>
      <c r="E26" s="96" t="s">
        <v>557</v>
      </c>
      <c r="F26" s="93" t="s">
        <v>304</v>
      </c>
      <c r="G26">
        <v>27196</v>
      </c>
      <c r="H26" t="s">
        <v>641</v>
      </c>
      <c r="I26" s="490" t="s">
        <v>376</v>
      </c>
      <c r="J26" s="93">
        <v>1</v>
      </c>
      <c r="K26" s="93">
        <v>0.25</v>
      </c>
      <c r="L26" s="93">
        <v>1</v>
      </c>
      <c r="M26" s="93" t="s">
        <v>320</v>
      </c>
      <c r="N26" s="93" t="s">
        <v>320</v>
      </c>
      <c r="O26" s="93" t="s">
        <v>320</v>
      </c>
      <c r="P26" s="93" t="s">
        <v>320</v>
      </c>
      <c r="Q26" s="93" t="s">
        <v>320</v>
      </c>
      <c r="R26" s="93" t="s">
        <v>320</v>
      </c>
      <c r="S26" s="93" t="s">
        <v>320</v>
      </c>
      <c r="T26" s="93" t="s">
        <v>320</v>
      </c>
      <c r="U26" s="93" t="s">
        <v>320</v>
      </c>
      <c r="V26" s="93" t="s">
        <v>320</v>
      </c>
      <c r="W26" s="93" t="s">
        <v>320</v>
      </c>
      <c r="X26" s="93" t="s">
        <v>320</v>
      </c>
      <c r="Y26" s="93" t="s">
        <v>320</v>
      </c>
      <c r="Z26" s="93" t="s">
        <v>320</v>
      </c>
      <c r="AA26" s="93" t="s">
        <v>320</v>
      </c>
      <c r="AB26" s="93" t="s">
        <v>320</v>
      </c>
      <c r="AC26" s="93" t="s">
        <v>320</v>
      </c>
      <c r="AD26" s="93"/>
      <c r="AE26" s="490" t="s">
        <v>423</v>
      </c>
      <c r="AF26" s="93"/>
      <c r="AG26" s="93"/>
      <c r="AH26" s="93"/>
      <c r="AI26" s="93"/>
      <c r="AJ26" s="96"/>
      <c r="AK26" s="96"/>
      <c r="AL26" s="96"/>
      <c r="AM26" s="96" t="s">
        <v>615</v>
      </c>
      <c r="AN26" s="96"/>
      <c r="AO26" s="96"/>
    </row>
    <row r="27" spans="1:41" ht="24">
      <c r="A27" s="118">
        <v>26</v>
      </c>
      <c r="B27" s="118" t="s">
        <v>302</v>
      </c>
      <c r="C27" s="649">
        <v>46120</v>
      </c>
      <c r="D27" s="649">
        <v>46133</v>
      </c>
      <c r="E27" s="119" t="s">
        <v>557</v>
      </c>
      <c r="F27" s="118" t="s">
        <v>304</v>
      </c>
      <c r="G27">
        <v>27186</v>
      </c>
      <c r="H27" t="s">
        <v>642</v>
      </c>
      <c r="I27" s="561" t="s">
        <v>376</v>
      </c>
      <c r="J27" s="118">
        <v>0</v>
      </c>
      <c r="K27" s="118">
        <v>0.31</v>
      </c>
      <c r="L27" s="118">
        <v>1.25</v>
      </c>
      <c r="M27" s="93" t="s">
        <v>320</v>
      </c>
      <c r="N27" s="93" t="s">
        <v>320</v>
      </c>
      <c r="O27" s="93" t="s">
        <v>320</v>
      </c>
      <c r="P27" s="93" t="s">
        <v>320</v>
      </c>
      <c r="Q27" s="93" t="s">
        <v>320</v>
      </c>
      <c r="R27" s="93" t="s">
        <v>320</v>
      </c>
      <c r="S27" s="93" t="s">
        <v>320</v>
      </c>
      <c r="T27" s="93" t="s">
        <v>320</v>
      </c>
      <c r="U27" s="93" t="s">
        <v>320</v>
      </c>
      <c r="V27" s="93" t="s">
        <v>320</v>
      </c>
      <c r="W27" s="93" t="s">
        <v>320</v>
      </c>
      <c r="X27" s="93" t="s">
        <v>320</v>
      </c>
      <c r="Y27" s="93" t="s">
        <v>320</v>
      </c>
      <c r="Z27" s="93" t="s">
        <v>320</v>
      </c>
      <c r="AA27" s="93" t="s">
        <v>320</v>
      </c>
      <c r="AB27" s="93" t="s">
        <v>320</v>
      </c>
      <c r="AC27" s="93" t="s">
        <v>320</v>
      </c>
      <c r="AD27" s="118"/>
      <c r="AE27" s="490" t="s">
        <v>423</v>
      </c>
      <c r="AF27" s="118"/>
      <c r="AG27" s="118"/>
      <c r="AH27" s="118"/>
      <c r="AI27" s="118"/>
      <c r="AJ27" s="119"/>
      <c r="AK27" s="119"/>
      <c r="AL27" s="119"/>
      <c r="AM27" s="96" t="s">
        <v>615</v>
      </c>
      <c r="AN27" s="119"/>
      <c r="AO27" s="119"/>
    </row>
    <row r="28" spans="1:41" ht="96">
      <c r="A28" s="93">
        <v>27</v>
      </c>
      <c r="B28" s="93" t="s">
        <v>302</v>
      </c>
      <c r="C28" s="171">
        <v>46120</v>
      </c>
      <c r="D28" s="171">
        <v>46133</v>
      </c>
      <c r="E28" s="96" t="s">
        <v>557</v>
      </c>
      <c r="F28" s="93" t="s">
        <v>643</v>
      </c>
      <c r="G28" s="93" t="s">
        <v>644</v>
      </c>
      <c r="H28" s="93" t="s">
        <v>645</v>
      </c>
      <c r="I28" s="490" t="s">
        <v>376</v>
      </c>
      <c r="J28" s="93">
        <v>0</v>
      </c>
      <c r="K28" s="93">
        <v>1.1200000000000001</v>
      </c>
      <c r="L28" s="93">
        <v>4.5</v>
      </c>
      <c r="M28" s="93" t="s">
        <v>320</v>
      </c>
      <c r="N28" s="93" t="s">
        <v>320</v>
      </c>
      <c r="O28" s="93" t="s">
        <v>320</v>
      </c>
      <c r="P28" s="93" t="s">
        <v>320</v>
      </c>
      <c r="Q28" s="93" t="s">
        <v>320</v>
      </c>
      <c r="R28" s="93" t="s">
        <v>320</v>
      </c>
      <c r="S28" s="93" t="s">
        <v>320</v>
      </c>
      <c r="T28" s="93" t="s">
        <v>320</v>
      </c>
      <c r="U28" s="93" t="s">
        <v>320</v>
      </c>
      <c r="V28" s="93" t="s">
        <v>320</v>
      </c>
      <c r="W28" s="93" t="s">
        <v>320</v>
      </c>
      <c r="X28" s="93" t="s">
        <v>320</v>
      </c>
      <c r="Y28" s="93" t="s">
        <v>320</v>
      </c>
      <c r="Z28" s="93" t="s">
        <v>320</v>
      </c>
      <c r="AA28" s="93" t="s">
        <v>320</v>
      </c>
      <c r="AB28" s="93" t="s">
        <v>320</v>
      </c>
      <c r="AC28" s="93" t="s">
        <v>320</v>
      </c>
      <c r="AD28" s="93"/>
      <c r="AE28" s="490" t="s">
        <v>423</v>
      </c>
      <c r="AF28" s="93"/>
      <c r="AG28" s="93"/>
      <c r="AH28" s="93"/>
      <c r="AI28" s="93"/>
      <c r="AJ28" s="96"/>
      <c r="AK28" s="96"/>
      <c r="AL28" s="96" t="s">
        <v>646</v>
      </c>
      <c r="AM28" s="96" t="s">
        <v>647</v>
      </c>
      <c r="AN28" s="96" t="s">
        <v>648</v>
      </c>
      <c r="AO28" s="96" t="s">
        <v>649</v>
      </c>
    </row>
    <row r="29" spans="1:41" ht="36">
      <c r="A29" s="93">
        <v>28</v>
      </c>
      <c r="B29" s="93" t="s">
        <v>302</v>
      </c>
      <c r="C29" s="171">
        <v>46120</v>
      </c>
      <c r="D29" s="171">
        <v>46133</v>
      </c>
      <c r="E29" s="96" t="s">
        <v>557</v>
      </c>
      <c r="F29" s="93" t="s">
        <v>317</v>
      </c>
      <c r="G29" s="93" t="s">
        <v>346</v>
      </c>
      <c r="H29" s="96" t="s">
        <v>347</v>
      </c>
      <c r="I29" s="490" t="s">
        <v>348</v>
      </c>
      <c r="J29" s="93">
        <v>0</v>
      </c>
      <c r="K29" s="93">
        <v>2.25</v>
      </c>
      <c r="L29" s="93">
        <v>9</v>
      </c>
      <c r="M29" s="93" t="s">
        <v>320</v>
      </c>
      <c r="N29" s="93" t="s">
        <v>320</v>
      </c>
      <c r="O29" s="93" t="s">
        <v>320</v>
      </c>
      <c r="P29" s="93" t="s">
        <v>320</v>
      </c>
      <c r="Q29" s="93" t="s">
        <v>320</v>
      </c>
      <c r="R29" s="93" t="s">
        <v>320</v>
      </c>
      <c r="S29" s="93" t="s">
        <v>320</v>
      </c>
      <c r="T29" s="93" t="s">
        <v>320</v>
      </c>
      <c r="U29" s="93" t="s">
        <v>320</v>
      </c>
      <c r="V29" s="93" t="s">
        <v>320</v>
      </c>
      <c r="W29" s="93" t="s">
        <v>320</v>
      </c>
      <c r="X29" s="93" t="s">
        <v>320</v>
      </c>
      <c r="Y29" s="93" t="s">
        <v>320</v>
      </c>
      <c r="Z29" s="93" t="s">
        <v>320</v>
      </c>
      <c r="AA29" s="93" t="s">
        <v>320</v>
      </c>
      <c r="AB29" s="93" t="s">
        <v>320</v>
      </c>
      <c r="AC29" s="93" t="s">
        <v>320</v>
      </c>
      <c r="AD29" s="93"/>
      <c r="AE29" s="490" t="s">
        <v>423</v>
      </c>
      <c r="AF29" s="93"/>
      <c r="AG29" s="93"/>
      <c r="AH29" s="93"/>
      <c r="AI29" s="93"/>
      <c r="AJ29" s="96"/>
      <c r="AK29" s="96"/>
      <c r="AL29" s="96" t="s">
        <v>650</v>
      </c>
      <c r="AM29" s="96" t="s">
        <v>651</v>
      </c>
      <c r="AN29" s="96" t="s">
        <v>652</v>
      </c>
      <c r="AO29" s="96" t="s">
        <v>653</v>
      </c>
    </row>
    <row r="30" spans="1:41" ht="72">
      <c r="A30" s="93">
        <v>29</v>
      </c>
      <c r="B30" s="93" t="s">
        <v>302</v>
      </c>
      <c r="C30" s="171">
        <v>46120</v>
      </c>
      <c r="D30" s="171">
        <v>46133</v>
      </c>
      <c r="E30" s="96" t="s">
        <v>557</v>
      </c>
      <c r="F30" s="93" t="s">
        <v>313</v>
      </c>
      <c r="G30" s="93" t="s">
        <v>654</v>
      </c>
      <c r="H30" s="96" t="s">
        <v>655</v>
      </c>
      <c r="I30" s="490" t="s">
        <v>376</v>
      </c>
      <c r="J30" s="93">
        <v>0</v>
      </c>
      <c r="K30" s="93">
        <v>3</v>
      </c>
      <c r="L30" s="93">
        <v>12</v>
      </c>
      <c r="M30" s="171">
        <v>46128</v>
      </c>
      <c r="N30" s="171">
        <v>46132</v>
      </c>
      <c r="O30" s="96" t="s">
        <v>12</v>
      </c>
      <c r="P30" s="96" t="s">
        <v>315</v>
      </c>
      <c r="Q30" s="96" t="s">
        <v>316</v>
      </c>
      <c r="R30" s="96" t="s">
        <v>317</v>
      </c>
      <c r="S30" s="96" t="s">
        <v>316</v>
      </c>
      <c r="T30" s="130" t="s">
        <v>656</v>
      </c>
      <c r="U30" s="171">
        <v>46132</v>
      </c>
      <c r="V30" s="171">
        <v>46132</v>
      </c>
      <c r="W30" s="96" t="s">
        <v>319</v>
      </c>
      <c r="X30" s="96" t="s">
        <v>316</v>
      </c>
      <c r="Y30" s="96" t="s">
        <v>319</v>
      </c>
      <c r="Z30" s="96" t="s">
        <v>320</v>
      </c>
      <c r="AA30" s="96" t="s">
        <v>316</v>
      </c>
      <c r="AB30" s="96" t="s">
        <v>316</v>
      </c>
      <c r="AC30" s="96" t="s">
        <v>316</v>
      </c>
      <c r="AD30" s="93"/>
      <c r="AE30" s="490" t="s">
        <v>423</v>
      </c>
      <c r="AF30" s="93"/>
      <c r="AG30" s="93"/>
      <c r="AH30" s="93"/>
      <c r="AI30" s="93"/>
      <c r="AJ30" s="96"/>
      <c r="AK30" s="96"/>
      <c r="AL30" s="96" t="s">
        <v>657</v>
      </c>
      <c r="AM30" s="96" t="s">
        <v>658</v>
      </c>
      <c r="AN30" s="96" t="s">
        <v>659</v>
      </c>
      <c r="AO30" s="96" t="s">
        <v>615</v>
      </c>
    </row>
    <row r="31" spans="1:41" ht="24">
      <c r="A31" s="93">
        <v>30</v>
      </c>
      <c r="B31" s="93" t="s">
        <v>302</v>
      </c>
      <c r="C31" s="171">
        <v>46120</v>
      </c>
      <c r="D31" s="171">
        <v>46133</v>
      </c>
      <c r="E31" s="96" t="s">
        <v>557</v>
      </c>
      <c r="F31" s="93" t="s">
        <v>304</v>
      </c>
      <c r="G31" s="93">
        <v>27164</v>
      </c>
      <c r="H31" s="93" t="s">
        <v>660</v>
      </c>
      <c r="I31" s="490" t="s">
        <v>376</v>
      </c>
      <c r="J31" s="93">
        <v>3</v>
      </c>
      <c r="K31" s="93">
        <v>0.43</v>
      </c>
      <c r="L31" s="93">
        <v>1.75</v>
      </c>
      <c r="M31" s="93" t="s">
        <v>320</v>
      </c>
      <c r="N31" s="93" t="s">
        <v>320</v>
      </c>
      <c r="O31" s="93" t="s">
        <v>320</v>
      </c>
      <c r="P31" s="93" t="s">
        <v>320</v>
      </c>
      <c r="Q31" s="93" t="s">
        <v>320</v>
      </c>
      <c r="R31" s="93" t="s">
        <v>320</v>
      </c>
      <c r="S31" s="93" t="s">
        <v>320</v>
      </c>
      <c r="T31" s="93" t="s">
        <v>320</v>
      </c>
      <c r="U31" s="93" t="s">
        <v>320</v>
      </c>
      <c r="V31" s="93" t="s">
        <v>320</v>
      </c>
      <c r="W31" s="93" t="s">
        <v>320</v>
      </c>
      <c r="X31" s="93" t="s">
        <v>320</v>
      </c>
      <c r="Y31" s="93" t="s">
        <v>320</v>
      </c>
      <c r="Z31" s="93" t="s">
        <v>320</v>
      </c>
      <c r="AA31" s="93" t="s">
        <v>320</v>
      </c>
      <c r="AB31" s="93" t="s">
        <v>320</v>
      </c>
      <c r="AC31" s="93" t="s">
        <v>320</v>
      </c>
      <c r="AD31" s="93"/>
      <c r="AE31" s="490" t="s">
        <v>423</v>
      </c>
      <c r="AF31" s="93"/>
      <c r="AG31" s="93"/>
      <c r="AH31" s="93"/>
      <c r="AI31" s="93"/>
      <c r="AJ31" s="96"/>
      <c r="AK31" s="96"/>
      <c r="AL31" s="96"/>
      <c r="AM31" s="96" t="s">
        <v>615</v>
      </c>
      <c r="AN31" s="96"/>
      <c r="AO31" s="96"/>
    </row>
    <row r="32" spans="1:41" ht="24">
      <c r="A32" s="93">
        <v>31</v>
      </c>
      <c r="B32" s="93" t="s">
        <v>302</v>
      </c>
      <c r="C32" s="171">
        <v>46120</v>
      </c>
      <c r="D32" s="171">
        <v>46133</v>
      </c>
      <c r="E32" s="96" t="s">
        <v>557</v>
      </c>
      <c r="F32" s="93" t="s">
        <v>304</v>
      </c>
      <c r="G32" s="93">
        <v>27175</v>
      </c>
      <c r="H32" s="93" t="s">
        <v>661</v>
      </c>
      <c r="I32" s="490" t="s">
        <v>376</v>
      </c>
      <c r="J32" s="93">
        <v>1</v>
      </c>
      <c r="K32" s="93">
        <v>0.31</v>
      </c>
      <c r="L32" s="93">
        <v>1.25</v>
      </c>
      <c r="M32" s="93" t="s">
        <v>320</v>
      </c>
      <c r="N32" s="93" t="s">
        <v>320</v>
      </c>
      <c r="O32" s="93" t="s">
        <v>320</v>
      </c>
      <c r="P32" s="93" t="s">
        <v>320</v>
      </c>
      <c r="Q32" s="93" t="s">
        <v>320</v>
      </c>
      <c r="R32" s="93" t="s">
        <v>320</v>
      </c>
      <c r="S32" s="93" t="s">
        <v>320</v>
      </c>
      <c r="T32" s="93" t="s">
        <v>320</v>
      </c>
      <c r="U32" s="93" t="s">
        <v>320</v>
      </c>
      <c r="V32" s="93" t="s">
        <v>320</v>
      </c>
      <c r="W32" s="93" t="s">
        <v>320</v>
      </c>
      <c r="X32" s="93" t="s">
        <v>320</v>
      </c>
      <c r="Y32" s="93" t="s">
        <v>320</v>
      </c>
      <c r="Z32" s="93" t="s">
        <v>320</v>
      </c>
      <c r="AA32" s="93" t="s">
        <v>320</v>
      </c>
      <c r="AB32" s="93" t="s">
        <v>320</v>
      </c>
      <c r="AC32" s="93" t="s">
        <v>320</v>
      </c>
      <c r="AD32" s="93"/>
      <c r="AE32" s="490" t="s">
        <v>423</v>
      </c>
      <c r="AF32" s="93"/>
      <c r="AG32" s="93"/>
      <c r="AH32" s="93"/>
      <c r="AI32" s="93"/>
      <c r="AJ32" s="96"/>
      <c r="AK32" s="96"/>
      <c r="AL32" s="96"/>
      <c r="AM32" s="96" t="s">
        <v>615</v>
      </c>
      <c r="AN32" s="96"/>
      <c r="AO32" s="96"/>
    </row>
    <row r="33" spans="1:41" ht="24">
      <c r="A33" s="118">
        <v>32</v>
      </c>
      <c r="B33" s="118" t="s">
        <v>302</v>
      </c>
      <c r="C33" s="649">
        <v>46120</v>
      </c>
      <c r="D33" s="649">
        <v>46133</v>
      </c>
      <c r="E33" s="119" t="s">
        <v>557</v>
      </c>
      <c r="F33" s="118" t="s">
        <v>304</v>
      </c>
      <c r="G33" s="118">
        <v>27210</v>
      </c>
      <c r="H33" s="118" t="s">
        <v>662</v>
      </c>
      <c r="I33" s="561" t="s">
        <v>376</v>
      </c>
      <c r="J33" s="118">
        <v>3</v>
      </c>
      <c r="K33" s="118">
        <v>0.37</v>
      </c>
      <c r="L33" s="118">
        <v>1.5</v>
      </c>
      <c r="M33" s="93" t="s">
        <v>320</v>
      </c>
      <c r="N33" s="93" t="s">
        <v>320</v>
      </c>
      <c r="O33" s="93" t="s">
        <v>320</v>
      </c>
      <c r="P33" s="93" t="s">
        <v>320</v>
      </c>
      <c r="Q33" s="93" t="s">
        <v>320</v>
      </c>
      <c r="R33" s="93" t="s">
        <v>320</v>
      </c>
      <c r="S33" s="93" t="s">
        <v>320</v>
      </c>
      <c r="T33" s="93" t="s">
        <v>320</v>
      </c>
      <c r="U33" s="93" t="s">
        <v>320</v>
      </c>
      <c r="V33" s="93" t="s">
        <v>320</v>
      </c>
      <c r="W33" s="93" t="s">
        <v>320</v>
      </c>
      <c r="X33" s="93" t="s">
        <v>320</v>
      </c>
      <c r="Y33" s="93" t="s">
        <v>320</v>
      </c>
      <c r="Z33" s="93" t="s">
        <v>320</v>
      </c>
      <c r="AA33" s="93" t="s">
        <v>320</v>
      </c>
      <c r="AB33" s="93" t="s">
        <v>320</v>
      </c>
      <c r="AC33" s="93" t="s">
        <v>320</v>
      </c>
      <c r="AD33" s="118"/>
      <c r="AE33" s="490" t="s">
        <v>423</v>
      </c>
      <c r="AF33" s="118"/>
      <c r="AG33" s="118"/>
      <c r="AH33" s="118"/>
      <c r="AI33" s="118"/>
      <c r="AJ33" s="119"/>
      <c r="AK33" s="119"/>
      <c r="AL33" s="119"/>
      <c r="AM33" s="119" t="s">
        <v>615</v>
      </c>
      <c r="AN33" s="119"/>
      <c r="AO33" s="119"/>
    </row>
    <row r="34" spans="1:41" ht="60">
      <c r="A34" s="118">
        <v>33</v>
      </c>
      <c r="B34" s="118" t="s">
        <v>302</v>
      </c>
      <c r="C34" s="649">
        <v>46120</v>
      </c>
      <c r="D34" s="649">
        <v>46133</v>
      </c>
      <c r="E34" s="119" t="s">
        <v>557</v>
      </c>
      <c r="F34" s="118" t="s">
        <v>315</v>
      </c>
      <c r="G34" s="118" t="s">
        <v>663</v>
      </c>
      <c r="H34" s="119" t="s">
        <v>487</v>
      </c>
      <c r="I34" s="561" t="s">
        <v>338</v>
      </c>
      <c r="J34" s="118">
        <v>0</v>
      </c>
      <c r="K34" s="118">
        <v>1.37</v>
      </c>
      <c r="L34" s="118">
        <v>5.5</v>
      </c>
      <c r="M34" s="649">
        <v>46129</v>
      </c>
      <c r="N34" s="649">
        <v>46133</v>
      </c>
      <c r="O34" s="93" t="s">
        <v>320</v>
      </c>
      <c r="P34" s="93" t="s">
        <v>320</v>
      </c>
      <c r="Q34" s="93" t="s">
        <v>320</v>
      </c>
      <c r="R34" s="93" t="s">
        <v>320</v>
      </c>
      <c r="S34" s="93" t="s">
        <v>320</v>
      </c>
      <c r="T34" s="93" t="s">
        <v>320</v>
      </c>
      <c r="U34" s="93" t="s">
        <v>320</v>
      </c>
      <c r="V34" s="93" t="s">
        <v>320</v>
      </c>
      <c r="W34" s="93" t="s">
        <v>320</v>
      </c>
      <c r="X34" s="93" t="s">
        <v>320</v>
      </c>
      <c r="Y34" s="93" t="s">
        <v>320</v>
      </c>
      <c r="Z34" s="93" t="s">
        <v>320</v>
      </c>
      <c r="AA34" s="93" t="s">
        <v>320</v>
      </c>
      <c r="AB34" s="93" t="s">
        <v>320</v>
      </c>
      <c r="AC34" s="93" t="s">
        <v>320</v>
      </c>
      <c r="AD34" s="119" t="s">
        <v>664</v>
      </c>
      <c r="AE34" s="490" t="s">
        <v>423</v>
      </c>
      <c r="AF34" s="118"/>
      <c r="AG34" s="118"/>
      <c r="AH34" s="118"/>
      <c r="AI34" s="118"/>
      <c r="AJ34" s="119"/>
      <c r="AK34" s="119"/>
      <c r="AL34" s="119"/>
      <c r="AM34" s="119" t="s">
        <v>665</v>
      </c>
      <c r="AN34" s="119" t="s">
        <v>666</v>
      </c>
      <c r="AO34" s="119" t="s">
        <v>667</v>
      </c>
    </row>
    <row r="35" spans="1:41" ht="36">
      <c r="A35" s="118">
        <v>34</v>
      </c>
      <c r="B35" s="118" t="s">
        <v>302</v>
      </c>
      <c r="C35" s="649">
        <v>46120</v>
      </c>
      <c r="D35" s="649">
        <v>46133</v>
      </c>
      <c r="E35" s="119" t="s">
        <v>557</v>
      </c>
      <c r="F35" s="118" t="s">
        <v>315</v>
      </c>
      <c r="G35" s="118" t="s">
        <v>477</v>
      </c>
      <c r="H35" s="119" t="s">
        <v>668</v>
      </c>
      <c r="I35" s="561" t="s">
        <v>306</v>
      </c>
      <c r="J35" s="118">
        <v>2</v>
      </c>
      <c r="K35" s="118">
        <v>1</v>
      </c>
      <c r="L35" s="118">
        <v>4</v>
      </c>
      <c r="M35" s="93" t="s">
        <v>320</v>
      </c>
      <c r="N35" s="118" t="s">
        <v>320</v>
      </c>
      <c r="O35" s="118" t="s">
        <v>320</v>
      </c>
      <c r="P35" s="118" t="s">
        <v>320</v>
      </c>
      <c r="Q35" s="118" t="s">
        <v>320</v>
      </c>
      <c r="R35" s="118" t="s">
        <v>320</v>
      </c>
      <c r="S35" s="118" t="s">
        <v>320</v>
      </c>
      <c r="T35" s="118" t="s">
        <v>320</v>
      </c>
      <c r="U35" s="118" t="s">
        <v>320</v>
      </c>
      <c r="V35" s="118" t="s">
        <v>320</v>
      </c>
      <c r="W35" s="118" t="s">
        <v>320</v>
      </c>
      <c r="X35" s="118" t="s">
        <v>320</v>
      </c>
      <c r="Y35" s="118" t="s">
        <v>320</v>
      </c>
      <c r="Z35" s="118" t="s">
        <v>320</v>
      </c>
      <c r="AA35" s="118" t="s">
        <v>320</v>
      </c>
      <c r="AB35" s="118" t="s">
        <v>320</v>
      </c>
      <c r="AC35" s="118" t="s">
        <v>320</v>
      </c>
      <c r="AD35" s="118"/>
      <c r="AE35" s="490" t="s">
        <v>423</v>
      </c>
      <c r="AF35" s="118"/>
      <c r="AG35" s="118"/>
      <c r="AH35" s="118"/>
      <c r="AI35" s="118"/>
      <c r="AJ35" s="119"/>
      <c r="AK35" s="119"/>
      <c r="AL35" s="119"/>
      <c r="AM35" s="119" t="s">
        <v>669</v>
      </c>
      <c r="AN35" s="119"/>
      <c r="AO35" s="119" t="s">
        <v>670</v>
      </c>
    </row>
    <row r="36" spans="1:41" ht="96">
      <c r="A36" s="93">
        <v>35</v>
      </c>
      <c r="B36" s="93" t="s">
        <v>671</v>
      </c>
      <c r="C36" s="171">
        <v>46120</v>
      </c>
      <c r="D36" s="171">
        <v>46133</v>
      </c>
      <c r="E36" s="96" t="s">
        <v>557</v>
      </c>
      <c r="F36" s="93" t="s">
        <v>317</v>
      </c>
      <c r="G36" s="129" t="s">
        <v>355</v>
      </c>
      <c r="H36" s="96" t="s">
        <v>672</v>
      </c>
      <c r="I36" s="93" t="s">
        <v>673</v>
      </c>
      <c r="J36" s="93">
        <v>0</v>
      </c>
      <c r="K36" s="93">
        <v>1.5</v>
      </c>
      <c r="L36" s="93">
        <v>6</v>
      </c>
      <c r="M36" s="93" t="s">
        <v>320</v>
      </c>
      <c r="N36" s="93" t="s">
        <v>320</v>
      </c>
      <c r="O36" s="93" t="s">
        <v>320</v>
      </c>
      <c r="P36" s="93" t="s">
        <v>320</v>
      </c>
      <c r="Q36" s="93" t="s">
        <v>320</v>
      </c>
      <c r="R36" s="93" t="s">
        <v>320</v>
      </c>
      <c r="S36" s="93" t="s">
        <v>320</v>
      </c>
      <c r="T36" s="93" t="s">
        <v>320</v>
      </c>
      <c r="U36" s="93" t="s">
        <v>320</v>
      </c>
      <c r="V36" s="93" t="s">
        <v>320</v>
      </c>
      <c r="W36" s="93" t="s">
        <v>320</v>
      </c>
      <c r="X36" s="93" t="s">
        <v>320</v>
      </c>
      <c r="Y36" s="93" t="s">
        <v>320</v>
      </c>
      <c r="Z36" s="93" t="s">
        <v>320</v>
      </c>
      <c r="AA36" s="93" t="s">
        <v>320</v>
      </c>
      <c r="AB36" s="93" t="s">
        <v>320</v>
      </c>
      <c r="AC36" s="93" t="s">
        <v>320</v>
      </c>
      <c r="AD36" s="93"/>
      <c r="AE36" s="490" t="s">
        <v>423</v>
      </c>
      <c r="AF36" s="93"/>
      <c r="AG36" s="93"/>
      <c r="AH36" s="93"/>
      <c r="AI36" s="93"/>
      <c r="AJ36" s="96"/>
      <c r="AK36" s="96"/>
      <c r="AL36" s="96"/>
      <c r="AM36" s="96"/>
      <c r="AN36" s="96" t="s">
        <v>674</v>
      </c>
      <c r="AO36" s="96" t="s">
        <v>675</v>
      </c>
    </row>
    <row r="37" spans="1:41" ht="24">
      <c r="A37" s="93">
        <v>36</v>
      </c>
      <c r="B37" s="93" t="s">
        <v>671</v>
      </c>
      <c r="C37" s="171">
        <v>46120</v>
      </c>
      <c r="D37" s="171">
        <v>46133</v>
      </c>
      <c r="E37" s="96" t="s">
        <v>557</v>
      </c>
      <c r="F37" s="93" t="s">
        <v>304</v>
      </c>
      <c r="G37" s="93">
        <v>27165</v>
      </c>
      <c r="H37" s="93" t="s">
        <v>676</v>
      </c>
      <c r="I37" s="490" t="s">
        <v>376</v>
      </c>
      <c r="J37" s="93">
        <v>0</v>
      </c>
      <c r="K37" s="93">
        <v>0.31</v>
      </c>
      <c r="L37" s="93">
        <v>1.25</v>
      </c>
      <c r="M37" s="93" t="s">
        <v>320</v>
      </c>
      <c r="N37" s="93" t="s">
        <v>320</v>
      </c>
      <c r="O37" s="93" t="s">
        <v>320</v>
      </c>
      <c r="P37" s="93" t="s">
        <v>320</v>
      </c>
      <c r="Q37" s="93" t="s">
        <v>320</v>
      </c>
      <c r="R37" s="93" t="s">
        <v>320</v>
      </c>
      <c r="S37" s="93" t="s">
        <v>320</v>
      </c>
      <c r="T37" s="93" t="s">
        <v>320</v>
      </c>
      <c r="U37" s="93" t="s">
        <v>320</v>
      </c>
      <c r="V37" s="93" t="s">
        <v>320</v>
      </c>
      <c r="W37" s="93" t="s">
        <v>320</v>
      </c>
      <c r="X37" s="93" t="s">
        <v>320</v>
      </c>
      <c r="Y37" s="93" t="s">
        <v>320</v>
      </c>
      <c r="Z37" s="93" t="s">
        <v>320</v>
      </c>
      <c r="AA37" s="93" t="s">
        <v>320</v>
      </c>
      <c r="AB37" s="93" t="s">
        <v>320</v>
      </c>
      <c r="AC37" s="93" t="s">
        <v>320</v>
      </c>
      <c r="AD37" s="93"/>
      <c r="AE37" s="490" t="s">
        <v>423</v>
      </c>
      <c r="AF37" s="93"/>
      <c r="AG37" s="93"/>
      <c r="AH37" s="93"/>
      <c r="AI37" s="93"/>
      <c r="AJ37" s="96"/>
      <c r="AK37" s="96"/>
      <c r="AL37" s="96"/>
      <c r="AM37" s="96"/>
      <c r="AN37" s="96" t="s">
        <v>615</v>
      </c>
      <c r="AO37" s="96"/>
    </row>
    <row r="38" spans="1:41" ht="24">
      <c r="A38" s="93">
        <v>37</v>
      </c>
      <c r="B38" s="93" t="s">
        <v>671</v>
      </c>
      <c r="C38" s="171">
        <v>46120</v>
      </c>
      <c r="D38" s="171">
        <v>46133</v>
      </c>
      <c r="E38" s="96" t="s">
        <v>557</v>
      </c>
      <c r="F38" s="93" t="s">
        <v>304</v>
      </c>
      <c r="G38" s="93">
        <v>27230</v>
      </c>
      <c r="H38" s="656" t="s">
        <v>677</v>
      </c>
      <c r="I38" s="490" t="s">
        <v>376</v>
      </c>
      <c r="J38" s="93">
        <v>0</v>
      </c>
      <c r="K38" s="93">
        <v>0.31</v>
      </c>
      <c r="L38" s="93">
        <v>1.25</v>
      </c>
      <c r="M38" s="93" t="s">
        <v>320</v>
      </c>
      <c r="N38" s="93" t="s">
        <v>320</v>
      </c>
      <c r="O38" s="93" t="s">
        <v>320</v>
      </c>
      <c r="P38" s="93" t="s">
        <v>320</v>
      </c>
      <c r="Q38" s="93" t="s">
        <v>320</v>
      </c>
      <c r="R38" s="93" t="s">
        <v>320</v>
      </c>
      <c r="S38" s="93" t="s">
        <v>320</v>
      </c>
      <c r="T38" s="93" t="s">
        <v>320</v>
      </c>
      <c r="U38" s="93" t="s">
        <v>320</v>
      </c>
      <c r="V38" s="93" t="s">
        <v>320</v>
      </c>
      <c r="W38" s="93" t="s">
        <v>320</v>
      </c>
      <c r="X38" s="93" t="s">
        <v>320</v>
      </c>
      <c r="Y38" s="93" t="s">
        <v>320</v>
      </c>
      <c r="Z38" s="93" t="s">
        <v>320</v>
      </c>
      <c r="AA38" s="93" t="s">
        <v>320</v>
      </c>
      <c r="AB38" s="93" t="s">
        <v>320</v>
      </c>
      <c r="AC38" s="93" t="s">
        <v>320</v>
      </c>
      <c r="AD38" s="93"/>
      <c r="AE38" s="490" t="s">
        <v>423</v>
      </c>
      <c r="AF38" s="93"/>
      <c r="AG38" s="93"/>
      <c r="AH38" s="93"/>
      <c r="AI38" s="93"/>
      <c r="AJ38" s="96"/>
      <c r="AK38" s="96"/>
      <c r="AL38" s="96"/>
      <c r="AM38" s="96"/>
      <c r="AN38" s="96" t="s">
        <v>615</v>
      </c>
      <c r="AO38" s="96"/>
    </row>
    <row r="39" spans="1:41" ht="24">
      <c r="A39" s="118">
        <v>38</v>
      </c>
      <c r="B39" s="118" t="s">
        <v>671</v>
      </c>
      <c r="C39" s="649">
        <v>46120</v>
      </c>
      <c r="D39" s="649">
        <v>46133</v>
      </c>
      <c r="E39" s="119" t="s">
        <v>557</v>
      </c>
      <c r="F39" s="118" t="s">
        <v>304</v>
      </c>
      <c r="G39" s="118">
        <v>27233</v>
      </c>
      <c r="H39" s="677" t="s">
        <v>678</v>
      </c>
      <c r="I39" s="561" t="s">
        <v>376</v>
      </c>
      <c r="J39" s="118">
        <v>0</v>
      </c>
      <c r="K39" s="118">
        <v>0.5</v>
      </c>
      <c r="L39" s="118">
        <v>2</v>
      </c>
      <c r="M39" s="93" t="s">
        <v>320</v>
      </c>
      <c r="N39" s="93" t="s">
        <v>320</v>
      </c>
      <c r="O39" s="93" t="s">
        <v>320</v>
      </c>
      <c r="P39" s="93" t="s">
        <v>320</v>
      </c>
      <c r="Q39" s="93" t="s">
        <v>320</v>
      </c>
      <c r="R39" s="93" t="s">
        <v>320</v>
      </c>
      <c r="S39" s="93" t="s">
        <v>320</v>
      </c>
      <c r="T39" s="93" t="s">
        <v>320</v>
      </c>
      <c r="U39" s="93" t="s">
        <v>320</v>
      </c>
      <c r="V39" s="93" t="s">
        <v>320</v>
      </c>
      <c r="W39" s="93" t="s">
        <v>320</v>
      </c>
      <c r="X39" s="93" t="s">
        <v>320</v>
      </c>
      <c r="Y39" s="93" t="s">
        <v>320</v>
      </c>
      <c r="Z39" s="93" t="s">
        <v>320</v>
      </c>
      <c r="AA39" s="93" t="s">
        <v>320</v>
      </c>
      <c r="AB39" s="93" t="s">
        <v>320</v>
      </c>
      <c r="AC39" s="93" t="s">
        <v>320</v>
      </c>
      <c r="AD39" s="118"/>
      <c r="AE39" s="490" t="s">
        <v>423</v>
      </c>
      <c r="AF39" s="118"/>
      <c r="AG39" s="118"/>
      <c r="AH39" s="118"/>
      <c r="AI39" s="118"/>
      <c r="AJ39" s="119"/>
      <c r="AK39" s="119"/>
      <c r="AL39" s="119"/>
      <c r="AM39" s="119"/>
      <c r="AN39" s="119" t="s">
        <v>615</v>
      </c>
      <c r="AO39" s="119"/>
    </row>
    <row r="40" spans="1:41" ht="72">
      <c r="A40" s="93">
        <v>39</v>
      </c>
      <c r="B40" s="93" t="s">
        <v>671</v>
      </c>
      <c r="C40" s="171">
        <v>46120</v>
      </c>
      <c r="D40" s="171">
        <v>46133</v>
      </c>
      <c r="E40" s="96" t="s">
        <v>557</v>
      </c>
      <c r="F40" s="93" t="s">
        <v>304</v>
      </c>
      <c r="G40" s="93">
        <v>27232</v>
      </c>
      <c r="H40" s="676" t="s">
        <v>679</v>
      </c>
      <c r="I40" s="490" t="s">
        <v>348</v>
      </c>
      <c r="J40" s="93">
        <v>1</v>
      </c>
      <c r="K40" s="93">
        <v>0.37</v>
      </c>
      <c r="L40" s="93">
        <v>1.5</v>
      </c>
      <c r="M40" s="93" t="s">
        <v>320</v>
      </c>
      <c r="N40" s="93" t="s">
        <v>320</v>
      </c>
      <c r="O40" s="93" t="s">
        <v>320</v>
      </c>
      <c r="P40" s="93" t="s">
        <v>320</v>
      </c>
      <c r="Q40" s="93" t="s">
        <v>320</v>
      </c>
      <c r="R40" s="93" t="s">
        <v>320</v>
      </c>
      <c r="S40" s="93" t="s">
        <v>320</v>
      </c>
      <c r="T40" s="93" t="s">
        <v>320</v>
      </c>
      <c r="U40" s="93" t="s">
        <v>320</v>
      </c>
      <c r="V40" s="93" t="s">
        <v>320</v>
      </c>
      <c r="W40" s="93" t="s">
        <v>320</v>
      </c>
      <c r="X40" s="93" t="s">
        <v>320</v>
      </c>
      <c r="Y40" s="93" t="s">
        <v>320</v>
      </c>
      <c r="Z40" s="93" t="s">
        <v>320</v>
      </c>
      <c r="AA40" s="93" t="s">
        <v>320</v>
      </c>
      <c r="AB40" s="93" t="s">
        <v>320</v>
      </c>
      <c r="AC40" s="93" t="s">
        <v>320</v>
      </c>
      <c r="AD40" s="93"/>
      <c r="AE40" s="490" t="s">
        <v>423</v>
      </c>
      <c r="AF40" s="93"/>
      <c r="AG40" s="93"/>
      <c r="AH40" s="93"/>
      <c r="AI40" s="93"/>
      <c r="AJ40" s="96"/>
      <c r="AK40" s="96"/>
      <c r="AL40" s="96"/>
      <c r="AM40" s="96"/>
      <c r="AN40" s="96" t="s">
        <v>680</v>
      </c>
      <c r="AO40" s="96" t="s">
        <v>681</v>
      </c>
    </row>
    <row r="41" spans="1:41" ht="48">
      <c r="A41" s="118">
        <v>40</v>
      </c>
      <c r="B41" s="118" t="s">
        <v>302</v>
      </c>
      <c r="C41" s="649">
        <v>46120</v>
      </c>
      <c r="D41" s="649">
        <v>46133</v>
      </c>
      <c r="E41" s="119" t="s">
        <v>557</v>
      </c>
      <c r="F41" s="118" t="s">
        <v>315</v>
      </c>
      <c r="G41" s="118" t="s">
        <v>682</v>
      </c>
      <c r="H41" s="119" t="s">
        <v>683</v>
      </c>
      <c r="I41" s="561" t="s">
        <v>376</v>
      </c>
      <c r="J41" s="118">
        <v>0</v>
      </c>
      <c r="K41" s="118">
        <v>2.25</v>
      </c>
      <c r="L41" s="118">
        <v>9</v>
      </c>
      <c r="M41" s="93" t="s">
        <v>320</v>
      </c>
      <c r="N41" s="93" t="s">
        <v>320</v>
      </c>
      <c r="O41" s="93" t="s">
        <v>320</v>
      </c>
      <c r="P41" s="93" t="s">
        <v>320</v>
      </c>
      <c r="Q41" s="93" t="s">
        <v>320</v>
      </c>
      <c r="R41" s="93" t="s">
        <v>320</v>
      </c>
      <c r="S41" s="93" t="s">
        <v>320</v>
      </c>
      <c r="T41" s="93" t="s">
        <v>320</v>
      </c>
      <c r="U41" s="93" t="s">
        <v>320</v>
      </c>
      <c r="V41" s="93" t="s">
        <v>320</v>
      </c>
      <c r="W41" s="93" t="s">
        <v>320</v>
      </c>
      <c r="X41" s="93" t="s">
        <v>320</v>
      </c>
      <c r="Y41" s="93" t="s">
        <v>320</v>
      </c>
      <c r="Z41" s="93" t="s">
        <v>320</v>
      </c>
      <c r="AA41" s="93" t="s">
        <v>320</v>
      </c>
      <c r="AB41" s="93" t="s">
        <v>320</v>
      </c>
      <c r="AC41" s="93" t="s">
        <v>320</v>
      </c>
      <c r="AD41" s="119" t="s">
        <v>684</v>
      </c>
      <c r="AE41" s="490" t="s">
        <v>423</v>
      </c>
      <c r="AF41" s="118"/>
      <c r="AG41" s="118"/>
      <c r="AH41" s="118"/>
      <c r="AI41" s="118"/>
      <c r="AJ41" s="96"/>
      <c r="AK41" s="96"/>
      <c r="AL41" s="96"/>
      <c r="AM41" s="96"/>
      <c r="AN41" s="96" t="s">
        <v>685</v>
      </c>
      <c r="AO41" s="96"/>
    </row>
    <row r="42" spans="1:41" ht="24">
      <c r="A42" s="93">
        <v>41</v>
      </c>
      <c r="B42" s="93" t="s">
        <v>302</v>
      </c>
      <c r="C42" s="171">
        <v>46120</v>
      </c>
      <c r="D42" s="171">
        <v>46133</v>
      </c>
      <c r="E42" s="96" t="s">
        <v>557</v>
      </c>
      <c r="F42" s="93" t="s">
        <v>304</v>
      </c>
      <c r="G42" s="93">
        <v>27253</v>
      </c>
      <c r="H42" s="93" t="s">
        <v>686</v>
      </c>
      <c r="I42" s="490" t="s">
        <v>376</v>
      </c>
      <c r="J42" s="93">
        <v>1</v>
      </c>
      <c r="K42" s="93">
        <v>0.5</v>
      </c>
      <c r="L42" s="93">
        <v>2</v>
      </c>
      <c r="M42" s="93" t="s">
        <v>320</v>
      </c>
      <c r="N42" s="93" t="s">
        <v>320</v>
      </c>
      <c r="O42" s="93" t="s">
        <v>320</v>
      </c>
      <c r="P42" s="93" t="s">
        <v>320</v>
      </c>
      <c r="Q42" s="93" t="s">
        <v>320</v>
      </c>
      <c r="R42" s="93" t="s">
        <v>320</v>
      </c>
      <c r="S42" s="93" t="s">
        <v>320</v>
      </c>
      <c r="T42" s="93" t="s">
        <v>320</v>
      </c>
      <c r="U42" s="93" t="s">
        <v>320</v>
      </c>
      <c r="V42" s="93" t="s">
        <v>320</v>
      </c>
      <c r="W42" s="93" t="s">
        <v>320</v>
      </c>
      <c r="X42" s="93" t="s">
        <v>320</v>
      </c>
      <c r="Y42" s="93" t="s">
        <v>320</v>
      </c>
      <c r="Z42" s="93" t="s">
        <v>320</v>
      </c>
      <c r="AA42" s="93" t="s">
        <v>320</v>
      </c>
      <c r="AB42" s="93" t="s">
        <v>320</v>
      </c>
      <c r="AC42" s="93" t="s">
        <v>320</v>
      </c>
      <c r="AD42" s="93"/>
      <c r="AE42" s="490" t="s">
        <v>423</v>
      </c>
      <c r="AF42" s="93"/>
      <c r="AG42" s="93"/>
      <c r="AH42" s="93"/>
      <c r="AI42" s="93"/>
      <c r="AJ42" s="133"/>
      <c r="AK42" s="96"/>
      <c r="AL42" s="96"/>
      <c r="AM42" s="96"/>
      <c r="AN42" s="96"/>
      <c r="AO42" s="96" t="s">
        <v>615</v>
      </c>
    </row>
    <row r="43" spans="1:41">
      <c r="C43" s="679"/>
      <c r="D43" s="679"/>
      <c r="E43" s="100"/>
    </row>
  </sheetData>
  <conditionalFormatting sqref="J1 I15:I20">
    <cfRule type="containsText" dxfId="989" priority="58" operator="containsText" text="Closed">
      <formula>NOT(ISERROR(SEARCH("Closed",I1)))</formula>
    </cfRule>
    <cfRule type="containsText" dxfId="988" priority="59" operator="containsText" text="Open">
      <formula>NOT(ISERROR(SEARCH("Open",I1)))</formula>
    </cfRule>
    <cfRule type="containsText" dxfId="987" priority="60" operator="containsText" text="Inprogress">
      <formula>NOT(ISERROR(SEARCH("Inprogress",I1)))</formula>
    </cfRule>
  </conditionalFormatting>
  <conditionalFormatting sqref="I2">
    <cfRule type="containsText" dxfId="986" priority="55" operator="containsText" text="Closed">
      <formula>NOT(ISERROR(SEARCH("Closed",I2)))</formula>
    </cfRule>
    <cfRule type="containsText" dxfId="985" priority="56" operator="containsText" text="Open">
      <formula>NOT(ISERROR(SEARCH("Open",I2)))</formula>
    </cfRule>
    <cfRule type="containsText" dxfId="984" priority="57" operator="containsText" text="Inprogress">
      <formula>NOT(ISERROR(SEARCH("Inprogress",I2)))</formula>
    </cfRule>
  </conditionalFormatting>
  <conditionalFormatting sqref="I3">
    <cfRule type="containsText" dxfId="983" priority="52" operator="containsText" text="Closed">
      <formula>NOT(ISERROR(SEARCH("Closed",I3)))</formula>
    </cfRule>
    <cfRule type="containsText" dxfId="982" priority="53" operator="containsText" text="Open">
      <formula>NOT(ISERROR(SEARCH("Open",I3)))</formula>
    </cfRule>
    <cfRule type="containsText" dxfId="981" priority="54" operator="containsText" text="Inprogress">
      <formula>NOT(ISERROR(SEARCH("Inprogress",I3)))</formula>
    </cfRule>
  </conditionalFormatting>
  <conditionalFormatting sqref="I4">
    <cfRule type="containsText" dxfId="980" priority="49" operator="containsText" text="Closed">
      <formula>NOT(ISERROR(SEARCH("Closed",I4)))</formula>
    </cfRule>
    <cfRule type="containsText" dxfId="979" priority="50" operator="containsText" text="Open">
      <formula>NOT(ISERROR(SEARCH("Open",I4)))</formula>
    </cfRule>
    <cfRule type="containsText" dxfId="978" priority="51" operator="containsText" text="Inprogress">
      <formula>NOT(ISERROR(SEARCH("Inprogress",I4)))</formula>
    </cfRule>
  </conditionalFormatting>
  <conditionalFormatting sqref="I5:I7">
    <cfRule type="containsText" dxfId="977" priority="46" operator="containsText" text="Closed">
      <formula>NOT(ISERROR(SEARCH("Closed",I5)))</formula>
    </cfRule>
    <cfRule type="containsText" dxfId="976" priority="47" operator="containsText" text="Open">
      <formula>NOT(ISERROR(SEARCH("Open",I5)))</formula>
    </cfRule>
    <cfRule type="containsText" dxfId="975" priority="48" operator="containsText" text="Inprogress">
      <formula>NOT(ISERROR(SEARCH("Inprogress",I5)))</formula>
    </cfRule>
  </conditionalFormatting>
  <conditionalFormatting sqref="I9">
    <cfRule type="containsText" dxfId="974" priority="43" operator="containsText" text="Closed">
      <formula>NOT(ISERROR(SEARCH("Closed",I9)))</formula>
    </cfRule>
    <cfRule type="containsText" dxfId="973" priority="44" operator="containsText" text="Open">
      <formula>NOT(ISERROR(SEARCH("Open",I9)))</formula>
    </cfRule>
    <cfRule type="containsText" dxfId="972" priority="45" operator="containsText" text="Inprogress">
      <formula>NOT(ISERROR(SEARCH("Inprogress",I9)))</formula>
    </cfRule>
  </conditionalFormatting>
  <conditionalFormatting sqref="I8">
    <cfRule type="containsText" dxfId="971" priority="40" operator="containsText" text="Closed">
      <formula>NOT(ISERROR(SEARCH("Closed",I8)))</formula>
    </cfRule>
    <cfRule type="containsText" dxfId="970" priority="41" operator="containsText" text="Open">
      <formula>NOT(ISERROR(SEARCH("Open",I8)))</formula>
    </cfRule>
    <cfRule type="containsText" dxfId="969" priority="42" operator="containsText" text="Inprogress">
      <formula>NOT(ISERROR(SEARCH("Inprogress",I8)))</formula>
    </cfRule>
  </conditionalFormatting>
  <conditionalFormatting sqref="I10:I14">
    <cfRule type="containsText" dxfId="968" priority="37" operator="containsText" text="Closed">
      <formula>NOT(ISERROR(SEARCH("Closed",I10)))</formula>
    </cfRule>
    <cfRule type="containsText" dxfId="967" priority="38" operator="containsText" text="Open">
      <formula>NOT(ISERROR(SEARCH("Open",I10)))</formula>
    </cfRule>
    <cfRule type="containsText" dxfId="966" priority="39" operator="containsText" text="Inprogress">
      <formula>NOT(ISERROR(SEARCH("Inprogress",I10)))</formula>
    </cfRule>
  </conditionalFormatting>
  <conditionalFormatting sqref="I21">
    <cfRule type="containsText" dxfId="965" priority="31" operator="containsText" text="Closed">
      <formula>NOT(ISERROR(SEARCH("Closed",I21)))</formula>
    </cfRule>
    <cfRule type="containsText" dxfId="964" priority="32" operator="containsText" text="Open">
      <formula>NOT(ISERROR(SEARCH("Open",I21)))</formula>
    </cfRule>
    <cfRule type="containsText" dxfId="963" priority="33" operator="containsText" text="Inprogress">
      <formula>NOT(ISERROR(SEARCH("Inprogress",I21)))</formula>
    </cfRule>
  </conditionalFormatting>
  <conditionalFormatting sqref="I22">
    <cfRule type="containsText" dxfId="962" priority="28" operator="containsText" text="Closed">
      <formula>NOT(ISERROR(SEARCH("Closed",I22)))</formula>
    </cfRule>
    <cfRule type="containsText" dxfId="961" priority="29" operator="containsText" text="Open">
      <formula>NOT(ISERROR(SEARCH("Open",I22)))</formula>
    </cfRule>
    <cfRule type="containsText" dxfId="960" priority="30" operator="containsText" text="Inprogress">
      <formula>NOT(ISERROR(SEARCH("Inprogress",I22)))</formula>
    </cfRule>
  </conditionalFormatting>
  <conditionalFormatting sqref="I23:I24">
    <cfRule type="containsText" dxfId="959" priority="25" operator="containsText" text="Closed">
      <formula>NOT(ISERROR(SEARCH("Closed",I23)))</formula>
    </cfRule>
    <cfRule type="containsText" dxfId="958" priority="26" operator="containsText" text="Open">
      <formula>NOT(ISERROR(SEARCH("Open",I23)))</formula>
    </cfRule>
    <cfRule type="containsText" dxfId="957" priority="27" operator="containsText" text="Inprogress">
      <formula>NOT(ISERROR(SEARCH("Inprogress",I23)))</formula>
    </cfRule>
  </conditionalFormatting>
  <conditionalFormatting sqref="I25:I29">
    <cfRule type="containsText" dxfId="956" priority="22" operator="containsText" text="Closed">
      <formula>NOT(ISERROR(SEARCH("Closed",I25)))</formula>
    </cfRule>
    <cfRule type="containsText" dxfId="955" priority="23" operator="containsText" text="Open">
      <formula>NOT(ISERROR(SEARCH("Open",I25)))</formula>
    </cfRule>
    <cfRule type="containsText" dxfId="954" priority="24" operator="containsText" text="Inprogress">
      <formula>NOT(ISERROR(SEARCH("Inprogress",I25)))</formula>
    </cfRule>
  </conditionalFormatting>
  <conditionalFormatting sqref="I30">
    <cfRule type="containsText" dxfId="953" priority="19" operator="containsText" text="Closed">
      <formula>NOT(ISERROR(SEARCH("Closed",I30)))</formula>
    </cfRule>
    <cfRule type="containsText" dxfId="952" priority="20" operator="containsText" text="Open">
      <formula>NOT(ISERROR(SEARCH("Open",I30)))</formula>
    </cfRule>
    <cfRule type="containsText" dxfId="951" priority="21" operator="containsText" text="Inprogress">
      <formula>NOT(ISERROR(SEARCH("Inprogress",I30)))</formula>
    </cfRule>
  </conditionalFormatting>
  <conditionalFormatting sqref="I31">
    <cfRule type="containsText" dxfId="950" priority="16" operator="containsText" text="Closed">
      <formula>NOT(ISERROR(SEARCH("Closed",I31)))</formula>
    </cfRule>
    <cfRule type="containsText" dxfId="949" priority="17" operator="containsText" text="Open">
      <formula>NOT(ISERROR(SEARCH("Open",I31)))</formula>
    </cfRule>
    <cfRule type="containsText" dxfId="948" priority="18" operator="containsText" text="Inprogress">
      <formula>NOT(ISERROR(SEARCH("Inprogress",I31)))</formula>
    </cfRule>
  </conditionalFormatting>
  <conditionalFormatting sqref="I32">
    <cfRule type="containsText" dxfId="947" priority="13" operator="containsText" text="Closed">
      <formula>NOT(ISERROR(SEARCH("Closed",I32)))</formula>
    </cfRule>
    <cfRule type="containsText" dxfId="946" priority="14" operator="containsText" text="Open">
      <formula>NOT(ISERROR(SEARCH("Open",I32)))</formula>
    </cfRule>
    <cfRule type="containsText" dxfId="945" priority="15" operator="containsText" text="Inprogress">
      <formula>NOT(ISERROR(SEARCH("Inprogress",I32)))</formula>
    </cfRule>
  </conditionalFormatting>
  <conditionalFormatting sqref="I33">
    <cfRule type="containsText" dxfId="944" priority="10" operator="containsText" text="Closed">
      <formula>NOT(ISERROR(SEARCH("Closed",I33)))</formula>
    </cfRule>
    <cfRule type="containsText" dxfId="943" priority="11" operator="containsText" text="Open">
      <formula>NOT(ISERROR(SEARCH("Open",I33)))</formula>
    </cfRule>
    <cfRule type="containsText" dxfId="942" priority="12" operator="containsText" text="Inprogress">
      <formula>NOT(ISERROR(SEARCH("Inprogress",I33)))</formula>
    </cfRule>
  </conditionalFormatting>
  <conditionalFormatting sqref="I34">
    <cfRule type="containsText" dxfId="941" priority="7" operator="containsText" text="Closed">
      <formula>NOT(ISERROR(SEARCH("Closed",I34)))</formula>
    </cfRule>
    <cfRule type="containsText" dxfId="940" priority="8" operator="containsText" text="Open">
      <formula>NOT(ISERROR(SEARCH("Open",I34)))</formula>
    </cfRule>
    <cfRule type="containsText" dxfId="939" priority="9" operator="containsText" text="Inprogress">
      <formula>NOT(ISERROR(SEARCH("Inprogress",I34)))</formula>
    </cfRule>
  </conditionalFormatting>
  <conditionalFormatting sqref="I35">
    <cfRule type="containsText" dxfId="938" priority="4" operator="containsText" text="Closed">
      <formula>NOT(ISERROR(SEARCH("Closed",I35)))</formula>
    </cfRule>
    <cfRule type="containsText" dxfId="937" priority="5" operator="containsText" text="Open">
      <formula>NOT(ISERROR(SEARCH("Open",I35)))</formula>
    </cfRule>
    <cfRule type="containsText" dxfId="936" priority="6" operator="containsText" text="Inprogress">
      <formula>NOT(ISERROR(SEARCH("Inprogress",I35)))</formula>
    </cfRule>
  </conditionalFormatting>
  <conditionalFormatting sqref="I37:I42">
    <cfRule type="containsText" dxfId="935" priority="1" operator="containsText" text="Closed">
      <formula>NOT(ISERROR(SEARCH("Closed",I37)))</formula>
    </cfRule>
    <cfRule type="containsText" dxfId="934" priority="2" operator="containsText" text="Open">
      <formula>NOT(ISERROR(SEARCH("Open",I37)))</formula>
    </cfRule>
    <cfRule type="containsText" dxfId="933" priority="3" operator="containsText" text="Inprogress">
      <formula>NOT(ISERROR(SEARCH("Inprogress",I37)))</formula>
    </cfRule>
  </conditionalFormatting>
  <dataValidations count="11">
    <dataValidation type="list" allowBlank="1" showErrorMessage="1" sqref="J1" xr:uid="{BD32FDE6-A705-43F2-B97E-7C364C3DAC3E}">
      <formula1>"Open,Inprogress,Closed"</formula1>
    </dataValidation>
    <dataValidation showErrorMessage="1" sqref="I1" xr:uid="{0363EFC9-8F97-46BB-A7DE-00F2D03C0CA5}"/>
    <dataValidation allowBlank="1" showInputMessage="1" showErrorMessage="1" sqref="AD1:AE1" xr:uid="{B3C12EE3-B2B3-4CC9-BDEC-CAB98AAD1CFC}"/>
    <dataValidation type="list" showErrorMessage="1" sqref="Y1:Z1 W1 O1" xr:uid="{CAE4B4D1-55DC-4265-AEF3-A333D74BE048}">
      <formula1>"Open,Inprogress,Completed,TBD,NA"</formula1>
    </dataValidation>
    <dataValidation type="list" showErrorMessage="1" sqref="S1:T1 X1 AA1" xr:uid="{7053CADF-9FF8-445E-83FE-18FD8597863A}">
      <formula1>"No issues found,Issues observed(BacktoDev),DB Script tests in QA DB,NA,TBD"</formula1>
    </dataValidation>
    <dataValidation type="list" showErrorMessage="1" sqref="AB1" xr:uid="{123ED9E9-3CEB-4711-AE33-B0AD4BE628B9}">
      <formula1>"Approved-Satisified AC,Not Approved(Back to Dev),NA,TBD"</formula1>
    </dataValidation>
    <dataValidation type="list" showErrorMessage="1" sqref="AC1" xr:uid="{E4C2CA36-018F-4B86-9CCC-3F208331FE92}">
      <formula1>"Pending-Waiting for Customer confirmation, Approved-Satisified AC,Not Approved-New minor changes requested(Back to Dev),NA,TBD"</formula1>
    </dataValidation>
    <dataValidation type="list" showErrorMessage="1" sqref="Q1" xr:uid="{CC968EDE-A32D-4634-B7C0-BE2D818F2E13}">
      <formula1>"Pass,Fail(BacktoDev),DB Script tests in QA DB,TBD"</formula1>
    </dataValidation>
    <dataValidation type="list" showErrorMessage="1" sqref="R1" xr:uid="{90E3E449-CFDD-4042-AEA2-82005253AFAA}">
      <formula1>"Qadir,Rijo,Karthik,None,TBD"</formula1>
    </dataValidation>
    <dataValidation type="list" showErrorMessage="1" sqref="P1" xr:uid="{C7D34D3F-8ABC-4C99-9BD1-4A0A7D6E76D9}">
      <formula1>"Qadir,Rijo,Karthik,Sushmitha,None,TBD"</formula1>
    </dataValidation>
    <dataValidation type="list" allowBlank="1" showInputMessage="1" showErrorMessage="1" sqref="AE2:AE42" xr:uid="{C4949759-E639-4B8A-9A7C-432D6C002243}">
      <formula1>"Exceeds Expectation,Meets Expectation,Needs improvements"</formula1>
    </dataValidation>
  </dataValidations>
  <hyperlinks>
    <hyperlink ref="G26" r:id="rId1" display="27196" xr:uid="{7757A16A-425B-4432-BD3B-4B12D641BD60}"/>
    <hyperlink ref="G42" r:id="rId2" display="27253" xr:uid="{D901B135-AC56-42D5-A9E5-2DDE63E0CB48}"/>
    <hyperlink ref="T30" r:id="rId3" xr:uid="{8DAC3B86-799A-49F2-8233-568EBDA49C9F}"/>
    <hyperlink ref="T6" r:id="rId4" xr:uid="{D552438D-0EA5-44C6-AD46-292A50F3AE58}"/>
    <hyperlink ref="T14" r:id="rId5" xr:uid="{E15701EB-5F46-4812-B522-3C03DE037F2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445F118-5A5A-4977-B04B-2CD8FC81421F}">
          <x14:formula1>
            <xm:f>Settings!$C$3:$C$20</xm:f>
          </x14:formula1>
          <xm:sqref>I2:I35 I37:I42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47206-2B7D-4096-9D04-7F51A877B062}">
  <dimension ref="A1:M28"/>
  <sheetViews>
    <sheetView topLeftCell="D10" workbookViewId="0">
      <selection activeCell="M13" sqref="M13"/>
    </sheetView>
  </sheetViews>
  <sheetFormatPr defaultRowHeight="12.75"/>
  <cols>
    <col min="3" max="3" width="15.85546875" customWidth="1"/>
    <col min="4" max="4" width="10.42578125" customWidth="1"/>
    <col min="5" max="5" width="12.7109375" customWidth="1"/>
    <col min="7" max="7" width="53.42578125" customWidth="1"/>
    <col min="8" max="8" width="10.85546875" customWidth="1"/>
    <col min="11" max="11" width="14.140625" customWidth="1"/>
    <col min="12" max="12" width="14.28515625" customWidth="1"/>
    <col min="13" max="13" width="38.42578125" customWidth="1"/>
  </cols>
  <sheetData>
    <row r="1" spans="1:13" ht="27">
      <c r="A1" s="108" t="s">
        <v>266</v>
      </c>
      <c r="B1" s="108" t="s">
        <v>10</v>
      </c>
      <c r="C1" s="404" t="s">
        <v>267</v>
      </c>
      <c r="D1" s="404" t="s">
        <v>268</v>
      </c>
      <c r="E1" s="108" t="s">
        <v>269</v>
      </c>
      <c r="F1" s="404" t="s">
        <v>270</v>
      </c>
      <c r="G1" s="404" t="s">
        <v>271</v>
      </c>
      <c r="H1" s="404" t="s">
        <v>272</v>
      </c>
      <c r="I1" s="108" t="s">
        <v>273</v>
      </c>
      <c r="J1" s="108" t="s">
        <v>274</v>
      </c>
      <c r="K1" s="108" t="s">
        <v>275</v>
      </c>
      <c r="L1" s="332" t="s">
        <v>276</v>
      </c>
      <c r="M1" s="405" t="s">
        <v>277</v>
      </c>
    </row>
    <row r="2" spans="1:13" ht="111" customHeight="1">
      <c r="A2" s="93">
        <v>1</v>
      </c>
      <c r="B2" s="93" t="s">
        <v>302</v>
      </c>
      <c r="C2" s="143">
        <v>24926</v>
      </c>
      <c r="D2" s="93"/>
      <c r="E2" s="93" t="s">
        <v>313</v>
      </c>
      <c r="F2" s="93" t="s">
        <v>522</v>
      </c>
      <c r="G2" s="670" t="s">
        <v>549</v>
      </c>
      <c r="H2" s="93" t="s">
        <v>517</v>
      </c>
      <c r="I2" s="93" t="s">
        <v>518</v>
      </c>
      <c r="J2" s="93" t="s">
        <v>525</v>
      </c>
      <c r="K2" s="490" t="s">
        <v>348</v>
      </c>
      <c r="L2" s="74" t="s">
        <v>529</v>
      </c>
      <c r="M2" s="96" t="s">
        <v>687</v>
      </c>
    </row>
    <row r="3" spans="1:13" ht="24">
      <c r="A3" s="93">
        <v>2</v>
      </c>
      <c r="B3" s="93" t="s">
        <v>302</v>
      </c>
      <c r="C3" s="657" t="s">
        <v>570</v>
      </c>
      <c r="D3" s="93"/>
      <c r="E3" s="93" t="s">
        <v>313</v>
      </c>
      <c r="F3" s="93" t="s">
        <v>516</v>
      </c>
      <c r="G3" s="96" t="s">
        <v>571</v>
      </c>
      <c r="H3" s="93" t="s">
        <v>517</v>
      </c>
      <c r="I3" s="93" t="s">
        <v>518</v>
      </c>
      <c r="J3" s="93" t="s">
        <v>519</v>
      </c>
      <c r="K3" s="490" t="s">
        <v>376</v>
      </c>
      <c r="L3" s="74" t="s">
        <v>520</v>
      </c>
      <c r="M3" s="93" t="s">
        <v>572</v>
      </c>
    </row>
    <row r="4" spans="1:13" ht="36">
      <c r="A4" s="93">
        <v>3</v>
      </c>
      <c r="B4" s="93" t="s">
        <v>302</v>
      </c>
      <c r="C4" s="143" t="s">
        <v>577</v>
      </c>
      <c r="D4" s="93"/>
      <c r="E4" s="93" t="s">
        <v>315</v>
      </c>
      <c r="F4" s="93" t="s">
        <v>522</v>
      </c>
      <c r="G4" s="670" t="s">
        <v>578</v>
      </c>
      <c r="H4" s="93" t="s">
        <v>517</v>
      </c>
      <c r="I4" s="93" t="s">
        <v>518</v>
      </c>
      <c r="J4" s="93" t="s">
        <v>525</v>
      </c>
      <c r="K4" s="490" t="s">
        <v>579</v>
      </c>
      <c r="L4" s="74" t="s">
        <v>520</v>
      </c>
      <c r="M4" s="96" t="s">
        <v>688</v>
      </c>
    </row>
    <row r="5" spans="1:13" ht="36">
      <c r="A5" s="93">
        <v>4</v>
      </c>
      <c r="B5" s="93" t="s">
        <v>302</v>
      </c>
      <c r="C5" s="143">
        <v>27165</v>
      </c>
      <c r="D5" s="93"/>
      <c r="E5" s="93" t="s">
        <v>304</v>
      </c>
      <c r="F5" s="93" t="s">
        <v>522</v>
      </c>
      <c r="G5" s="96" t="s">
        <v>609</v>
      </c>
      <c r="H5" s="236" t="s">
        <v>531</v>
      </c>
      <c r="I5" s="93" t="s">
        <v>518</v>
      </c>
      <c r="J5" s="93" t="s">
        <v>525</v>
      </c>
      <c r="K5" s="490" t="s">
        <v>376</v>
      </c>
      <c r="L5" s="74" t="s">
        <v>526</v>
      </c>
      <c r="M5" s="96" t="s">
        <v>527</v>
      </c>
    </row>
    <row r="6" spans="1:13" ht="36">
      <c r="A6" s="93">
        <v>5</v>
      </c>
      <c r="B6" s="93" t="s">
        <v>302</v>
      </c>
      <c r="C6" s="143">
        <v>27187</v>
      </c>
      <c r="D6" s="93"/>
      <c r="E6" s="93" t="s">
        <v>304</v>
      </c>
      <c r="F6" s="93" t="s">
        <v>522</v>
      </c>
      <c r="G6" s="96" t="s">
        <v>613</v>
      </c>
      <c r="H6" s="236" t="s">
        <v>524</v>
      </c>
      <c r="I6" s="93" t="s">
        <v>518</v>
      </c>
      <c r="J6" s="93" t="s">
        <v>525</v>
      </c>
      <c r="K6" s="490" t="s">
        <v>376</v>
      </c>
      <c r="L6" s="74" t="s">
        <v>526</v>
      </c>
      <c r="M6" s="96" t="s">
        <v>527</v>
      </c>
    </row>
    <row r="7" spans="1:13" ht="36">
      <c r="A7" s="93">
        <v>6</v>
      </c>
      <c r="B7" s="93" t="s">
        <v>302</v>
      </c>
      <c r="C7" s="143">
        <v>27168</v>
      </c>
      <c r="D7" s="93"/>
      <c r="E7" s="93" t="s">
        <v>304</v>
      </c>
      <c r="F7" s="93" t="s">
        <v>522</v>
      </c>
      <c r="G7" s="96" t="s">
        <v>616</v>
      </c>
      <c r="H7" s="236" t="s">
        <v>524</v>
      </c>
      <c r="I7" s="93" t="s">
        <v>518</v>
      </c>
      <c r="J7" s="93" t="s">
        <v>525</v>
      </c>
      <c r="K7" s="490" t="s">
        <v>376</v>
      </c>
      <c r="L7" s="74" t="s">
        <v>526</v>
      </c>
      <c r="M7" s="96" t="s">
        <v>527</v>
      </c>
    </row>
    <row r="8" spans="1:13" ht="36">
      <c r="A8" s="93">
        <v>7</v>
      </c>
      <c r="B8" s="93" t="s">
        <v>302</v>
      </c>
      <c r="C8" s="143">
        <v>27179</v>
      </c>
      <c r="D8" s="93"/>
      <c r="E8" s="93" t="s">
        <v>304</v>
      </c>
      <c r="F8" s="93" t="s">
        <v>522</v>
      </c>
      <c r="G8" s="96" t="s">
        <v>618</v>
      </c>
      <c r="H8" s="236" t="s">
        <v>524</v>
      </c>
      <c r="I8" s="93" t="s">
        <v>518</v>
      </c>
      <c r="J8" s="93" t="s">
        <v>525</v>
      </c>
      <c r="K8" s="490" t="s">
        <v>376</v>
      </c>
      <c r="L8" s="74" t="s">
        <v>526</v>
      </c>
      <c r="M8" s="96" t="s">
        <v>527</v>
      </c>
    </row>
    <row r="9" spans="1:13" ht="36">
      <c r="A9" s="93">
        <v>8</v>
      </c>
      <c r="B9" s="93" t="s">
        <v>302</v>
      </c>
      <c r="C9" s="143">
        <v>27169</v>
      </c>
      <c r="D9" s="93"/>
      <c r="E9" s="93" t="s">
        <v>304</v>
      </c>
      <c r="F9" s="93" t="s">
        <v>522</v>
      </c>
      <c r="G9" s="96" t="s">
        <v>622</v>
      </c>
      <c r="H9" s="236" t="s">
        <v>524</v>
      </c>
      <c r="I9" s="93" t="s">
        <v>518</v>
      </c>
      <c r="J9" s="93" t="s">
        <v>525</v>
      </c>
      <c r="K9" s="490" t="s">
        <v>376</v>
      </c>
      <c r="L9" s="74" t="s">
        <v>526</v>
      </c>
      <c r="M9" s="96" t="s">
        <v>527</v>
      </c>
    </row>
    <row r="10" spans="1:13" ht="36">
      <c r="A10" s="93">
        <v>9</v>
      </c>
      <c r="B10" s="93" t="s">
        <v>302</v>
      </c>
      <c r="C10" s="143">
        <v>27184</v>
      </c>
      <c r="D10" s="93"/>
      <c r="E10" s="93" t="s">
        <v>304</v>
      </c>
      <c r="F10" s="93" t="s">
        <v>522</v>
      </c>
      <c r="G10" s="96" t="s">
        <v>624</v>
      </c>
      <c r="H10" s="680" t="s">
        <v>524</v>
      </c>
      <c r="I10" s="93" t="s">
        <v>518</v>
      </c>
      <c r="J10" s="93" t="s">
        <v>525</v>
      </c>
      <c r="K10" s="490" t="s">
        <v>376</v>
      </c>
      <c r="L10" s="74" t="s">
        <v>526</v>
      </c>
      <c r="M10" s="96" t="s">
        <v>527</v>
      </c>
    </row>
    <row r="11" spans="1:13" ht="36">
      <c r="A11" s="93">
        <v>10</v>
      </c>
      <c r="B11" s="93" t="s">
        <v>302</v>
      </c>
      <c r="C11" s="143">
        <v>27178</v>
      </c>
      <c r="D11" s="93"/>
      <c r="E11" s="93" t="s">
        <v>304</v>
      </c>
      <c r="F11" s="93" t="s">
        <v>522</v>
      </c>
      <c r="G11" s="93" t="s">
        <v>632</v>
      </c>
      <c r="H11" s="236" t="s">
        <v>531</v>
      </c>
      <c r="I11" s="93" t="s">
        <v>518</v>
      </c>
      <c r="J11" s="93" t="s">
        <v>525</v>
      </c>
      <c r="K11" s="490" t="s">
        <v>376</v>
      </c>
      <c r="L11" s="74" t="s">
        <v>526</v>
      </c>
      <c r="M11" s="96" t="s">
        <v>527</v>
      </c>
    </row>
    <row r="12" spans="1:13" ht="36">
      <c r="A12" s="93">
        <v>11</v>
      </c>
      <c r="B12" s="93" t="s">
        <v>302</v>
      </c>
      <c r="C12" s="143">
        <v>27185</v>
      </c>
      <c r="D12" s="93"/>
      <c r="E12" s="93" t="s">
        <v>304</v>
      </c>
      <c r="F12" s="93" t="s">
        <v>522</v>
      </c>
      <c r="G12" s="93" t="s">
        <v>635</v>
      </c>
      <c r="H12" s="236" t="s">
        <v>524</v>
      </c>
      <c r="I12" s="93" t="s">
        <v>518</v>
      </c>
      <c r="J12" s="93" t="s">
        <v>525</v>
      </c>
      <c r="K12" s="490" t="s">
        <v>376</v>
      </c>
      <c r="L12" s="74" t="s">
        <v>526</v>
      </c>
      <c r="M12" s="96" t="s">
        <v>527</v>
      </c>
    </row>
    <row r="13" spans="1:13" ht="36">
      <c r="A13" s="93">
        <v>12</v>
      </c>
      <c r="B13" s="93" t="s">
        <v>302</v>
      </c>
      <c r="C13" s="143">
        <v>27173</v>
      </c>
      <c r="D13" s="93"/>
      <c r="E13" s="93" t="s">
        <v>304</v>
      </c>
      <c r="F13" s="93" t="s">
        <v>522</v>
      </c>
      <c r="G13" s="93" t="s">
        <v>637</v>
      </c>
      <c r="H13" s="93" t="s">
        <v>517</v>
      </c>
      <c r="I13" s="93" t="s">
        <v>518</v>
      </c>
      <c r="J13" s="93" t="s">
        <v>525</v>
      </c>
      <c r="K13" s="490" t="s">
        <v>376</v>
      </c>
      <c r="L13" s="74" t="s">
        <v>526</v>
      </c>
      <c r="M13" s="96" t="s">
        <v>527</v>
      </c>
    </row>
    <row r="14" spans="1:13" ht="36">
      <c r="A14" s="93">
        <v>13</v>
      </c>
      <c r="B14" s="93" t="s">
        <v>302</v>
      </c>
      <c r="C14" s="143">
        <v>27198</v>
      </c>
      <c r="D14" s="93"/>
      <c r="E14" s="93" t="s">
        <v>304</v>
      </c>
      <c r="F14" s="93" t="s">
        <v>522</v>
      </c>
      <c r="G14" s="93" t="s">
        <v>639</v>
      </c>
      <c r="H14" s="236" t="s">
        <v>524</v>
      </c>
      <c r="I14" s="93" t="s">
        <v>518</v>
      </c>
      <c r="J14" s="93" t="s">
        <v>525</v>
      </c>
      <c r="K14" s="490" t="s">
        <v>376</v>
      </c>
      <c r="L14" s="74" t="s">
        <v>526</v>
      </c>
      <c r="M14" s="96" t="s">
        <v>527</v>
      </c>
    </row>
    <row r="15" spans="1:13" ht="36">
      <c r="A15" s="93">
        <v>14</v>
      </c>
      <c r="B15" s="93" t="s">
        <v>302</v>
      </c>
      <c r="C15" s="143">
        <v>27196</v>
      </c>
      <c r="D15" s="93"/>
      <c r="E15" s="93" t="s">
        <v>304</v>
      </c>
      <c r="F15" s="93" t="s">
        <v>522</v>
      </c>
      <c r="G15" s="93" t="s">
        <v>641</v>
      </c>
      <c r="H15" s="236" t="s">
        <v>524</v>
      </c>
      <c r="I15" s="93" t="s">
        <v>518</v>
      </c>
      <c r="J15" s="93" t="s">
        <v>525</v>
      </c>
      <c r="K15" s="490" t="s">
        <v>376</v>
      </c>
      <c r="L15" s="74" t="s">
        <v>526</v>
      </c>
      <c r="M15" s="96" t="s">
        <v>527</v>
      </c>
    </row>
    <row r="16" spans="1:13" ht="36">
      <c r="A16" s="93"/>
      <c r="B16" s="93" t="s">
        <v>302</v>
      </c>
      <c r="C16" s="143">
        <v>27186</v>
      </c>
      <c r="D16" s="93"/>
      <c r="E16" s="93" t="s">
        <v>304</v>
      </c>
      <c r="F16" s="93" t="s">
        <v>522</v>
      </c>
      <c r="G16" s="93" t="s">
        <v>642</v>
      </c>
      <c r="H16" s="236" t="s">
        <v>524</v>
      </c>
      <c r="I16" s="93" t="s">
        <v>518</v>
      </c>
      <c r="J16" s="93" t="s">
        <v>525</v>
      </c>
      <c r="K16" s="490" t="s">
        <v>376</v>
      </c>
      <c r="L16" s="74" t="s">
        <v>526</v>
      </c>
      <c r="M16" s="96" t="s">
        <v>527</v>
      </c>
    </row>
    <row r="17" spans="1:13" ht="48">
      <c r="A17" s="93">
        <v>15</v>
      </c>
      <c r="B17" s="93" t="s">
        <v>302</v>
      </c>
      <c r="C17" s="143" t="s">
        <v>644</v>
      </c>
      <c r="D17" s="93"/>
      <c r="E17" s="93" t="s">
        <v>643</v>
      </c>
      <c r="F17" s="93" t="s">
        <v>522</v>
      </c>
      <c r="G17" s="93" t="s">
        <v>645</v>
      </c>
      <c r="H17" s="93" t="s">
        <v>517</v>
      </c>
      <c r="I17" s="93" t="s">
        <v>518</v>
      </c>
      <c r="J17" s="93" t="s">
        <v>519</v>
      </c>
      <c r="K17" s="490" t="s">
        <v>348</v>
      </c>
      <c r="L17" s="74" t="s">
        <v>520</v>
      </c>
      <c r="M17" s="96" t="s">
        <v>689</v>
      </c>
    </row>
    <row r="18" spans="1:13" ht="48">
      <c r="A18" s="93">
        <v>16</v>
      </c>
      <c r="B18" s="93" t="s">
        <v>302</v>
      </c>
      <c r="C18" s="143" t="s">
        <v>346</v>
      </c>
      <c r="D18" s="93"/>
      <c r="E18" s="93" t="s">
        <v>317</v>
      </c>
      <c r="F18" s="93" t="s">
        <v>522</v>
      </c>
      <c r="G18" s="96" t="s">
        <v>347</v>
      </c>
      <c r="H18" s="93" t="s">
        <v>517</v>
      </c>
      <c r="I18" s="93" t="s">
        <v>518</v>
      </c>
      <c r="J18" s="93" t="s">
        <v>519</v>
      </c>
      <c r="K18" s="490" t="s">
        <v>348</v>
      </c>
      <c r="L18" s="74" t="s">
        <v>520</v>
      </c>
      <c r="M18" s="96" t="s">
        <v>690</v>
      </c>
    </row>
    <row r="19" spans="1:13" ht="99.75" customHeight="1">
      <c r="A19" s="93">
        <v>17</v>
      </c>
      <c r="B19" s="93" t="s">
        <v>302</v>
      </c>
      <c r="C19" s="143" t="s">
        <v>654</v>
      </c>
      <c r="D19" s="93"/>
      <c r="E19" s="93" t="s">
        <v>313</v>
      </c>
      <c r="F19" s="93" t="s">
        <v>522</v>
      </c>
      <c r="G19" s="96" t="s">
        <v>655</v>
      </c>
      <c r="H19" s="93" t="s">
        <v>517</v>
      </c>
      <c r="I19" s="93" t="s">
        <v>518</v>
      </c>
      <c r="J19" s="93" t="s">
        <v>525</v>
      </c>
      <c r="K19" s="490" t="s">
        <v>376</v>
      </c>
      <c r="L19" s="74" t="s">
        <v>526</v>
      </c>
      <c r="M19" s="96" t="s">
        <v>691</v>
      </c>
    </row>
    <row r="20" spans="1:13" ht="36">
      <c r="A20" s="93">
        <v>18</v>
      </c>
      <c r="B20" s="93" t="s">
        <v>302</v>
      </c>
      <c r="C20" s="143">
        <v>27164</v>
      </c>
      <c r="D20" s="93"/>
      <c r="E20" s="93" t="s">
        <v>304</v>
      </c>
      <c r="F20" s="93" t="s">
        <v>522</v>
      </c>
      <c r="G20" s="93" t="s">
        <v>660</v>
      </c>
      <c r="H20" s="236" t="s">
        <v>524</v>
      </c>
      <c r="I20" s="93" t="s">
        <v>518</v>
      </c>
      <c r="J20" s="93" t="s">
        <v>525</v>
      </c>
      <c r="K20" s="490" t="s">
        <v>376</v>
      </c>
      <c r="L20" s="74" t="s">
        <v>526</v>
      </c>
      <c r="M20" s="96" t="s">
        <v>527</v>
      </c>
    </row>
    <row r="21" spans="1:13" ht="36">
      <c r="A21" s="93">
        <v>19</v>
      </c>
      <c r="B21" s="93" t="s">
        <v>302</v>
      </c>
      <c r="C21" s="143">
        <v>27175</v>
      </c>
      <c r="D21" s="93"/>
      <c r="E21" s="93" t="s">
        <v>304</v>
      </c>
      <c r="F21" s="93" t="s">
        <v>522</v>
      </c>
      <c r="G21" s="93" t="s">
        <v>661</v>
      </c>
      <c r="H21" s="93" t="s">
        <v>517</v>
      </c>
      <c r="I21" s="93" t="s">
        <v>518</v>
      </c>
      <c r="J21" s="93" t="s">
        <v>525</v>
      </c>
      <c r="K21" s="490" t="s">
        <v>376</v>
      </c>
      <c r="L21" s="74" t="s">
        <v>526</v>
      </c>
      <c r="M21" s="96" t="s">
        <v>527</v>
      </c>
    </row>
    <row r="22" spans="1:13" ht="36">
      <c r="A22" s="93">
        <v>20</v>
      </c>
      <c r="B22" s="93" t="s">
        <v>302</v>
      </c>
      <c r="C22" s="143">
        <v>27210</v>
      </c>
      <c r="D22" s="93"/>
      <c r="E22" s="93" t="s">
        <v>304</v>
      </c>
      <c r="F22" s="93" t="s">
        <v>522</v>
      </c>
      <c r="G22" s="93" t="s">
        <v>662</v>
      </c>
      <c r="H22" s="236" t="s">
        <v>531</v>
      </c>
      <c r="I22" s="93" t="s">
        <v>518</v>
      </c>
      <c r="J22" s="93" t="s">
        <v>525</v>
      </c>
      <c r="K22" s="490" t="s">
        <v>376</v>
      </c>
      <c r="L22" s="74" t="s">
        <v>526</v>
      </c>
      <c r="M22" s="96" t="s">
        <v>527</v>
      </c>
    </row>
    <row r="23" spans="1:13" ht="36">
      <c r="A23" s="93">
        <v>21</v>
      </c>
      <c r="B23" s="93" t="s">
        <v>302</v>
      </c>
      <c r="C23" s="143">
        <v>27165</v>
      </c>
      <c r="D23" s="93"/>
      <c r="E23" s="93" t="s">
        <v>304</v>
      </c>
      <c r="F23" s="93" t="s">
        <v>522</v>
      </c>
      <c r="G23" s="93" t="s">
        <v>676</v>
      </c>
      <c r="H23" s="236" t="s">
        <v>524</v>
      </c>
      <c r="I23" s="93" t="s">
        <v>518</v>
      </c>
      <c r="J23" s="93" t="s">
        <v>525</v>
      </c>
      <c r="K23" s="490" t="s">
        <v>376</v>
      </c>
      <c r="L23" s="74" t="s">
        <v>526</v>
      </c>
      <c r="M23" s="96" t="s">
        <v>527</v>
      </c>
    </row>
    <row r="24" spans="1:13" ht="36">
      <c r="A24" s="93">
        <v>22</v>
      </c>
      <c r="B24" s="93" t="s">
        <v>302</v>
      </c>
      <c r="C24" s="143">
        <v>27230</v>
      </c>
      <c r="D24" s="93"/>
      <c r="E24" s="93" t="s">
        <v>304</v>
      </c>
      <c r="F24" s="93" t="s">
        <v>522</v>
      </c>
      <c r="G24" s="656" t="s">
        <v>677</v>
      </c>
      <c r="H24" s="236" t="s">
        <v>524</v>
      </c>
      <c r="I24" s="93" t="s">
        <v>518</v>
      </c>
      <c r="J24" s="93" t="s">
        <v>525</v>
      </c>
      <c r="K24" s="490" t="s">
        <v>376</v>
      </c>
      <c r="L24" s="74" t="s">
        <v>526</v>
      </c>
      <c r="M24" s="96" t="s">
        <v>527</v>
      </c>
    </row>
    <row r="25" spans="1:13" ht="36">
      <c r="A25" s="118">
        <v>23</v>
      </c>
      <c r="B25" s="118" t="s">
        <v>302</v>
      </c>
      <c r="C25" s="152">
        <v>27233</v>
      </c>
      <c r="D25" s="118"/>
      <c r="E25" s="118" t="s">
        <v>304</v>
      </c>
      <c r="F25" s="118" t="s">
        <v>522</v>
      </c>
      <c r="G25" s="677" t="s">
        <v>678</v>
      </c>
      <c r="H25" s="118" t="s">
        <v>517</v>
      </c>
      <c r="I25" s="118" t="s">
        <v>518</v>
      </c>
      <c r="J25" s="93" t="s">
        <v>525</v>
      </c>
      <c r="K25" s="561" t="s">
        <v>376</v>
      </c>
      <c r="L25" s="74" t="s">
        <v>526</v>
      </c>
      <c r="M25" s="96" t="s">
        <v>527</v>
      </c>
    </row>
    <row r="26" spans="1:13" ht="36">
      <c r="A26" s="93">
        <v>24</v>
      </c>
      <c r="B26" s="93" t="s">
        <v>302</v>
      </c>
      <c r="C26" s="152">
        <v>27232</v>
      </c>
      <c r="D26" s="93"/>
      <c r="E26" s="93" t="s">
        <v>304</v>
      </c>
      <c r="F26" s="93" t="s">
        <v>522</v>
      </c>
      <c r="G26" s="676" t="s">
        <v>679</v>
      </c>
      <c r="H26" s="236" t="s">
        <v>524</v>
      </c>
      <c r="I26" s="93" t="s">
        <v>518</v>
      </c>
      <c r="J26" s="93" t="s">
        <v>525</v>
      </c>
      <c r="K26" s="490" t="s">
        <v>348</v>
      </c>
      <c r="L26" s="74" t="s">
        <v>526</v>
      </c>
      <c r="M26" s="96" t="s">
        <v>527</v>
      </c>
    </row>
    <row r="27" spans="1:13" ht="36">
      <c r="A27" s="93">
        <v>25</v>
      </c>
      <c r="B27" s="620" t="s">
        <v>302</v>
      </c>
      <c r="C27" s="143" t="s">
        <v>682</v>
      </c>
      <c r="D27" s="551"/>
      <c r="E27" s="93" t="s">
        <v>315</v>
      </c>
      <c r="F27" s="93" t="s">
        <v>516</v>
      </c>
      <c r="G27" s="96" t="s">
        <v>683</v>
      </c>
      <c r="H27" s="93" t="s">
        <v>517</v>
      </c>
      <c r="I27" s="93" t="s">
        <v>518</v>
      </c>
      <c r="J27" s="93" t="s">
        <v>519</v>
      </c>
      <c r="K27" s="490" t="s">
        <v>348</v>
      </c>
      <c r="L27" s="74" t="s">
        <v>520</v>
      </c>
      <c r="M27" s="96" t="s">
        <v>692</v>
      </c>
    </row>
    <row r="28" spans="1:13" ht="36">
      <c r="A28" s="93">
        <v>26</v>
      </c>
      <c r="B28" s="93" t="s">
        <v>302</v>
      </c>
      <c r="C28" s="678">
        <v>27253</v>
      </c>
      <c r="D28" s="93"/>
      <c r="E28" s="93" t="s">
        <v>304</v>
      </c>
      <c r="F28" s="93" t="s">
        <v>522</v>
      </c>
      <c r="G28" s="93" t="s">
        <v>686</v>
      </c>
      <c r="H28" s="93" t="s">
        <v>517</v>
      </c>
      <c r="I28" s="93" t="s">
        <v>518</v>
      </c>
      <c r="J28" s="93" t="s">
        <v>525</v>
      </c>
      <c r="K28" s="490" t="s">
        <v>376</v>
      </c>
      <c r="L28" s="74" t="s">
        <v>526</v>
      </c>
      <c r="M28" s="96" t="s">
        <v>527</v>
      </c>
    </row>
  </sheetData>
  <autoFilter ref="A1:M28" xr:uid="{30B47206-2B7D-4096-9D04-7F51A877B062}"/>
  <conditionalFormatting sqref="K2:K10">
    <cfRule type="containsText" dxfId="932" priority="31" operator="containsText" text="Closed">
      <formula>NOT(ISERROR(SEARCH("Closed",K2)))</formula>
    </cfRule>
    <cfRule type="containsText" dxfId="931" priority="32" operator="containsText" text="Open">
      <formula>NOT(ISERROR(SEARCH("Open",K2)))</formula>
    </cfRule>
    <cfRule type="containsText" dxfId="930" priority="33" operator="containsText" text="Inprogress">
      <formula>NOT(ISERROR(SEARCH("Inprogress",K2)))</formula>
    </cfRule>
  </conditionalFormatting>
  <conditionalFormatting sqref="K11">
    <cfRule type="containsText" dxfId="929" priority="25" operator="containsText" text="Closed">
      <formula>NOT(ISERROR(SEARCH("Closed",K11)))</formula>
    </cfRule>
    <cfRule type="containsText" dxfId="928" priority="26" operator="containsText" text="Open">
      <formula>NOT(ISERROR(SEARCH("Open",K11)))</formula>
    </cfRule>
    <cfRule type="containsText" dxfId="927" priority="27" operator="containsText" text="Inprogress">
      <formula>NOT(ISERROR(SEARCH("Inprogress",K11)))</formula>
    </cfRule>
  </conditionalFormatting>
  <conditionalFormatting sqref="K12:K13">
    <cfRule type="containsText" dxfId="926" priority="22" operator="containsText" text="Closed">
      <formula>NOT(ISERROR(SEARCH("Closed",K12)))</formula>
    </cfRule>
    <cfRule type="containsText" dxfId="925" priority="23" operator="containsText" text="Open">
      <formula>NOT(ISERROR(SEARCH("Open",K12)))</formula>
    </cfRule>
    <cfRule type="containsText" dxfId="924" priority="24" operator="containsText" text="Inprogress">
      <formula>NOT(ISERROR(SEARCH("Inprogress",K12)))</formula>
    </cfRule>
  </conditionalFormatting>
  <conditionalFormatting sqref="K14:K18">
    <cfRule type="containsText" dxfId="923" priority="19" operator="containsText" text="Closed">
      <formula>NOT(ISERROR(SEARCH("Closed",K14)))</formula>
    </cfRule>
    <cfRule type="containsText" dxfId="922" priority="20" operator="containsText" text="Open">
      <formula>NOT(ISERROR(SEARCH("Open",K14)))</formula>
    </cfRule>
    <cfRule type="containsText" dxfId="921" priority="21" operator="containsText" text="Inprogress">
      <formula>NOT(ISERROR(SEARCH("Inprogress",K14)))</formula>
    </cfRule>
  </conditionalFormatting>
  <conditionalFormatting sqref="K19">
    <cfRule type="containsText" dxfId="920" priority="16" operator="containsText" text="Closed">
      <formula>NOT(ISERROR(SEARCH("Closed",K19)))</formula>
    </cfRule>
    <cfRule type="containsText" dxfId="919" priority="17" operator="containsText" text="Open">
      <formula>NOT(ISERROR(SEARCH("Open",K19)))</formula>
    </cfRule>
    <cfRule type="containsText" dxfId="918" priority="18" operator="containsText" text="Inprogress">
      <formula>NOT(ISERROR(SEARCH("Inprogress",K19)))</formula>
    </cfRule>
  </conditionalFormatting>
  <conditionalFormatting sqref="K20">
    <cfRule type="containsText" dxfId="917" priority="13" operator="containsText" text="Closed">
      <formula>NOT(ISERROR(SEARCH("Closed",K20)))</formula>
    </cfRule>
    <cfRule type="containsText" dxfId="916" priority="14" operator="containsText" text="Open">
      <formula>NOT(ISERROR(SEARCH("Open",K20)))</formula>
    </cfRule>
    <cfRule type="containsText" dxfId="915" priority="15" operator="containsText" text="Inprogress">
      <formula>NOT(ISERROR(SEARCH("Inprogress",K20)))</formula>
    </cfRule>
  </conditionalFormatting>
  <conditionalFormatting sqref="K21">
    <cfRule type="containsText" dxfId="914" priority="10" operator="containsText" text="Closed">
      <formula>NOT(ISERROR(SEARCH("Closed",K21)))</formula>
    </cfRule>
    <cfRule type="containsText" dxfId="913" priority="11" operator="containsText" text="Open">
      <formula>NOT(ISERROR(SEARCH("Open",K21)))</formula>
    </cfRule>
    <cfRule type="containsText" dxfId="912" priority="12" operator="containsText" text="Inprogress">
      <formula>NOT(ISERROR(SEARCH("Inprogress",K21)))</formula>
    </cfRule>
  </conditionalFormatting>
  <conditionalFormatting sqref="K22:K26">
    <cfRule type="containsText" dxfId="911" priority="7" operator="containsText" text="Closed">
      <formula>NOT(ISERROR(SEARCH("Closed",K22)))</formula>
    </cfRule>
    <cfRule type="containsText" dxfId="910" priority="8" operator="containsText" text="Open">
      <formula>NOT(ISERROR(SEARCH("Open",K22)))</formula>
    </cfRule>
    <cfRule type="containsText" dxfId="909" priority="9" operator="containsText" text="Inprogress">
      <formula>NOT(ISERROR(SEARCH("Inprogress",K22)))</formula>
    </cfRule>
  </conditionalFormatting>
  <conditionalFormatting sqref="K27">
    <cfRule type="containsText" dxfId="908" priority="4" operator="containsText" text="Closed">
      <formula>NOT(ISERROR(SEARCH("Closed",K27)))</formula>
    </cfRule>
    <cfRule type="containsText" dxfId="907" priority="5" operator="containsText" text="Open">
      <formula>NOT(ISERROR(SEARCH("Open",K27)))</formula>
    </cfRule>
    <cfRule type="containsText" dxfId="906" priority="6" operator="containsText" text="Inprogress">
      <formula>NOT(ISERROR(SEARCH("Inprogress",K27)))</formula>
    </cfRule>
  </conditionalFormatting>
  <conditionalFormatting sqref="K28">
    <cfRule type="containsText" dxfId="905" priority="1" operator="containsText" text="Closed">
      <formula>NOT(ISERROR(SEARCH("Closed",K28)))</formula>
    </cfRule>
    <cfRule type="containsText" dxfId="904" priority="2" operator="containsText" text="Open">
      <formula>NOT(ISERROR(SEARCH("Open",K28)))</formula>
    </cfRule>
    <cfRule type="containsText" dxfId="903" priority="3" operator="containsText" text="Inprogress">
      <formula>NOT(ISERROR(SEARCH("Inprogress",K28)))</formula>
    </cfRule>
  </conditionalFormatting>
  <dataValidations count="1">
    <dataValidation type="list" allowBlank="1" showErrorMessage="1" sqref="H5:H12 H14:H16 H20 H22:H24 H26" xr:uid="{0700B203-0601-44A2-B1E9-3C400B2E5ADA}">
      <formula1>"Minor,Significant,Major"</formula1>
    </dataValidation>
  </dataValidations>
  <hyperlinks>
    <hyperlink ref="C15" r:id="rId1" display="27196" xr:uid="{7DC6E7B5-1B21-417F-BC9A-C541BA38490E}"/>
    <hyperlink ref="C28" r:id="rId2" display="27253" xr:uid="{2A63BF0E-0496-4734-8DB3-DA1B444B856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7975339-1586-449F-BFEF-34C3AF2705F1}">
          <x14:formula1>
            <xm:f>Details!$A$2:$A$10</xm:f>
          </x14:formula1>
          <xm:sqref>L2:L28</xm:sqref>
        </x14:dataValidation>
        <x14:dataValidation type="list" allowBlank="1" showErrorMessage="1" xr:uid="{C644687A-BE82-4835-952D-D7DAAD45FFAD}">
          <x14:formula1>
            <xm:f>Settings!$C$3:$C$20</xm:f>
          </x14:formula1>
          <xm:sqref>K2:K28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24C16-7A0D-4926-972E-778AE6A69BE2}">
  <dimension ref="A1:AO22"/>
  <sheetViews>
    <sheetView topLeftCell="Y1" workbookViewId="0">
      <selection activeCell="AE2" sqref="AE2"/>
    </sheetView>
  </sheetViews>
  <sheetFormatPr defaultRowHeight="12.75"/>
  <cols>
    <col min="1" max="1" width="5.28515625" customWidth="1"/>
    <col min="2" max="2" width="16.42578125" customWidth="1"/>
    <col min="3" max="3" width="11.7109375" customWidth="1"/>
    <col min="4" max="4" width="10.5703125" customWidth="1"/>
    <col min="5" max="5" width="21.140625" customWidth="1"/>
    <col min="6" max="6" width="11.7109375" customWidth="1"/>
    <col min="7" max="7" width="11" customWidth="1"/>
    <col min="8" max="8" width="38" customWidth="1"/>
    <col min="9" max="9" width="23.28515625" customWidth="1"/>
    <col min="10" max="10" width="13.5703125" customWidth="1"/>
    <col min="13" max="13" width="12.5703125" customWidth="1"/>
    <col min="14" max="14" width="11.5703125" customWidth="1"/>
    <col min="15" max="15" width="12" customWidth="1"/>
    <col min="20" max="20" width="25.28515625" customWidth="1"/>
    <col min="21" max="22" width="9.42578125" bestFit="1" customWidth="1"/>
    <col min="30" max="30" width="24.140625" customWidth="1"/>
    <col min="31" max="31" width="12.42578125" customWidth="1"/>
    <col min="32" max="32" width="28.5703125" style="100" customWidth="1"/>
    <col min="33" max="33" width="21.85546875" style="100" customWidth="1"/>
    <col min="34" max="34" width="31.42578125" style="100" customWidth="1"/>
    <col min="35" max="35" width="9.42578125" style="100" bestFit="1" customWidth="1"/>
    <col min="36" max="36" width="23.42578125" customWidth="1"/>
    <col min="37" max="37" width="20.28515625" customWidth="1"/>
    <col min="38" max="38" width="19.85546875" customWidth="1"/>
    <col min="39" max="39" width="16.28515625" customWidth="1"/>
    <col min="40" max="40" width="22.85546875" customWidth="1"/>
    <col min="41" max="41" width="32.140625" customWidth="1"/>
  </cols>
  <sheetData>
    <row r="1" spans="1:41" ht="67.5">
      <c r="A1" s="247" t="s">
        <v>266</v>
      </c>
      <c r="B1" s="247" t="s">
        <v>4</v>
      </c>
      <c r="C1" s="247" t="s">
        <v>2</v>
      </c>
      <c r="D1" s="247" t="s">
        <v>3</v>
      </c>
      <c r="E1" s="247" t="s">
        <v>278</v>
      </c>
      <c r="F1" s="247" t="s">
        <v>269</v>
      </c>
      <c r="G1" s="247" t="s">
        <v>279</v>
      </c>
      <c r="H1" s="543"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668" t="s">
        <v>301</v>
      </c>
      <c r="AF1" s="518">
        <v>46106</v>
      </c>
      <c r="AG1" s="669">
        <v>46107</v>
      </c>
      <c r="AH1" s="518">
        <v>46108</v>
      </c>
      <c r="AI1" s="518">
        <v>46111</v>
      </c>
      <c r="AJ1" s="518">
        <v>46112</v>
      </c>
      <c r="AK1" s="518">
        <v>46113</v>
      </c>
      <c r="AL1" s="518">
        <v>46114</v>
      </c>
      <c r="AM1" s="519">
        <v>46115</v>
      </c>
      <c r="AN1" s="518">
        <v>46118</v>
      </c>
      <c r="AO1" s="518">
        <v>46119</v>
      </c>
    </row>
    <row r="2" spans="1:41" ht="36">
      <c r="A2" s="93">
        <v>1</v>
      </c>
      <c r="B2" s="93" t="s">
        <v>302</v>
      </c>
      <c r="C2" s="171">
        <v>46106</v>
      </c>
      <c r="D2" s="171">
        <v>46119</v>
      </c>
      <c r="E2" s="96" t="s">
        <v>693</v>
      </c>
      <c r="F2" s="93" t="s">
        <v>313</v>
      </c>
      <c r="G2" s="93" t="s">
        <v>694</v>
      </c>
      <c r="H2" s="96" t="s">
        <v>695</v>
      </c>
      <c r="I2" s="490" t="s">
        <v>376</v>
      </c>
      <c r="J2" s="93">
        <v>0</v>
      </c>
      <c r="K2" s="93">
        <v>0</v>
      </c>
      <c r="L2" s="93">
        <v>0</v>
      </c>
      <c r="M2" s="171">
        <v>46101</v>
      </c>
      <c r="N2" s="171">
        <v>46104</v>
      </c>
      <c r="O2" s="96" t="s">
        <v>320</v>
      </c>
      <c r="P2" s="96" t="s">
        <v>320</v>
      </c>
      <c r="Q2" s="96" t="s">
        <v>320</v>
      </c>
      <c r="R2" s="96" t="s">
        <v>320</v>
      </c>
      <c r="S2" s="96" t="s">
        <v>320</v>
      </c>
      <c r="T2" s="96" t="s">
        <v>320</v>
      </c>
      <c r="U2" s="96" t="s">
        <v>320</v>
      </c>
      <c r="V2" s="96" t="s">
        <v>320</v>
      </c>
      <c r="W2" s="96" t="s">
        <v>320</v>
      </c>
      <c r="X2" s="96" t="s">
        <v>320</v>
      </c>
      <c r="Y2" s="96" t="s">
        <v>320</v>
      </c>
      <c r="Z2" s="96" t="s">
        <v>320</v>
      </c>
      <c r="AA2" s="96" t="s">
        <v>320</v>
      </c>
      <c r="AB2" s="96" t="s">
        <v>320</v>
      </c>
      <c r="AC2" s="96" t="s">
        <v>320</v>
      </c>
      <c r="AD2" s="96" t="s">
        <v>696</v>
      </c>
      <c r="AE2" s="490" t="s">
        <v>423</v>
      </c>
      <c r="AF2" s="96" t="s">
        <v>697</v>
      </c>
      <c r="AG2" s="96" t="s">
        <v>434</v>
      </c>
      <c r="AH2" s="96" t="s">
        <v>434</v>
      </c>
      <c r="AI2" s="96" t="s">
        <v>434</v>
      </c>
      <c r="AJ2" s="93" t="s">
        <v>434</v>
      </c>
      <c r="AK2" s="93" t="s">
        <v>434</v>
      </c>
      <c r="AL2" s="93" t="s">
        <v>434</v>
      </c>
      <c r="AM2" s="93"/>
      <c r="AN2" s="93"/>
      <c r="AO2" s="93"/>
    </row>
    <row r="3" spans="1:41" ht="36">
      <c r="A3" s="93">
        <v>2</v>
      </c>
      <c r="B3" s="93" t="s">
        <v>302</v>
      </c>
      <c r="C3" s="171">
        <v>46106</v>
      </c>
      <c r="D3" s="171">
        <v>46119</v>
      </c>
      <c r="E3" s="96" t="s">
        <v>693</v>
      </c>
      <c r="F3" s="93" t="s">
        <v>313</v>
      </c>
      <c r="G3" s="93" t="s">
        <v>698</v>
      </c>
      <c r="H3" s="96" t="s">
        <v>699</v>
      </c>
      <c r="I3" s="490" t="s">
        <v>376</v>
      </c>
      <c r="J3" s="93">
        <v>0</v>
      </c>
      <c r="K3" s="93">
        <v>0</v>
      </c>
      <c r="L3" s="93">
        <v>0</v>
      </c>
      <c r="M3" s="171">
        <v>46104</v>
      </c>
      <c r="N3" s="171">
        <v>46104</v>
      </c>
      <c r="O3" s="96" t="s">
        <v>320</v>
      </c>
      <c r="P3" s="96" t="s">
        <v>320</v>
      </c>
      <c r="Q3" s="96" t="s">
        <v>320</v>
      </c>
      <c r="R3" s="96" t="s">
        <v>320</v>
      </c>
      <c r="S3" s="96" t="s">
        <v>320</v>
      </c>
      <c r="T3" s="96" t="s">
        <v>320</v>
      </c>
      <c r="U3" s="96" t="s">
        <v>320</v>
      </c>
      <c r="V3" s="96" t="s">
        <v>320</v>
      </c>
      <c r="W3" s="96" t="s">
        <v>320</v>
      </c>
      <c r="X3" s="96" t="s">
        <v>320</v>
      </c>
      <c r="Y3" s="96" t="s">
        <v>320</v>
      </c>
      <c r="Z3" s="96" t="s">
        <v>320</v>
      </c>
      <c r="AA3" s="96" t="s">
        <v>320</v>
      </c>
      <c r="AB3" s="96" t="s">
        <v>320</v>
      </c>
      <c r="AC3" s="96" t="s">
        <v>320</v>
      </c>
      <c r="AD3" s="93" t="s">
        <v>700</v>
      </c>
      <c r="AE3" s="490" t="s">
        <v>423</v>
      </c>
      <c r="AF3" s="96" t="s">
        <v>701</v>
      </c>
      <c r="AG3" s="96" t="s">
        <v>702</v>
      </c>
      <c r="AH3" s="96" t="s">
        <v>576</v>
      </c>
      <c r="AI3" s="96" t="s">
        <v>434</v>
      </c>
      <c r="AJ3" s="93" t="s">
        <v>434</v>
      </c>
      <c r="AK3" s="93" t="s">
        <v>434</v>
      </c>
      <c r="AL3" s="93" t="s">
        <v>434</v>
      </c>
      <c r="AM3" s="93"/>
      <c r="AN3" s="93"/>
      <c r="AO3" s="93"/>
    </row>
    <row r="4" spans="1:41" ht="36">
      <c r="A4" s="93">
        <v>3</v>
      </c>
      <c r="B4" s="93" t="s">
        <v>302</v>
      </c>
      <c r="C4" s="171">
        <v>46106</v>
      </c>
      <c r="D4" s="171">
        <v>46119</v>
      </c>
      <c r="E4" s="96" t="s">
        <v>693</v>
      </c>
      <c r="F4" s="93" t="s">
        <v>313</v>
      </c>
      <c r="G4" s="93" t="s">
        <v>703</v>
      </c>
      <c r="H4" s="96" t="s">
        <v>704</v>
      </c>
      <c r="I4" s="490" t="s">
        <v>376</v>
      </c>
      <c r="J4" s="93">
        <v>0</v>
      </c>
      <c r="K4" s="93">
        <v>1</v>
      </c>
      <c r="L4" s="93">
        <v>4.25</v>
      </c>
      <c r="M4" s="171">
        <v>46106</v>
      </c>
      <c r="N4" s="171">
        <v>46106</v>
      </c>
      <c r="O4" s="96" t="s">
        <v>320</v>
      </c>
      <c r="P4" s="96" t="s">
        <v>320</v>
      </c>
      <c r="Q4" s="96" t="s">
        <v>320</v>
      </c>
      <c r="R4" s="96" t="s">
        <v>320</v>
      </c>
      <c r="S4" s="96" t="s">
        <v>320</v>
      </c>
      <c r="T4" s="96" t="s">
        <v>320</v>
      </c>
      <c r="U4" s="96" t="s">
        <v>320</v>
      </c>
      <c r="V4" s="96" t="s">
        <v>320</v>
      </c>
      <c r="W4" s="96" t="s">
        <v>320</v>
      </c>
      <c r="X4" s="96" t="s">
        <v>320</v>
      </c>
      <c r="Y4" s="96" t="s">
        <v>320</v>
      </c>
      <c r="Z4" s="96" t="s">
        <v>320</v>
      </c>
      <c r="AA4" s="96" t="s">
        <v>320</v>
      </c>
      <c r="AB4" s="96" t="s">
        <v>320</v>
      </c>
      <c r="AC4" s="96" t="s">
        <v>320</v>
      </c>
      <c r="AD4" s="93" t="s">
        <v>700</v>
      </c>
      <c r="AE4" s="490" t="s">
        <v>423</v>
      </c>
      <c r="AF4" s="96" t="s">
        <v>705</v>
      </c>
      <c r="AG4" s="96" t="s">
        <v>706</v>
      </c>
      <c r="AH4" s="96" t="s">
        <v>707</v>
      </c>
      <c r="AI4" s="96" t="s">
        <v>434</v>
      </c>
      <c r="AJ4" s="93" t="s">
        <v>434</v>
      </c>
      <c r="AK4" s="93" t="s">
        <v>434</v>
      </c>
      <c r="AL4" s="93" t="s">
        <v>434</v>
      </c>
      <c r="AM4" s="93"/>
      <c r="AN4" s="93"/>
      <c r="AO4" s="93"/>
    </row>
    <row r="5" spans="1:41" ht="60">
      <c r="A5" s="93">
        <v>4</v>
      </c>
      <c r="B5" s="93" t="s">
        <v>302</v>
      </c>
      <c r="C5" s="171">
        <v>46106</v>
      </c>
      <c r="D5" s="171">
        <v>46119</v>
      </c>
      <c r="E5" s="96" t="s">
        <v>708</v>
      </c>
      <c r="F5" s="93" t="s">
        <v>317</v>
      </c>
      <c r="G5" s="93" t="s">
        <v>709</v>
      </c>
      <c r="H5" s="96" t="s">
        <v>710</v>
      </c>
      <c r="I5" s="490" t="s">
        <v>376</v>
      </c>
      <c r="J5" s="93">
        <v>0</v>
      </c>
      <c r="K5" s="93">
        <v>0.75</v>
      </c>
      <c r="L5" s="93">
        <v>3</v>
      </c>
      <c r="M5" s="645">
        <v>46106</v>
      </c>
      <c r="N5" s="645">
        <v>46107</v>
      </c>
      <c r="O5" s="96" t="s">
        <v>320</v>
      </c>
      <c r="P5" s="96" t="s">
        <v>320</v>
      </c>
      <c r="Q5" s="96" t="s">
        <v>320</v>
      </c>
      <c r="R5" s="96" t="s">
        <v>320</v>
      </c>
      <c r="S5" s="96" t="s">
        <v>320</v>
      </c>
      <c r="T5" s="96" t="s">
        <v>320</v>
      </c>
      <c r="U5" s="96" t="s">
        <v>320</v>
      </c>
      <c r="V5" s="96" t="s">
        <v>320</v>
      </c>
      <c r="W5" s="96" t="s">
        <v>320</v>
      </c>
      <c r="X5" s="96" t="s">
        <v>320</v>
      </c>
      <c r="Y5" s="96" t="s">
        <v>320</v>
      </c>
      <c r="Z5" s="96" t="s">
        <v>320</v>
      </c>
      <c r="AA5" s="96" t="s">
        <v>320</v>
      </c>
      <c r="AB5" s="96" t="s">
        <v>320</v>
      </c>
      <c r="AC5" s="96" t="s">
        <v>320</v>
      </c>
      <c r="AD5" s="96" t="s">
        <v>711</v>
      </c>
      <c r="AE5" s="490" t="s">
        <v>423</v>
      </c>
      <c r="AF5" s="96" t="s">
        <v>712</v>
      </c>
      <c r="AG5" s="96" t="s">
        <v>713</v>
      </c>
      <c r="AH5" s="96" t="s">
        <v>714</v>
      </c>
      <c r="AI5" s="96" t="s">
        <v>434</v>
      </c>
      <c r="AJ5" s="93" t="s">
        <v>434</v>
      </c>
      <c r="AK5" s="93" t="s">
        <v>434</v>
      </c>
      <c r="AL5" s="93" t="s">
        <v>434</v>
      </c>
      <c r="AM5" s="93"/>
      <c r="AN5" s="93"/>
      <c r="AO5" s="93"/>
    </row>
    <row r="6" spans="1:41" ht="48">
      <c r="A6" s="93">
        <v>5</v>
      </c>
      <c r="B6" s="93" t="s">
        <v>302</v>
      </c>
      <c r="C6" s="171">
        <v>46106</v>
      </c>
      <c r="D6" s="171">
        <v>46119</v>
      </c>
      <c r="E6" s="96" t="s">
        <v>708</v>
      </c>
      <c r="F6" s="93" t="s">
        <v>317</v>
      </c>
      <c r="G6" s="93" t="s">
        <v>715</v>
      </c>
      <c r="H6" s="96" t="s">
        <v>716</v>
      </c>
      <c r="I6" s="490" t="s">
        <v>376</v>
      </c>
      <c r="J6" s="93">
        <v>0</v>
      </c>
      <c r="K6" s="93">
        <v>0.37</v>
      </c>
      <c r="L6" s="93">
        <v>1.5</v>
      </c>
      <c r="M6" s="645">
        <v>46105</v>
      </c>
      <c r="N6" s="645">
        <v>46107</v>
      </c>
      <c r="O6" s="96" t="s">
        <v>320</v>
      </c>
      <c r="P6" s="96" t="s">
        <v>320</v>
      </c>
      <c r="Q6" s="96" t="s">
        <v>320</v>
      </c>
      <c r="R6" s="96" t="s">
        <v>320</v>
      </c>
      <c r="S6" s="96" t="s">
        <v>320</v>
      </c>
      <c r="T6" s="96" t="s">
        <v>320</v>
      </c>
      <c r="U6" s="96" t="s">
        <v>320</v>
      </c>
      <c r="V6" s="96" t="s">
        <v>320</v>
      </c>
      <c r="W6" s="96" t="s">
        <v>320</v>
      </c>
      <c r="X6" s="96" t="s">
        <v>320</v>
      </c>
      <c r="Y6" s="96" t="s">
        <v>320</v>
      </c>
      <c r="Z6" s="96" t="s">
        <v>320</v>
      </c>
      <c r="AA6" s="96" t="s">
        <v>320</v>
      </c>
      <c r="AB6" s="96" t="s">
        <v>320</v>
      </c>
      <c r="AC6" s="96" t="s">
        <v>320</v>
      </c>
      <c r="AD6" s="93" t="s">
        <v>717</v>
      </c>
      <c r="AE6" s="490" t="s">
        <v>423</v>
      </c>
      <c r="AF6" s="96" t="s">
        <v>718</v>
      </c>
      <c r="AG6" s="96" t="s">
        <v>719</v>
      </c>
      <c r="AH6" s="96" t="s">
        <v>434</v>
      </c>
      <c r="AI6" s="96" t="s">
        <v>434</v>
      </c>
      <c r="AJ6" s="93" t="s">
        <v>434</v>
      </c>
      <c r="AK6" s="93" t="s">
        <v>434</v>
      </c>
      <c r="AL6" s="93" t="s">
        <v>434</v>
      </c>
      <c r="AM6" s="93"/>
      <c r="AN6" s="93"/>
      <c r="AO6" s="93"/>
    </row>
    <row r="7" spans="1:41" ht="84">
      <c r="A7" s="93">
        <v>6</v>
      </c>
      <c r="B7" s="93" t="s">
        <v>302</v>
      </c>
      <c r="C7" s="171">
        <v>46106</v>
      </c>
      <c r="D7" s="171">
        <v>46119</v>
      </c>
      <c r="E7" s="96" t="s">
        <v>708</v>
      </c>
      <c r="F7" s="93" t="s">
        <v>317</v>
      </c>
      <c r="G7" s="93">
        <v>52283</v>
      </c>
      <c r="H7" s="96" t="s">
        <v>720</v>
      </c>
      <c r="I7" s="490" t="s">
        <v>306</v>
      </c>
      <c r="J7" s="93">
        <v>5</v>
      </c>
      <c r="K7" s="93">
        <v>7.87</v>
      </c>
      <c r="L7" s="93">
        <v>31.5</v>
      </c>
      <c r="M7" s="645">
        <v>46105</v>
      </c>
      <c r="N7" s="645">
        <v>46112</v>
      </c>
      <c r="O7" s="93" t="s">
        <v>12</v>
      </c>
      <c r="P7" s="93" t="s">
        <v>315</v>
      </c>
      <c r="Q7" s="93" t="s">
        <v>316</v>
      </c>
      <c r="R7" s="93" t="s">
        <v>313</v>
      </c>
      <c r="S7" s="93" t="s">
        <v>316</v>
      </c>
      <c r="T7" s="130" t="s">
        <v>721</v>
      </c>
      <c r="U7" s="645">
        <v>46112</v>
      </c>
      <c r="V7" s="645">
        <v>46112</v>
      </c>
      <c r="W7" s="96" t="s">
        <v>319</v>
      </c>
      <c r="X7" s="96" t="s">
        <v>316</v>
      </c>
      <c r="Y7" s="96" t="s">
        <v>319</v>
      </c>
      <c r="Z7" s="96" t="s">
        <v>320</v>
      </c>
      <c r="AA7" s="96" t="s">
        <v>316</v>
      </c>
      <c r="AB7" s="96" t="s">
        <v>316</v>
      </c>
      <c r="AC7" s="96" t="s">
        <v>316</v>
      </c>
      <c r="AD7" s="96"/>
      <c r="AE7" s="490" t="s">
        <v>423</v>
      </c>
      <c r="AF7" s="96" t="s">
        <v>722</v>
      </c>
      <c r="AG7" s="96" t="s">
        <v>723</v>
      </c>
      <c r="AH7" s="96" t="s">
        <v>724</v>
      </c>
      <c r="AI7" s="96" t="s">
        <v>725</v>
      </c>
      <c r="AJ7" s="93" t="s">
        <v>726</v>
      </c>
      <c r="AK7" s="96" t="s">
        <v>727</v>
      </c>
      <c r="AL7" s="93" t="s">
        <v>434</v>
      </c>
      <c r="AM7" s="93"/>
      <c r="AN7" s="93"/>
      <c r="AO7" s="93"/>
    </row>
    <row r="8" spans="1:41" ht="96">
      <c r="A8" s="93">
        <v>7</v>
      </c>
      <c r="B8" s="93" t="s">
        <v>302</v>
      </c>
      <c r="C8" s="171">
        <v>46106</v>
      </c>
      <c r="D8" s="171">
        <v>46119</v>
      </c>
      <c r="E8" s="96" t="s">
        <v>708</v>
      </c>
      <c r="F8" s="93" t="s">
        <v>315</v>
      </c>
      <c r="G8" s="93">
        <v>51861</v>
      </c>
      <c r="H8" s="96" t="s">
        <v>728</v>
      </c>
      <c r="I8" s="490" t="s">
        <v>306</v>
      </c>
      <c r="J8" s="93">
        <v>1</v>
      </c>
      <c r="K8" s="93">
        <v>2.62</v>
      </c>
      <c r="L8" s="93">
        <v>10.5</v>
      </c>
      <c r="M8" s="645">
        <v>46107</v>
      </c>
      <c r="N8" s="645">
        <v>46108</v>
      </c>
      <c r="O8" s="96" t="s">
        <v>12</v>
      </c>
      <c r="P8" s="93" t="s">
        <v>313</v>
      </c>
      <c r="Q8" s="96" t="s">
        <v>316</v>
      </c>
      <c r="R8" s="96" t="s">
        <v>317</v>
      </c>
      <c r="S8" s="96" t="s">
        <v>316</v>
      </c>
      <c r="T8" s="130" t="s">
        <v>729</v>
      </c>
      <c r="U8" s="171">
        <v>46111</v>
      </c>
      <c r="V8" s="171">
        <v>46111</v>
      </c>
      <c r="W8" s="96" t="s">
        <v>319</v>
      </c>
      <c r="X8" s="96" t="s">
        <v>316</v>
      </c>
      <c r="Y8" s="96" t="s">
        <v>319</v>
      </c>
      <c r="Z8" s="96" t="s">
        <v>320</v>
      </c>
      <c r="AA8" s="96" t="s">
        <v>316</v>
      </c>
      <c r="AB8" s="96" t="s">
        <v>316</v>
      </c>
      <c r="AC8" s="96" t="s">
        <v>316</v>
      </c>
      <c r="AD8" s="93"/>
      <c r="AE8" s="490" t="s">
        <v>423</v>
      </c>
      <c r="AF8" s="96" t="s">
        <v>730</v>
      </c>
      <c r="AG8" s="96" t="s">
        <v>731</v>
      </c>
      <c r="AH8" s="96" t="s">
        <v>732</v>
      </c>
      <c r="AI8" s="96" t="s">
        <v>733</v>
      </c>
      <c r="AJ8" s="96" t="s">
        <v>734</v>
      </c>
      <c r="AK8" s="93" t="s">
        <v>434</v>
      </c>
      <c r="AL8" s="93" t="s">
        <v>434</v>
      </c>
      <c r="AM8" s="93"/>
      <c r="AN8" s="93"/>
      <c r="AO8" s="93"/>
    </row>
    <row r="9" spans="1:41" ht="48">
      <c r="A9" s="93">
        <v>8</v>
      </c>
      <c r="B9" s="93" t="s">
        <v>302</v>
      </c>
      <c r="C9" s="171">
        <v>46106</v>
      </c>
      <c r="D9" s="171">
        <v>46119</v>
      </c>
      <c r="E9" s="96" t="s">
        <v>708</v>
      </c>
      <c r="F9" s="93" t="s">
        <v>315</v>
      </c>
      <c r="G9" s="129">
        <v>52282</v>
      </c>
      <c r="H9" s="96" t="s">
        <v>735</v>
      </c>
      <c r="I9" s="490" t="s">
        <v>306</v>
      </c>
      <c r="J9" s="93">
        <v>2</v>
      </c>
      <c r="K9" s="93">
        <v>1.75</v>
      </c>
      <c r="L9" s="93">
        <v>7</v>
      </c>
      <c r="M9" s="645">
        <v>46108</v>
      </c>
      <c r="N9" s="645">
        <v>46108</v>
      </c>
      <c r="O9" s="96" t="s">
        <v>12</v>
      </c>
      <c r="P9" s="93" t="s">
        <v>313</v>
      </c>
      <c r="Q9" s="96" t="s">
        <v>316</v>
      </c>
      <c r="R9" s="96" t="s">
        <v>317</v>
      </c>
      <c r="S9" s="96" t="s">
        <v>316</v>
      </c>
      <c r="T9" s="130" t="s">
        <v>736</v>
      </c>
      <c r="U9" s="171">
        <v>46112</v>
      </c>
      <c r="V9" s="171">
        <v>46112</v>
      </c>
      <c r="W9" s="96" t="s">
        <v>319</v>
      </c>
      <c r="X9" s="96" t="s">
        <v>316</v>
      </c>
      <c r="Y9" s="96" t="s">
        <v>319</v>
      </c>
      <c r="Z9" s="96" t="s">
        <v>320</v>
      </c>
      <c r="AA9" s="96" t="s">
        <v>316</v>
      </c>
      <c r="AB9" s="96" t="s">
        <v>316</v>
      </c>
      <c r="AC9" s="96" t="s">
        <v>316</v>
      </c>
      <c r="AD9" s="93"/>
      <c r="AE9" s="490" t="s">
        <v>423</v>
      </c>
      <c r="AF9" s="96"/>
      <c r="AG9" s="96"/>
      <c r="AH9" s="96"/>
      <c r="AI9" s="96"/>
      <c r="AJ9" s="96" t="s">
        <v>737</v>
      </c>
      <c r="AK9" s="93"/>
      <c r="AL9" s="93" t="s">
        <v>434</v>
      </c>
      <c r="AM9" s="93"/>
      <c r="AN9" s="93"/>
      <c r="AO9" s="93"/>
    </row>
    <row r="10" spans="1:41" ht="60">
      <c r="A10" s="93">
        <v>9</v>
      </c>
      <c r="B10" s="93" t="s">
        <v>302</v>
      </c>
      <c r="C10" s="171">
        <v>46106</v>
      </c>
      <c r="D10" s="171">
        <v>46119</v>
      </c>
      <c r="E10" s="96" t="s">
        <v>708</v>
      </c>
      <c r="F10" s="93" t="s">
        <v>315</v>
      </c>
      <c r="G10" s="93">
        <v>27010</v>
      </c>
      <c r="H10" s="93" t="s">
        <v>738</v>
      </c>
      <c r="I10" s="490" t="s">
        <v>376</v>
      </c>
      <c r="J10" s="93">
        <v>3</v>
      </c>
      <c r="K10" s="93">
        <v>2.5</v>
      </c>
      <c r="L10" s="93">
        <v>10</v>
      </c>
      <c r="M10" s="645">
        <v>46107</v>
      </c>
      <c r="N10" s="645">
        <v>46111</v>
      </c>
      <c r="O10" s="96" t="s">
        <v>12</v>
      </c>
      <c r="P10" s="93" t="s">
        <v>313</v>
      </c>
      <c r="Q10" s="96" t="s">
        <v>316</v>
      </c>
      <c r="R10" s="96" t="s">
        <v>317</v>
      </c>
      <c r="S10" s="96" t="s">
        <v>316</v>
      </c>
      <c r="T10" s="130" t="s">
        <v>739</v>
      </c>
      <c r="U10" s="171">
        <v>46112</v>
      </c>
      <c r="V10" s="171">
        <v>46112</v>
      </c>
      <c r="W10" s="96" t="s">
        <v>319</v>
      </c>
      <c r="X10" s="96" t="s">
        <v>316</v>
      </c>
      <c r="Y10" s="96" t="s">
        <v>319</v>
      </c>
      <c r="Z10" s="96" t="s">
        <v>320</v>
      </c>
      <c r="AA10" s="96" t="s">
        <v>316</v>
      </c>
      <c r="AB10" s="96" t="s">
        <v>316</v>
      </c>
      <c r="AC10" s="96" t="s">
        <v>316</v>
      </c>
      <c r="AD10" s="93"/>
      <c r="AE10" s="490" t="s">
        <v>423</v>
      </c>
      <c r="AF10" s="96"/>
      <c r="AG10" s="96" t="s">
        <v>406</v>
      </c>
      <c r="AH10" s="96" t="s">
        <v>740</v>
      </c>
      <c r="AI10" s="96" t="s">
        <v>741</v>
      </c>
      <c r="AJ10" s="93" t="s">
        <v>742</v>
      </c>
      <c r="AK10" s="93" t="s">
        <v>743</v>
      </c>
      <c r="AL10" s="93" t="s">
        <v>434</v>
      </c>
      <c r="AM10" s="93"/>
      <c r="AN10" s="93"/>
      <c r="AO10" s="93"/>
    </row>
    <row r="11" spans="1:41" ht="60">
      <c r="A11" s="93">
        <v>10</v>
      </c>
      <c r="B11" s="93" t="s">
        <v>302</v>
      </c>
      <c r="C11" s="171">
        <v>46106</v>
      </c>
      <c r="D11" s="171">
        <v>46119</v>
      </c>
      <c r="E11" s="96" t="s">
        <v>744</v>
      </c>
      <c r="F11" s="93" t="s">
        <v>315</v>
      </c>
      <c r="G11" s="93">
        <v>51841</v>
      </c>
      <c r="H11" s="96" t="s">
        <v>745</v>
      </c>
      <c r="I11" s="490" t="s">
        <v>306</v>
      </c>
      <c r="J11" s="93">
        <v>3</v>
      </c>
      <c r="K11" s="93">
        <v>1.5</v>
      </c>
      <c r="L11" s="93">
        <v>6</v>
      </c>
      <c r="M11" s="171" t="s">
        <v>320</v>
      </c>
      <c r="N11" s="171" t="s">
        <v>320</v>
      </c>
      <c r="O11" s="171" t="s">
        <v>320</v>
      </c>
      <c r="P11" s="171" t="s">
        <v>320</v>
      </c>
      <c r="Q11" s="171" t="s">
        <v>320</v>
      </c>
      <c r="R11" s="171" t="s">
        <v>320</v>
      </c>
      <c r="S11" s="171" t="s">
        <v>320</v>
      </c>
      <c r="T11" s="171" t="s">
        <v>320</v>
      </c>
      <c r="U11" s="171" t="s">
        <v>320</v>
      </c>
      <c r="V11" s="171" t="s">
        <v>320</v>
      </c>
      <c r="W11" s="171" t="s">
        <v>320</v>
      </c>
      <c r="X11" s="171" t="s">
        <v>320</v>
      </c>
      <c r="Y11" s="171" t="s">
        <v>320</v>
      </c>
      <c r="Z11" s="171" t="s">
        <v>320</v>
      </c>
      <c r="AA11" s="171" t="s">
        <v>320</v>
      </c>
      <c r="AB11" s="171" t="s">
        <v>320</v>
      </c>
      <c r="AC11" s="171" t="s">
        <v>320</v>
      </c>
      <c r="AD11" s="96" t="s">
        <v>746</v>
      </c>
      <c r="AE11" s="490" t="s">
        <v>423</v>
      </c>
      <c r="AF11" s="96"/>
      <c r="AG11" s="96" t="s">
        <v>747</v>
      </c>
      <c r="AH11" s="96" t="s">
        <v>748</v>
      </c>
      <c r="AI11" s="96" t="s">
        <v>749</v>
      </c>
      <c r="AJ11" s="93" t="s">
        <v>12</v>
      </c>
      <c r="AK11" s="93" t="s">
        <v>434</v>
      </c>
      <c r="AL11" s="93" t="s">
        <v>434</v>
      </c>
      <c r="AM11" s="93"/>
      <c r="AN11" s="93"/>
      <c r="AO11" s="93"/>
    </row>
    <row r="12" spans="1:41" ht="60">
      <c r="A12" s="93">
        <v>11</v>
      </c>
      <c r="B12" s="93" t="s">
        <v>302</v>
      </c>
      <c r="C12" s="171">
        <v>46106</v>
      </c>
      <c r="D12" s="171">
        <v>46119</v>
      </c>
      <c r="E12" s="96" t="s">
        <v>744</v>
      </c>
      <c r="F12" s="93" t="s">
        <v>313</v>
      </c>
      <c r="G12" s="93">
        <v>25100</v>
      </c>
      <c r="H12" s="96" t="s">
        <v>750</v>
      </c>
      <c r="I12" s="490" t="s">
        <v>376</v>
      </c>
      <c r="J12" s="93">
        <v>2</v>
      </c>
      <c r="K12" s="93">
        <v>3</v>
      </c>
      <c r="L12" s="93">
        <v>12</v>
      </c>
      <c r="M12" s="171">
        <v>46112</v>
      </c>
      <c r="N12" s="171">
        <v>46112</v>
      </c>
      <c r="O12" s="96" t="s">
        <v>12</v>
      </c>
      <c r="P12" s="96" t="s">
        <v>315</v>
      </c>
      <c r="Q12" s="96" t="s">
        <v>316</v>
      </c>
      <c r="R12" s="96" t="s">
        <v>317</v>
      </c>
      <c r="S12" s="96" t="s">
        <v>316</v>
      </c>
      <c r="T12" s="130" t="s">
        <v>751</v>
      </c>
      <c r="U12" s="171">
        <v>46113</v>
      </c>
      <c r="V12" s="171">
        <v>46113</v>
      </c>
      <c r="W12" s="96" t="s">
        <v>319</v>
      </c>
      <c r="X12" s="96" t="s">
        <v>316</v>
      </c>
      <c r="Y12" s="96" t="s">
        <v>319</v>
      </c>
      <c r="Z12" s="96" t="s">
        <v>320</v>
      </c>
      <c r="AA12" s="96" t="s">
        <v>316</v>
      </c>
      <c r="AB12" s="96" t="s">
        <v>316</v>
      </c>
      <c r="AC12" s="96" t="s">
        <v>316</v>
      </c>
      <c r="AD12" s="93"/>
      <c r="AE12" s="490" t="s">
        <v>423</v>
      </c>
      <c r="AF12" s="96"/>
      <c r="AG12" s="96"/>
      <c r="AH12" s="96"/>
      <c r="AI12" s="96"/>
      <c r="AJ12" s="93" t="s">
        <v>752</v>
      </c>
      <c r="AK12" s="96" t="s">
        <v>753</v>
      </c>
      <c r="AL12" s="96" t="s">
        <v>754</v>
      </c>
      <c r="AM12" s="93"/>
      <c r="AN12" s="93"/>
      <c r="AO12" s="93"/>
    </row>
    <row r="13" spans="1:41" ht="36">
      <c r="A13" s="93">
        <v>12</v>
      </c>
      <c r="B13" s="93" t="s">
        <v>302</v>
      </c>
      <c r="C13" s="171">
        <v>46106</v>
      </c>
      <c r="D13" s="171">
        <v>46119</v>
      </c>
      <c r="E13" s="96" t="s">
        <v>744</v>
      </c>
      <c r="F13" s="93" t="s">
        <v>315</v>
      </c>
      <c r="G13" s="93">
        <v>52469</v>
      </c>
      <c r="H13" s="96" t="s">
        <v>755</v>
      </c>
      <c r="I13" s="490" t="s">
        <v>306</v>
      </c>
      <c r="J13" s="93">
        <v>5</v>
      </c>
      <c r="K13" s="93">
        <v>4</v>
      </c>
      <c r="L13" s="93">
        <v>16</v>
      </c>
      <c r="M13" s="645">
        <v>46111</v>
      </c>
      <c r="N13" s="645">
        <v>46113</v>
      </c>
      <c r="O13" s="96" t="s">
        <v>320</v>
      </c>
      <c r="P13" s="96" t="s">
        <v>320</v>
      </c>
      <c r="Q13" s="96" t="s">
        <v>320</v>
      </c>
      <c r="R13" s="96" t="s">
        <v>320</v>
      </c>
      <c r="S13" s="96" t="s">
        <v>320</v>
      </c>
      <c r="T13" s="96" t="s">
        <v>320</v>
      </c>
      <c r="U13" s="96" t="s">
        <v>320</v>
      </c>
      <c r="V13" s="96" t="s">
        <v>320</v>
      </c>
      <c r="W13" s="96" t="s">
        <v>320</v>
      </c>
      <c r="X13" s="96" t="s">
        <v>320</v>
      </c>
      <c r="Y13" s="96" t="s">
        <v>320</v>
      </c>
      <c r="Z13" s="96" t="s">
        <v>320</v>
      </c>
      <c r="AA13" s="96" t="s">
        <v>320</v>
      </c>
      <c r="AB13" s="96" t="s">
        <v>316</v>
      </c>
      <c r="AC13" s="96" t="s">
        <v>316</v>
      </c>
      <c r="AD13" s="96" t="s">
        <v>756</v>
      </c>
      <c r="AE13" s="490" t="s">
        <v>423</v>
      </c>
      <c r="AF13" s="96"/>
      <c r="AG13" s="96"/>
      <c r="AH13" s="96"/>
      <c r="AI13" s="96"/>
      <c r="AJ13" s="96" t="s">
        <v>757</v>
      </c>
      <c r="AK13" s="96" t="s">
        <v>758</v>
      </c>
      <c r="AL13" s="93" t="s">
        <v>565</v>
      </c>
      <c r="AM13" s="93" t="s">
        <v>12</v>
      </c>
      <c r="AN13" s="93"/>
      <c r="AO13" s="93"/>
    </row>
    <row r="14" spans="1:41" ht="60">
      <c r="A14" s="93">
        <v>13</v>
      </c>
      <c r="B14" s="93" t="s">
        <v>302</v>
      </c>
      <c r="C14" s="649">
        <v>46106</v>
      </c>
      <c r="D14" s="649">
        <v>46119</v>
      </c>
      <c r="E14" s="119" t="s">
        <v>744</v>
      </c>
      <c r="F14" s="118" t="s">
        <v>313</v>
      </c>
      <c r="G14" s="118">
        <v>27057</v>
      </c>
      <c r="H14" s="119" t="s">
        <v>759</v>
      </c>
      <c r="I14" s="561" t="s">
        <v>376</v>
      </c>
      <c r="J14" s="118">
        <v>0</v>
      </c>
      <c r="K14" s="118">
        <v>0.5</v>
      </c>
      <c r="L14" s="118">
        <v>2.25</v>
      </c>
      <c r="M14" s="649">
        <v>46106</v>
      </c>
      <c r="N14" s="649">
        <v>46106</v>
      </c>
      <c r="O14" s="119" t="s">
        <v>12</v>
      </c>
      <c r="P14" s="119" t="s">
        <v>315</v>
      </c>
      <c r="Q14" s="119" t="s">
        <v>316</v>
      </c>
      <c r="R14" s="119" t="s">
        <v>317</v>
      </c>
      <c r="S14" s="119" t="s">
        <v>316</v>
      </c>
      <c r="T14" s="170" t="s">
        <v>760</v>
      </c>
      <c r="U14" s="649">
        <v>46111</v>
      </c>
      <c r="V14" s="649">
        <v>46111</v>
      </c>
      <c r="W14" s="119" t="s">
        <v>319</v>
      </c>
      <c r="X14" s="119" t="s">
        <v>316</v>
      </c>
      <c r="Y14" s="119" t="s">
        <v>319</v>
      </c>
      <c r="Z14" s="119" t="s">
        <v>320</v>
      </c>
      <c r="AA14" s="119" t="s">
        <v>316</v>
      </c>
      <c r="AB14" s="119" t="s">
        <v>316</v>
      </c>
      <c r="AC14" s="119" t="s">
        <v>316</v>
      </c>
      <c r="AD14" s="118"/>
      <c r="AE14" s="490" t="s">
        <v>423</v>
      </c>
      <c r="AF14" s="119" t="s">
        <v>761</v>
      </c>
      <c r="AG14" s="119" t="s">
        <v>762</v>
      </c>
      <c r="AH14" s="119" t="s">
        <v>763</v>
      </c>
      <c r="AI14" s="119" t="s">
        <v>764</v>
      </c>
      <c r="AJ14" s="118" t="s">
        <v>607</v>
      </c>
      <c r="AK14" s="118" t="s">
        <v>765</v>
      </c>
      <c r="AL14" s="119" t="s">
        <v>766</v>
      </c>
      <c r="AM14" s="118" t="s">
        <v>767</v>
      </c>
      <c r="AN14" s="118"/>
      <c r="AO14" s="118"/>
    </row>
    <row r="15" spans="1:41" ht="107.25">
      <c r="A15" s="93">
        <v>14</v>
      </c>
      <c r="B15" s="620" t="s">
        <v>302</v>
      </c>
      <c r="C15" s="171">
        <v>46106</v>
      </c>
      <c r="D15" s="171">
        <v>46119</v>
      </c>
      <c r="E15" s="96" t="s">
        <v>744</v>
      </c>
      <c r="F15" s="93" t="s">
        <v>313</v>
      </c>
      <c r="G15" s="93">
        <v>45225</v>
      </c>
      <c r="H15" s="96" t="s">
        <v>768</v>
      </c>
      <c r="I15" s="490" t="s">
        <v>380</v>
      </c>
      <c r="J15" s="93">
        <v>5</v>
      </c>
      <c r="K15" s="93">
        <v>6</v>
      </c>
      <c r="L15" s="93">
        <v>24</v>
      </c>
      <c r="M15" s="649">
        <v>46108</v>
      </c>
      <c r="N15" s="649">
        <v>46113</v>
      </c>
      <c r="O15" s="119" t="s">
        <v>12</v>
      </c>
      <c r="P15" s="96" t="s">
        <v>320</v>
      </c>
      <c r="Q15" s="96" t="s">
        <v>320</v>
      </c>
      <c r="R15" s="96" t="s">
        <v>320</v>
      </c>
      <c r="S15" s="96" t="s">
        <v>320</v>
      </c>
      <c r="T15" s="96" t="s">
        <v>320</v>
      </c>
      <c r="U15" s="96" t="s">
        <v>320</v>
      </c>
      <c r="V15" s="96" t="s">
        <v>320</v>
      </c>
      <c r="W15" s="96" t="s">
        <v>320</v>
      </c>
      <c r="X15" s="96" t="s">
        <v>320</v>
      </c>
      <c r="Y15" s="96" t="s">
        <v>320</v>
      </c>
      <c r="Z15" s="96" t="s">
        <v>320</v>
      </c>
      <c r="AA15" s="96" t="s">
        <v>320</v>
      </c>
      <c r="AB15" s="96" t="s">
        <v>320</v>
      </c>
      <c r="AC15" s="96" t="s">
        <v>320</v>
      </c>
      <c r="AD15" s="96" t="s">
        <v>769</v>
      </c>
      <c r="AE15" s="490" t="s">
        <v>423</v>
      </c>
      <c r="AF15" s="96"/>
      <c r="AG15" s="96"/>
      <c r="AH15" s="96" t="s">
        <v>770</v>
      </c>
      <c r="AI15" s="96" t="s">
        <v>771</v>
      </c>
      <c r="AJ15" s="96" t="s">
        <v>772</v>
      </c>
      <c r="AK15" s="96" t="s">
        <v>773</v>
      </c>
      <c r="AL15" s="96" t="s">
        <v>774</v>
      </c>
      <c r="AM15" s="96" t="s">
        <v>775</v>
      </c>
      <c r="AN15" s="96" t="s">
        <v>776</v>
      </c>
      <c r="AO15" s="93" t="s">
        <v>777</v>
      </c>
    </row>
    <row r="16" spans="1:41" ht="36">
      <c r="A16" s="118">
        <v>15</v>
      </c>
      <c r="B16" s="117" t="s">
        <v>302</v>
      </c>
      <c r="C16" s="171">
        <v>46106</v>
      </c>
      <c r="D16" s="171">
        <v>46119</v>
      </c>
      <c r="E16" s="96" t="s">
        <v>744</v>
      </c>
      <c r="F16" s="93" t="s">
        <v>315</v>
      </c>
      <c r="G16" s="571" t="s">
        <v>367</v>
      </c>
      <c r="H16" s="96" t="s">
        <v>778</v>
      </c>
      <c r="I16" s="490" t="s">
        <v>380</v>
      </c>
      <c r="J16" s="93">
        <v>3</v>
      </c>
      <c r="K16" s="93">
        <v>3.37</v>
      </c>
      <c r="L16" s="93">
        <v>13.5</v>
      </c>
      <c r="M16" s="171">
        <v>46114</v>
      </c>
      <c r="N16" s="171">
        <v>46115</v>
      </c>
      <c r="O16" s="96" t="s">
        <v>320</v>
      </c>
      <c r="P16" s="96" t="s">
        <v>320</v>
      </c>
      <c r="Q16" s="96" t="s">
        <v>320</v>
      </c>
      <c r="R16" s="96" t="s">
        <v>320</v>
      </c>
      <c r="S16" s="96" t="s">
        <v>320</v>
      </c>
      <c r="T16" s="96" t="s">
        <v>320</v>
      </c>
      <c r="U16" s="96" t="s">
        <v>320</v>
      </c>
      <c r="V16" s="96" t="s">
        <v>320</v>
      </c>
      <c r="W16" s="96" t="s">
        <v>320</v>
      </c>
      <c r="X16" s="96" t="s">
        <v>320</v>
      </c>
      <c r="Y16" s="96" t="s">
        <v>320</v>
      </c>
      <c r="Z16" s="96" t="s">
        <v>320</v>
      </c>
      <c r="AA16" s="96" t="s">
        <v>320</v>
      </c>
      <c r="AB16" s="96" t="s">
        <v>320</v>
      </c>
      <c r="AC16" s="96" t="s">
        <v>320</v>
      </c>
      <c r="AD16" s="93" t="s">
        <v>779</v>
      </c>
      <c r="AE16" s="490" t="s">
        <v>423</v>
      </c>
      <c r="AF16" s="96"/>
      <c r="AG16" s="96"/>
      <c r="AH16" s="96"/>
      <c r="AI16" s="96"/>
      <c r="AJ16" s="93" t="s">
        <v>780</v>
      </c>
      <c r="AK16" s="93"/>
      <c r="AL16" s="96" t="s">
        <v>781</v>
      </c>
      <c r="AM16" s="96" t="s">
        <v>782</v>
      </c>
      <c r="AN16" s="93" t="s">
        <v>783</v>
      </c>
      <c r="AO16" s="96" t="s">
        <v>784</v>
      </c>
    </row>
    <row r="17" spans="1:41" ht="36">
      <c r="A17" s="118">
        <v>16</v>
      </c>
      <c r="B17" s="117" t="s">
        <v>302</v>
      </c>
      <c r="C17" s="171">
        <v>46106</v>
      </c>
      <c r="D17" s="171">
        <v>46119</v>
      </c>
      <c r="E17" s="96" t="s">
        <v>744</v>
      </c>
      <c r="F17" s="93" t="s">
        <v>313</v>
      </c>
      <c r="G17" s="93">
        <v>24926</v>
      </c>
      <c r="H17" s="96" t="s">
        <v>785</v>
      </c>
      <c r="I17" s="490" t="s">
        <v>348</v>
      </c>
      <c r="J17" s="93">
        <v>3</v>
      </c>
      <c r="K17" s="93">
        <v>2</v>
      </c>
      <c r="L17" s="93">
        <v>8</v>
      </c>
      <c r="M17" s="171">
        <v>46114</v>
      </c>
      <c r="N17" s="171">
        <v>46115</v>
      </c>
      <c r="O17" s="96" t="s">
        <v>320</v>
      </c>
      <c r="P17" s="96" t="s">
        <v>320</v>
      </c>
      <c r="Q17" s="96" t="s">
        <v>320</v>
      </c>
      <c r="R17" s="96" t="s">
        <v>320</v>
      </c>
      <c r="S17" s="96" t="s">
        <v>320</v>
      </c>
      <c r="T17" s="96" t="s">
        <v>320</v>
      </c>
      <c r="U17" s="96" t="s">
        <v>320</v>
      </c>
      <c r="V17" s="96" t="s">
        <v>320</v>
      </c>
      <c r="W17" s="96" t="s">
        <v>320</v>
      </c>
      <c r="X17" s="96" t="s">
        <v>320</v>
      </c>
      <c r="Y17" s="96" t="s">
        <v>320</v>
      </c>
      <c r="Z17" s="96" t="s">
        <v>320</v>
      </c>
      <c r="AA17" s="96" t="s">
        <v>320</v>
      </c>
      <c r="AB17" s="96" t="s">
        <v>320</v>
      </c>
      <c r="AC17" s="96" t="s">
        <v>320</v>
      </c>
      <c r="AD17" s="96" t="s">
        <v>786</v>
      </c>
      <c r="AE17" s="490" t="s">
        <v>423</v>
      </c>
      <c r="AF17" s="96"/>
      <c r="AG17" s="96"/>
      <c r="AH17" s="96"/>
      <c r="AI17" s="96"/>
      <c r="AJ17" s="93"/>
      <c r="AK17" s="93"/>
      <c r="AL17" s="93" t="s">
        <v>787</v>
      </c>
      <c r="AM17" s="93" t="s">
        <v>788</v>
      </c>
      <c r="AN17" s="93" t="s">
        <v>789</v>
      </c>
      <c r="AO17" s="93" t="s">
        <v>790</v>
      </c>
    </row>
    <row r="18" spans="1:41" ht="36">
      <c r="A18" s="93">
        <v>17</v>
      </c>
      <c r="B18" s="620" t="s">
        <v>302</v>
      </c>
      <c r="C18" s="171">
        <v>46106</v>
      </c>
      <c r="D18" s="171">
        <v>46119</v>
      </c>
      <c r="E18" s="96" t="s">
        <v>744</v>
      </c>
      <c r="F18" s="93" t="s">
        <v>317</v>
      </c>
      <c r="G18" s="93" t="s">
        <v>791</v>
      </c>
      <c r="H18" s="96" t="s">
        <v>431</v>
      </c>
      <c r="I18" s="490" t="s">
        <v>399</v>
      </c>
      <c r="J18" s="93">
        <v>3</v>
      </c>
      <c r="K18" s="93">
        <v>4.75</v>
      </c>
      <c r="L18" s="93">
        <v>19</v>
      </c>
      <c r="M18" s="171">
        <v>46112</v>
      </c>
      <c r="N18" s="96" t="s">
        <v>320</v>
      </c>
      <c r="O18" s="96" t="s">
        <v>320</v>
      </c>
      <c r="P18" s="96" t="s">
        <v>320</v>
      </c>
      <c r="Q18" s="96" t="s">
        <v>320</v>
      </c>
      <c r="R18" s="96" t="s">
        <v>320</v>
      </c>
      <c r="S18" s="96" t="s">
        <v>320</v>
      </c>
      <c r="T18" s="96" t="s">
        <v>320</v>
      </c>
      <c r="U18" s="96" t="s">
        <v>320</v>
      </c>
      <c r="V18" s="96" t="s">
        <v>320</v>
      </c>
      <c r="W18" s="96" t="s">
        <v>320</v>
      </c>
      <c r="X18" s="96" t="s">
        <v>320</v>
      </c>
      <c r="Y18" s="96" t="s">
        <v>320</v>
      </c>
      <c r="Z18" s="96" t="s">
        <v>320</v>
      </c>
      <c r="AA18" s="96" t="s">
        <v>320</v>
      </c>
      <c r="AB18" s="96" t="s">
        <v>320</v>
      </c>
      <c r="AC18" s="96" t="s">
        <v>320</v>
      </c>
      <c r="AD18" s="93" t="s">
        <v>792</v>
      </c>
      <c r="AE18" s="490" t="s">
        <v>423</v>
      </c>
      <c r="AF18" s="96"/>
      <c r="AG18" s="96"/>
      <c r="AH18" s="96"/>
      <c r="AI18" s="96"/>
      <c r="AJ18" s="93"/>
      <c r="AK18" s="93"/>
      <c r="AL18" s="93"/>
      <c r="AM18" s="118" t="s">
        <v>793</v>
      </c>
      <c r="AN18" s="118" t="s">
        <v>794</v>
      </c>
      <c r="AO18" s="119" t="s">
        <v>795</v>
      </c>
    </row>
    <row r="19" spans="1:41" ht="36">
      <c r="A19" s="93">
        <v>18</v>
      </c>
      <c r="B19" s="620" t="s">
        <v>302</v>
      </c>
      <c r="C19" s="171">
        <v>46106</v>
      </c>
      <c r="D19" s="171">
        <v>46119</v>
      </c>
      <c r="E19" s="96" t="s">
        <v>744</v>
      </c>
      <c r="F19" s="93" t="s">
        <v>315</v>
      </c>
      <c r="G19" s="93" t="s">
        <v>361</v>
      </c>
      <c r="H19" s="96" t="s">
        <v>796</v>
      </c>
      <c r="I19" s="490" t="s">
        <v>399</v>
      </c>
      <c r="J19" s="93">
        <v>3</v>
      </c>
      <c r="K19" s="93">
        <v>2.25</v>
      </c>
      <c r="L19" s="93">
        <v>9</v>
      </c>
      <c r="M19" s="171">
        <v>46118</v>
      </c>
      <c r="N19" s="96" t="s">
        <v>320</v>
      </c>
      <c r="O19" s="96" t="s">
        <v>320</v>
      </c>
      <c r="P19" s="96" t="s">
        <v>320</v>
      </c>
      <c r="Q19" s="96" t="s">
        <v>320</v>
      </c>
      <c r="R19" s="96" t="s">
        <v>320</v>
      </c>
      <c r="S19" s="96" t="s">
        <v>320</v>
      </c>
      <c r="T19" s="96" t="s">
        <v>320</v>
      </c>
      <c r="U19" s="96" t="s">
        <v>320</v>
      </c>
      <c r="V19" s="96" t="s">
        <v>320</v>
      </c>
      <c r="W19" s="96" t="s">
        <v>320</v>
      </c>
      <c r="X19" s="96" t="s">
        <v>320</v>
      </c>
      <c r="Y19" s="96" t="s">
        <v>320</v>
      </c>
      <c r="Z19" s="96" t="s">
        <v>320</v>
      </c>
      <c r="AA19" s="96" t="s">
        <v>320</v>
      </c>
      <c r="AB19" s="96" t="s">
        <v>320</v>
      </c>
      <c r="AC19" s="96" t="s">
        <v>320</v>
      </c>
      <c r="AD19" s="96" t="s">
        <v>797</v>
      </c>
      <c r="AE19" s="490" t="s">
        <v>423</v>
      </c>
      <c r="AF19" s="96"/>
      <c r="AG19" s="96"/>
      <c r="AH19" s="96"/>
      <c r="AI19" s="96"/>
      <c r="AJ19" s="93"/>
      <c r="AK19" s="93"/>
      <c r="AL19" s="620"/>
      <c r="AM19" s="93"/>
      <c r="AN19" s="93" t="s">
        <v>798</v>
      </c>
      <c r="AO19" s="93" t="s">
        <v>563</v>
      </c>
    </row>
    <row r="20" spans="1:41" ht="72">
      <c r="A20">
        <v>19</v>
      </c>
      <c r="B20" s="620" t="s">
        <v>302</v>
      </c>
      <c r="C20" s="171">
        <v>46106</v>
      </c>
      <c r="D20" s="171">
        <v>46119</v>
      </c>
      <c r="E20" s="96" t="s">
        <v>744</v>
      </c>
      <c r="F20" s="93" t="s">
        <v>304</v>
      </c>
      <c r="G20" s="93">
        <v>52572</v>
      </c>
      <c r="H20" s="93" t="s">
        <v>799</v>
      </c>
      <c r="I20" s="490" t="s">
        <v>306</v>
      </c>
      <c r="J20" s="93">
        <v>3</v>
      </c>
      <c r="K20" s="93">
        <v>1.25</v>
      </c>
      <c r="L20" s="93">
        <v>5</v>
      </c>
      <c r="M20" s="171" t="s">
        <v>320</v>
      </c>
      <c r="N20" s="171" t="s">
        <v>320</v>
      </c>
      <c r="O20" s="171" t="s">
        <v>320</v>
      </c>
      <c r="P20" s="171" t="s">
        <v>320</v>
      </c>
      <c r="Q20" s="171" t="s">
        <v>320</v>
      </c>
      <c r="R20" s="171" t="s">
        <v>320</v>
      </c>
      <c r="S20" s="171" t="s">
        <v>320</v>
      </c>
      <c r="T20" s="171" t="s">
        <v>320</v>
      </c>
      <c r="U20" s="171" t="s">
        <v>320</v>
      </c>
      <c r="V20" s="171" t="s">
        <v>320</v>
      </c>
      <c r="W20" s="171" t="s">
        <v>320</v>
      </c>
      <c r="X20" s="171" t="s">
        <v>320</v>
      </c>
      <c r="Y20" s="171" t="s">
        <v>320</v>
      </c>
      <c r="Z20" s="171" t="s">
        <v>320</v>
      </c>
      <c r="AA20" s="171" t="s">
        <v>320</v>
      </c>
      <c r="AB20" s="171" t="s">
        <v>320</v>
      </c>
      <c r="AC20" s="171" t="s">
        <v>320</v>
      </c>
      <c r="AD20" s="96" t="s">
        <v>536</v>
      </c>
      <c r="AE20" s="490" t="s">
        <v>423</v>
      </c>
      <c r="AF20" s="96"/>
      <c r="AG20" s="96"/>
      <c r="AH20" s="96"/>
      <c r="AI20" s="96"/>
      <c r="AJ20" s="93"/>
      <c r="AK20" s="93"/>
      <c r="AL20" s="620"/>
      <c r="AM20" s="93"/>
      <c r="AN20" s="93"/>
      <c r="AO20" s="96" t="s">
        <v>800</v>
      </c>
    </row>
    <row r="21" spans="1:41" ht="48">
      <c r="A21">
        <v>20</v>
      </c>
      <c r="B21" s="117" t="s">
        <v>302</v>
      </c>
      <c r="C21" s="649">
        <v>46106</v>
      </c>
      <c r="D21" s="649">
        <v>46119</v>
      </c>
      <c r="E21" s="119" t="s">
        <v>744</v>
      </c>
      <c r="F21" s="118" t="s">
        <v>304</v>
      </c>
      <c r="G21" s="118">
        <v>52277</v>
      </c>
      <c r="H21" s="118" t="s">
        <v>421</v>
      </c>
      <c r="I21" s="561" t="s">
        <v>503</v>
      </c>
      <c r="J21" s="118">
        <v>3</v>
      </c>
      <c r="K21" s="118">
        <v>1.5</v>
      </c>
      <c r="L21" s="118">
        <v>6</v>
      </c>
      <c r="M21" s="171" t="s">
        <v>320</v>
      </c>
      <c r="N21" s="171" t="s">
        <v>320</v>
      </c>
      <c r="O21" s="171" t="s">
        <v>320</v>
      </c>
      <c r="P21" s="171" t="s">
        <v>320</v>
      </c>
      <c r="Q21" s="171" t="s">
        <v>320</v>
      </c>
      <c r="R21" s="171" t="s">
        <v>320</v>
      </c>
      <c r="S21" s="171" t="s">
        <v>320</v>
      </c>
      <c r="T21" s="171" t="s">
        <v>320</v>
      </c>
      <c r="U21" s="171" t="s">
        <v>320</v>
      </c>
      <c r="V21" s="171" t="s">
        <v>320</v>
      </c>
      <c r="W21" s="171" t="s">
        <v>320</v>
      </c>
      <c r="X21" s="171" t="s">
        <v>320</v>
      </c>
      <c r="Y21" s="171" t="s">
        <v>320</v>
      </c>
      <c r="Z21" s="171" t="s">
        <v>320</v>
      </c>
      <c r="AA21" s="171" t="s">
        <v>320</v>
      </c>
      <c r="AB21" s="171" t="s">
        <v>320</v>
      </c>
      <c r="AC21" s="171" t="s">
        <v>320</v>
      </c>
      <c r="AD21" s="119" t="s">
        <v>801</v>
      </c>
      <c r="AE21" s="490" t="s">
        <v>423</v>
      </c>
      <c r="AF21" s="119"/>
      <c r="AG21" s="119"/>
      <c r="AH21" s="119"/>
      <c r="AI21" s="119"/>
      <c r="AJ21" s="118"/>
      <c r="AK21" s="118"/>
      <c r="AL21" s="117"/>
      <c r="AM21" s="118"/>
      <c r="AN21" s="118"/>
      <c r="AO21" s="118" t="s">
        <v>802</v>
      </c>
    </row>
    <row r="22" spans="1:41" ht="36">
      <c r="A22" s="93">
        <v>21</v>
      </c>
      <c r="B22" s="93" t="s">
        <v>302</v>
      </c>
      <c r="C22" s="171">
        <v>46106</v>
      </c>
      <c r="D22" s="171">
        <v>46119</v>
      </c>
      <c r="E22" s="96" t="s">
        <v>744</v>
      </c>
      <c r="F22" s="93" t="s">
        <v>317</v>
      </c>
      <c r="G22" s="93">
        <v>25660</v>
      </c>
      <c r="H22" s="96" t="s">
        <v>803</v>
      </c>
      <c r="I22" s="490" t="s">
        <v>399</v>
      </c>
      <c r="J22" s="93">
        <v>3</v>
      </c>
      <c r="K22" s="93">
        <v>0.75</v>
      </c>
      <c r="L22" s="93">
        <v>3</v>
      </c>
      <c r="M22" s="171">
        <v>46119</v>
      </c>
      <c r="N22" s="171" t="s">
        <v>320</v>
      </c>
      <c r="O22" s="171" t="s">
        <v>320</v>
      </c>
      <c r="P22" s="171" t="s">
        <v>320</v>
      </c>
      <c r="Q22" s="171" t="s">
        <v>320</v>
      </c>
      <c r="R22" s="171" t="s">
        <v>320</v>
      </c>
      <c r="S22" s="171" t="s">
        <v>320</v>
      </c>
      <c r="T22" s="171" t="s">
        <v>320</v>
      </c>
      <c r="U22" s="171" t="s">
        <v>320</v>
      </c>
      <c r="V22" s="171" t="s">
        <v>320</v>
      </c>
      <c r="W22" s="171" t="s">
        <v>320</v>
      </c>
      <c r="X22" s="171" t="s">
        <v>320</v>
      </c>
      <c r="Y22" s="171" t="s">
        <v>320</v>
      </c>
      <c r="Z22" s="171" t="s">
        <v>320</v>
      </c>
      <c r="AA22" s="171" t="s">
        <v>320</v>
      </c>
      <c r="AB22" s="171" t="s">
        <v>320</v>
      </c>
      <c r="AC22" s="171" t="s">
        <v>320</v>
      </c>
      <c r="AD22" s="96" t="s">
        <v>804</v>
      </c>
      <c r="AE22" s="490" t="s">
        <v>423</v>
      </c>
      <c r="AF22" s="96"/>
      <c r="AG22" s="96"/>
      <c r="AH22" s="96"/>
      <c r="AI22" s="96"/>
      <c r="AJ22" s="93"/>
      <c r="AK22" s="93"/>
      <c r="AL22" s="93"/>
      <c r="AM22" s="93"/>
      <c r="AN22" s="93"/>
      <c r="AO22" s="96" t="s">
        <v>805</v>
      </c>
    </row>
  </sheetData>
  <conditionalFormatting sqref="J1 I9 I2:I7 I12:I15">
    <cfRule type="containsText" dxfId="902" priority="37" operator="containsText" text="Closed">
      <formula>NOT(ISERROR(SEARCH("Closed",I1)))</formula>
    </cfRule>
    <cfRule type="containsText" dxfId="901" priority="38" operator="containsText" text="Open">
      <formula>NOT(ISERROR(SEARCH("Open",I1)))</formula>
    </cfRule>
    <cfRule type="containsText" dxfId="900" priority="39" operator="containsText" text="Inprogress">
      <formula>NOT(ISERROR(SEARCH("Inprogress",I1)))</formula>
    </cfRule>
  </conditionalFormatting>
  <conditionalFormatting sqref="I11">
    <cfRule type="containsText" dxfId="899" priority="25" operator="containsText" text="Closed">
      <formula>NOT(ISERROR(SEARCH("Closed",I11)))</formula>
    </cfRule>
    <cfRule type="containsText" dxfId="898" priority="26" operator="containsText" text="Open">
      <formula>NOT(ISERROR(SEARCH("Open",I11)))</formula>
    </cfRule>
    <cfRule type="containsText" dxfId="897" priority="27" operator="containsText" text="Inprogress">
      <formula>NOT(ISERROR(SEARCH("Inprogress",I11)))</formula>
    </cfRule>
  </conditionalFormatting>
  <conditionalFormatting sqref="I10">
    <cfRule type="containsText" dxfId="896" priority="13" operator="containsText" text="Closed">
      <formula>NOT(ISERROR(SEARCH("Closed",I10)))</formula>
    </cfRule>
    <cfRule type="containsText" dxfId="895" priority="14" operator="containsText" text="Open">
      <formula>NOT(ISERROR(SEARCH("Open",I10)))</formula>
    </cfRule>
    <cfRule type="containsText" dxfId="894" priority="15" operator="containsText" text="Inprogress">
      <formula>NOT(ISERROR(SEARCH("Inprogress",I10)))</formula>
    </cfRule>
  </conditionalFormatting>
  <conditionalFormatting sqref="I8">
    <cfRule type="containsText" dxfId="893" priority="10" operator="containsText" text="Closed">
      <formula>NOT(ISERROR(SEARCH("Closed",I8)))</formula>
    </cfRule>
    <cfRule type="containsText" dxfId="892" priority="11" operator="containsText" text="Open">
      <formula>NOT(ISERROR(SEARCH("Open",I8)))</formula>
    </cfRule>
    <cfRule type="containsText" dxfId="891" priority="12" operator="containsText" text="Inprogress">
      <formula>NOT(ISERROR(SEARCH("Inprogress",I8)))</formula>
    </cfRule>
  </conditionalFormatting>
  <conditionalFormatting sqref="I16">
    <cfRule type="containsText" dxfId="890" priority="7" operator="containsText" text="Closed">
      <formula>NOT(ISERROR(SEARCH("Closed",I16)))</formula>
    </cfRule>
    <cfRule type="containsText" dxfId="889" priority="8" operator="containsText" text="Open">
      <formula>NOT(ISERROR(SEARCH("Open",I16)))</formula>
    </cfRule>
    <cfRule type="containsText" dxfId="888" priority="9" operator="containsText" text="Inprogress">
      <formula>NOT(ISERROR(SEARCH("Inprogress",I16)))</formula>
    </cfRule>
  </conditionalFormatting>
  <conditionalFormatting sqref="I17">
    <cfRule type="containsText" dxfId="887" priority="4" operator="containsText" text="Closed">
      <formula>NOT(ISERROR(SEARCH("Closed",I17)))</formula>
    </cfRule>
    <cfRule type="containsText" dxfId="886" priority="5" operator="containsText" text="Open">
      <formula>NOT(ISERROR(SEARCH("Open",I17)))</formula>
    </cfRule>
    <cfRule type="containsText" dxfId="885" priority="6" operator="containsText" text="Inprogress">
      <formula>NOT(ISERROR(SEARCH("Inprogress",I17)))</formula>
    </cfRule>
  </conditionalFormatting>
  <conditionalFormatting sqref="I18:I22">
    <cfRule type="containsText" dxfId="884" priority="1" operator="containsText" text="Closed">
      <formula>NOT(ISERROR(SEARCH("Closed",I18)))</formula>
    </cfRule>
    <cfRule type="containsText" dxfId="883" priority="2" operator="containsText" text="Open">
      <formula>NOT(ISERROR(SEARCH("Open",I18)))</formula>
    </cfRule>
    <cfRule type="containsText" dxfId="882" priority="3" operator="containsText" text="Inprogress">
      <formula>NOT(ISERROR(SEARCH("Inprogress",I18)))</formula>
    </cfRule>
  </conditionalFormatting>
  <dataValidations count="11">
    <dataValidation type="list" showErrorMessage="1" sqref="P1" xr:uid="{627F1BF5-7CE8-4994-B94D-A92160B8BD4C}">
      <formula1>"Qadir,Rijo,Karthik,Sushmitha,None,TBD"</formula1>
    </dataValidation>
    <dataValidation type="list" showErrorMessage="1" sqref="R1" xr:uid="{71B59B1B-AD7E-4054-BEE1-7E85E99F928A}">
      <formula1>"Qadir,Rijo,Karthik,None,TBD"</formula1>
    </dataValidation>
    <dataValidation type="list" showErrorMessage="1" sqref="Q1" xr:uid="{7BE9F297-F343-4A55-B93C-DAACC058DC80}">
      <formula1>"Pass,Fail(BacktoDev),DB Script tests in QA DB,TBD"</formula1>
    </dataValidation>
    <dataValidation type="list" showErrorMessage="1" sqref="AC1" xr:uid="{80C3AC7C-980F-4B8C-A0EC-E02605108918}">
      <formula1>"Pending-Waiting for Customer confirmation, Approved-Satisified AC,Not Approved-New minor changes requested(Back to Dev),NA,TBD"</formula1>
    </dataValidation>
    <dataValidation type="list" showErrorMessage="1" sqref="AB1" xr:uid="{DA6EC76D-668C-4F79-BE95-3DFF1B04C7B7}">
      <formula1>"Approved-Satisified AC,Not Approved(Back to Dev),NA,TBD"</formula1>
    </dataValidation>
    <dataValidation type="list" showErrorMessage="1" sqref="S1:T1 X1 AA1" xr:uid="{156DDFC1-467D-4AA0-9B51-61B6242C4A2F}">
      <formula1>"No issues found,Issues observed(BacktoDev),DB Script tests in QA DB,NA,TBD"</formula1>
    </dataValidation>
    <dataValidation type="list" showErrorMessage="1" sqref="Y1:Z1 W1 O1" xr:uid="{BF6E01B2-CC52-4E30-A105-527B8609E2FC}">
      <formula1>"Open,Inprogress,Completed,TBD,NA"</formula1>
    </dataValidation>
    <dataValidation allowBlank="1" showInputMessage="1" showErrorMessage="1" sqref="AD1:AE1" xr:uid="{24551C0C-C457-4B2D-98FE-487B473ACD60}"/>
    <dataValidation showErrorMessage="1" sqref="I1" xr:uid="{5661934F-5909-405A-AE1A-709E28D777DB}"/>
    <dataValidation type="list" allowBlank="1" showErrorMessage="1" sqref="J1" xr:uid="{A0599842-1F18-4FD5-A9F3-5988CCE31E34}">
      <formula1>"Open,Inprogress,Closed"</formula1>
    </dataValidation>
    <dataValidation type="list" allowBlank="1" showInputMessage="1" showErrorMessage="1" sqref="AE2:AE22" xr:uid="{3831E203-A9A0-4793-AE2A-0BF16F6E2173}">
      <formula1>"Exceeds Expectation,Meets Expectation,Needs improvements"</formula1>
    </dataValidation>
  </dataValidations>
  <hyperlinks>
    <hyperlink ref="T14" r:id="rId1" xr:uid="{6A606FD8-1A3E-4424-B3E6-0054E011563D}"/>
    <hyperlink ref="T8" r:id="rId2" xr:uid="{948D1E79-F3C0-4DC6-B387-A4BE180C59A0}"/>
    <hyperlink ref="T10" r:id="rId3" xr:uid="{1F906481-0381-4FAC-BFF4-04DF0F4D902E}"/>
    <hyperlink ref="T9" r:id="rId4" xr:uid="{4D7AFC15-3478-4562-8EE2-E754830DD551}"/>
    <hyperlink ref="T12" r:id="rId5" xr:uid="{8FD065E6-6DF6-43F1-BE6B-D5F411879670}"/>
    <hyperlink ref="T7" r:id="rId6" xr:uid="{5DDDA54E-0614-4637-8054-3E2B3DAF00F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327875EC-3412-4A1F-8075-D5091CFDAF7C}">
          <x14:formula1>
            <xm:f>Settings!$C$3:$C$20</xm:f>
          </x14:formula1>
          <xm:sqref>I2:I22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B40EE-900A-4B2B-8413-E45DFEE0A2F7}">
  <dimension ref="A1:M11"/>
  <sheetViews>
    <sheetView workbookViewId="0">
      <selection activeCell="F4" sqref="F4"/>
    </sheetView>
  </sheetViews>
  <sheetFormatPr defaultRowHeight="12.75"/>
  <cols>
    <col min="2" max="2" width="18.28515625" customWidth="1"/>
    <col min="3" max="3" width="11.140625" customWidth="1"/>
    <col min="7" max="7" width="57.28515625" customWidth="1"/>
    <col min="11" max="11" width="15.140625" customWidth="1"/>
    <col min="12" max="12" width="14.5703125" customWidth="1"/>
    <col min="13" max="13" width="43.28515625" customWidth="1"/>
  </cols>
  <sheetData>
    <row r="1" spans="1:13" ht="42.75" customHeight="1">
      <c r="A1" s="108" t="s">
        <v>266</v>
      </c>
      <c r="B1" s="108" t="s">
        <v>10</v>
      </c>
      <c r="C1" s="404" t="s">
        <v>267</v>
      </c>
      <c r="D1" s="404" t="s">
        <v>268</v>
      </c>
      <c r="E1" s="108" t="s">
        <v>269</v>
      </c>
      <c r="F1" s="404" t="s">
        <v>270</v>
      </c>
      <c r="G1" s="404" t="s">
        <v>271</v>
      </c>
      <c r="H1" s="108" t="s">
        <v>272</v>
      </c>
      <c r="I1" s="108" t="s">
        <v>273</v>
      </c>
      <c r="J1" s="108" t="s">
        <v>274</v>
      </c>
      <c r="K1" s="108" t="s">
        <v>275</v>
      </c>
      <c r="L1" s="332" t="s">
        <v>276</v>
      </c>
      <c r="M1" s="405" t="s">
        <v>277</v>
      </c>
    </row>
    <row r="2" spans="1:13" ht="64.5" customHeight="1">
      <c r="A2" s="93">
        <v>1</v>
      </c>
      <c r="B2" s="93" t="s">
        <v>302</v>
      </c>
      <c r="C2" s="143" t="s">
        <v>694</v>
      </c>
      <c r="D2" s="93"/>
      <c r="E2" s="93" t="s">
        <v>313</v>
      </c>
      <c r="F2" s="93" t="s">
        <v>522</v>
      </c>
      <c r="G2" s="96" t="s">
        <v>695</v>
      </c>
      <c r="H2" s="93" t="s">
        <v>517</v>
      </c>
      <c r="I2" s="93" t="s">
        <v>518</v>
      </c>
      <c r="J2" s="93" t="s">
        <v>519</v>
      </c>
      <c r="K2" s="490" t="s">
        <v>376</v>
      </c>
      <c r="L2" s="74" t="s">
        <v>529</v>
      </c>
      <c r="M2" s="96" t="s">
        <v>806</v>
      </c>
    </row>
    <row r="3" spans="1:13" ht="72">
      <c r="A3" s="93">
        <v>2</v>
      </c>
      <c r="B3" s="93" t="s">
        <v>302</v>
      </c>
      <c r="C3" s="143" t="s">
        <v>698</v>
      </c>
      <c r="D3" s="93"/>
      <c r="E3" s="93" t="s">
        <v>313</v>
      </c>
      <c r="F3" s="93" t="s">
        <v>516</v>
      </c>
      <c r="G3" s="96" t="s">
        <v>699</v>
      </c>
      <c r="H3" s="93" t="s">
        <v>517</v>
      </c>
      <c r="I3" s="93" t="s">
        <v>518</v>
      </c>
      <c r="J3" s="93" t="s">
        <v>519</v>
      </c>
      <c r="K3" s="490" t="s">
        <v>376</v>
      </c>
      <c r="L3" s="74" t="s">
        <v>529</v>
      </c>
      <c r="M3" s="96" t="s">
        <v>807</v>
      </c>
    </row>
    <row r="4" spans="1:13" ht="48">
      <c r="A4" s="93">
        <v>3</v>
      </c>
      <c r="B4" s="93" t="s">
        <v>302</v>
      </c>
      <c r="C4" s="143" t="s">
        <v>703</v>
      </c>
      <c r="D4" s="93"/>
      <c r="E4" s="93" t="s">
        <v>313</v>
      </c>
      <c r="F4" s="93" t="s">
        <v>516</v>
      </c>
      <c r="G4" s="96" t="s">
        <v>704</v>
      </c>
      <c r="H4" s="93" t="s">
        <v>517</v>
      </c>
      <c r="I4" s="93" t="s">
        <v>518</v>
      </c>
      <c r="J4" s="93" t="s">
        <v>519</v>
      </c>
      <c r="K4" s="490" t="s">
        <v>376</v>
      </c>
      <c r="L4" s="74" t="s">
        <v>520</v>
      </c>
      <c r="M4" s="96" t="s">
        <v>808</v>
      </c>
    </row>
    <row r="5" spans="1:13" ht="48">
      <c r="A5" s="93">
        <v>4</v>
      </c>
      <c r="B5" s="93" t="s">
        <v>302</v>
      </c>
      <c r="C5" s="143" t="s">
        <v>709</v>
      </c>
      <c r="D5" s="93"/>
      <c r="E5" s="93" t="s">
        <v>317</v>
      </c>
      <c r="F5" s="93" t="s">
        <v>522</v>
      </c>
      <c r="G5" s="96" t="s">
        <v>710</v>
      </c>
      <c r="H5" s="93" t="s">
        <v>517</v>
      </c>
      <c r="I5" s="93" t="s">
        <v>518</v>
      </c>
      <c r="J5" s="93" t="s">
        <v>519</v>
      </c>
      <c r="K5" s="490" t="s">
        <v>376</v>
      </c>
      <c r="L5" s="74" t="s">
        <v>529</v>
      </c>
      <c r="M5" s="96" t="s">
        <v>809</v>
      </c>
    </row>
    <row r="6" spans="1:13" ht="48">
      <c r="A6" s="93">
        <v>5</v>
      </c>
      <c r="B6" s="93" t="s">
        <v>302</v>
      </c>
      <c r="C6" s="143" t="s">
        <v>715</v>
      </c>
      <c r="D6" s="93"/>
      <c r="E6" s="93" t="s">
        <v>317</v>
      </c>
      <c r="F6" s="93" t="s">
        <v>516</v>
      </c>
      <c r="G6" s="96" t="s">
        <v>716</v>
      </c>
      <c r="H6" s="93" t="s">
        <v>517</v>
      </c>
      <c r="I6" s="93" t="s">
        <v>518</v>
      </c>
      <c r="J6" s="93" t="s">
        <v>519</v>
      </c>
      <c r="K6" s="490" t="s">
        <v>376</v>
      </c>
      <c r="L6" s="74" t="s">
        <v>520</v>
      </c>
      <c r="M6" s="96" t="s">
        <v>810</v>
      </c>
    </row>
    <row r="7" spans="1:13" ht="24">
      <c r="A7" s="93">
        <v>6</v>
      </c>
      <c r="B7" s="93" t="s">
        <v>302</v>
      </c>
      <c r="C7" s="143">
        <v>27010</v>
      </c>
      <c r="D7" s="93"/>
      <c r="E7" s="93" t="s">
        <v>315</v>
      </c>
      <c r="F7" s="93" t="s">
        <v>522</v>
      </c>
      <c r="G7" s="93" t="s">
        <v>738</v>
      </c>
      <c r="H7" s="329" t="s">
        <v>524</v>
      </c>
      <c r="I7" s="93" t="s">
        <v>518</v>
      </c>
      <c r="J7" s="93" t="s">
        <v>525</v>
      </c>
      <c r="K7" s="490" t="s">
        <v>376</v>
      </c>
      <c r="L7" s="74" t="s">
        <v>529</v>
      </c>
      <c r="M7" s="96" t="s">
        <v>811</v>
      </c>
    </row>
    <row r="8" spans="1:13" ht="51.75" customHeight="1">
      <c r="A8" s="93">
        <v>7</v>
      </c>
      <c r="B8" s="93" t="s">
        <v>302</v>
      </c>
      <c r="C8" s="143">
        <v>25100</v>
      </c>
      <c r="D8" s="93"/>
      <c r="E8" s="93" t="s">
        <v>313</v>
      </c>
      <c r="F8" s="93" t="s">
        <v>522</v>
      </c>
      <c r="G8" s="96" t="s">
        <v>750</v>
      </c>
      <c r="H8" s="329" t="s">
        <v>524</v>
      </c>
      <c r="I8" s="93" t="s">
        <v>518</v>
      </c>
      <c r="J8" s="93" t="s">
        <v>525</v>
      </c>
      <c r="K8" s="490" t="s">
        <v>376</v>
      </c>
      <c r="L8" s="74" t="s">
        <v>529</v>
      </c>
      <c r="M8" s="96" t="s">
        <v>812</v>
      </c>
    </row>
    <row r="9" spans="1:13" ht="48">
      <c r="A9" s="93">
        <v>8</v>
      </c>
      <c r="B9" s="93" t="s">
        <v>302</v>
      </c>
      <c r="C9" s="143">
        <v>27057</v>
      </c>
      <c r="D9" s="93"/>
      <c r="E9" s="93" t="s">
        <v>313</v>
      </c>
      <c r="F9" s="93" t="s">
        <v>522</v>
      </c>
      <c r="G9" s="96" t="s">
        <v>759</v>
      </c>
      <c r="H9" s="329" t="s">
        <v>531</v>
      </c>
      <c r="I9" s="93" t="s">
        <v>518</v>
      </c>
      <c r="J9" s="93" t="s">
        <v>519</v>
      </c>
      <c r="K9" s="490" t="s">
        <v>376</v>
      </c>
      <c r="L9" s="74" t="s">
        <v>529</v>
      </c>
      <c r="M9" s="96" t="s">
        <v>813</v>
      </c>
    </row>
    <row r="10" spans="1:13" ht="96.75" customHeight="1">
      <c r="A10" s="93">
        <v>9</v>
      </c>
      <c r="B10" s="93" t="s">
        <v>302</v>
      </c>
      <c r="C10" s="143">
        <v>24926</v>
      </c>
      <c r="D10" s="93"/>
      <c r="E10" s="93" t="s">
        <v>313</v>
      </c>
      <c r="F10" s="93" t="s">
        <v>522</v>
      </c>
      <c r="G10" s="96" t="s">
        <v>785</v>
      </c>
      <c r="H10" s="329" t="s">
        <v>524</v>
      </c>
      <c r="I10" s="93" t="s">
        <v>518</v>
      </c>
      <c r="J10" s="93" t="s">
        <v>525</v>
      </c>
      <c r="K10" s="490" t="s">
        <v>348</v>
      </c>
      <c r="L10" s="74" t="s">
        <v>529</v>
      </c>
      <c r="M10" s="96" t="s">
        <v>687</v>
      </c>
    </row>
    <row r="11" spans="1:13">
      <c r="B11" s="183"/>
    </row>
  </sheetData>
  <conditionalFormatting sqref="K2:K6">
    <cfRule type="containsText" dxfId="881" priority="4" operator="containsText" text="Closed">
      <formula>NOT(ISERROR(SEARCH("Closed",K2)))</formula>
    </cfRule>
    <cfRule type="containsText" dxfId="880" priority="5" operator="containsText" text="Open">
      <formula>NOT(ISERROR(SEARCH("Open",K2)))</formula>
    </cfRule>
    <cfRule type="containsText" dxfId="879" priority="6" operator="containsText" text="Inprogress">
      <formula>NOT(ISERROR(SEARCH("Inprogress",K2)))</formula>
    </cfRule>
  </conditionalFormatting>
  <conditionalFormatting sqref="K7:K10">
    <cfRule type="containsText" dxfId="878" priority="1" operator="containsText" text="Closed">
      <formula>NOT(ISERROR(SEARCH("Closed",K7)))</formula>
    </cfRule>
    <cfRule type="containsText" dxfId="877" priority="2" operator="containsText" text="Open">
      <formula>NOT(ISERROR(SEARCH("Open",K7)))</formula>
    </cfRule>
    <cfRule type="containsText" dxfId="876" priority="3" operator="containsText" text="Inprogress">
      <formula>NOT(ISERROR(SEARCH("Inprogress",K7)))</formula>
    </cfRule>
  </conditionalFormatting>
  <dataValidations count="1">
    <dataValidation type="list" allowBlank="1" showErrorMessage="1" sqref="H7:H10" xr:uid="{1EF24028-144F-44BB-9AD4-531D3F594873}">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4B4C49F1-9E0E-4E04-B95E-DF2F5C5E5C7C}">
          <x14:formula1>
            <xm:f>Settings!$C$3:$C$20</xm:f>
          </x14:formula1>
          <xm:sqref>K2:K10</xm:sqref>
        </x14:dataValidation>
        <x14:dataValidation type="list" allowBlank="1" showErrorMessage="1" xr:uid="{44836998-14CD-44D6-B247-E99CDE5F79F5}">
          <x14:formula1>
            <xm:f>Details!$A$2:$A$10</xm:f>
          </x14:formula1>
          <xm:sqref>L2:L10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4441-96BF-439E-852A-2890D6E38E22}">
  <dimension ref="A1:AO18"/>
  <sheetViews>
    <sheetView topLeftCell="A5" workbookViewId="0">
      <selection activeCell="E4" sqref="E4"/>
    </sheetView>
  </sheetViews>
  <sheetFormatPr defaultRowHeight="12.75"/>
  <cols>
    <col min="1" max="1" width="5.28515625" customWidth="1"/>
    <col min="2" max="2" width="14.85546875" customWidth="1"/>
    <col min="3" max="3" width="11.85546875" customWidth="1"/>
    <col min="4" max="4" width="12.140625" customWidth="1"/>
    <col min="5" max="5" width="19.140625" customWidth="1"/>
    <col min="6" max="6" width="11.140625" customWidth="1"/>
    <col min="7" max="7" width="11.42578125" customWidth="1"/>
    <col min="8" max="8" width="40.42578125" customWidth="1"/>
    <col min="9" max="9" width="20.5703125" customWidth="1"/>
    <col min="10" max="10" width="8.28515625" customWidth="1"/>
    <col min="12" max="12" width="10.140625" customWidth="1"/>
    <col min="13" max="14" width="9.42578125" bestFit="1" customWidth="1"/>
    <col min="15" max="15" width="10.85546875" customWidth="1"/>
    <col min="16" max="16" width="12.5703125" customWidth="1"/>
    <col min="17" max="17" width="14.28515625" customWidth="1"/>
    <col min="18" max="18" width="12.42578125" customWidth="1"/>
    <col min="19" max="19" width="17.140625" customWidth="1"/>
    <col min="20" max="20" width="18.42578125" customWidth="1"/>
    <col min="21" max="21" width="12.28515625" customWidth="1"/>
    <col min="22" max="22" width="11.85546875" customWidth="1"/>
    <col min="23" max="23" width="13.28515625" customWidth="1"/>
    <col min="24" max="24" width="19.85546875" customWidth="1"/>
    <col min="25" max="25" width="14.7109375" customWidth="1"/>
    <col min="26" max="26" width="11.5703125" customWidth="1"/>
    <col min="27" max="27" width="18.5703125" customWidth="1"/>
    <col min="28" max="28" width="16.7109375" customWidth="1"/>
    <col min="29" max="29" width="16" customWidth="1"/>
    <col min="30" max="30" width="32.7109375" customWidth="1"/>
    <col min="31" max="31" width="18" customWidth="1"/>
    <col min="32" max="32" width="17.7109375" customWidth="1"/>
    <col min="33" max="33" width="21.28515625" customWidth="1"/>
    <col min="34" max="34" width="20.85546875" customWidth="1"/>
    <col min="35" max="35" width="24.7109375" customWidth="1"/>
    <col min="36" max="36" width="28.42578125" customWidth="1"/>
    <col min="37" max="37" width="21.28515625" customWidth="1"/>
    <col min="38" max="38" width="23.85546875" customWidth="1"/>
    <col min="39" max="39" width="34.42578125" customWidth="1"/>
    <col min="40" max="40" width="13.7109375" customWidth="1"/>
    <col min="41" max="41" width="14.85546875" customWidth="1"/>
  </cols>
  <sheetData>
    <row r="1" spans="1:41" ht="67.5">
      <c r="A1" s="445" t="s">
        <v>266</v>
      </c>
      <c r="B1" s="445" t="s">
        <v>4</v>
      </c>
      <c r="C1" s="445" t="s">
        <v>2</v>
      </c>
      <c r="D1" s="445" t="s">
        <v>3</v>
      </c>
      <c r="E1" s="445" t="s">
        <v>278</v>
      </c>
      <c r="F1" s="445" t="s">
        <v>269</v>
      </c>
      <c r="G1" s="445" t="s">
        <v>279</v>
      </c>
      <c r="H1" s="506" t="s">
        <v>280</v>
      </c>
      <c r="I1" s="445" t="s">
        <v>275</v>
      </c>
      <c r="J1" s="445" t="s">
        <v>281</v>
      </c>
      <c r="K1" s="445" t="s">
        <v>282</v>
      </c>
      <c r="L1" s="445" t="s">
        <v>283</v>
      </c>
      <c r="M1" s="445" t="s">
        <v>284</v>
      </c>
      <c r="N1" s="445" t="s">
        <v>285</v>
      </c>
      <c r="O1" s="445" t="s">
        <v>286</v>
      </c>
      <c r="P1" s="445" t="s">
        <v>287</v>
      </c>
      <c r="Q1" s="445" t="s">
        <v>288</v>
      </c>
      <c r="R1" s="445" t="s">
        <v>289</v>
      </c>
      <c r="S1" s="445" t="s">
        <v>290</v>
      </c>
      <c r="T1" s="445" t="s">
        <v>291</v>
      </c>
      <c r="U1" s="662" t="s">
        <v>292</v>
      </c>
      <c r="V1" s="662" t="s">
        <v>293</v>
      </c>
      <c r="W1" s="445" t="s">
        <v>294</v>
      </c>
      <c r="X1" s="445" t="s">
        <v>295</v>
      </c>
      <c r="Y1" s="445" t="s">
        <v>296</v>
      </c>
      <c r="Z1" s="662" t="s">
        <v>297</v>
      </c>
      <c r="AA1" s="445" t="s">
        <v>298</v>
      </c>
      <c r="AB1" s="445" t="s">
        <v>299</v>
      </c>
      <c r="AC1" s="445" t="s">
        <v>300</v>
      </c>
      <c r="AD1" s="448" t="s">
        <v>277</v>
      </c>
      <c r="AE1" s="445" t="s">
        <v>301</v>
      </c>
      <c r="AF1" s="663">
        <v>46092</v>
      </c>
      <c r="AG1" s="663">
        <v>46093</v>
      </c>
      <c r="AH1" s="663">
        <v>46094</v>
      </c>
      <c r="AI1" s="663">
        <v>46097</v>
      </c>
      <c r="AJ1" s="663">
        <v>46098</v>
      </c>
      <c r="AK1" s="663">
        <v>46099</v>
      </c>
      <c r="AL1" s="663">
        <v>46100</v>
      </c>
      <c r="AM1" s="666">
        <v>46101</v>
      </c>
      <c r="AN1" s="663">
        <v>46104</v>
      </c>
      <c r="AO1" s="663">
        <v>46105</v>
      </c>
    </row>
    <row r="2" spans="1:41" ht="32.25" customHeight="1">
      <c r="A2" s="93">
        <v>1</v>
      </c>
      <c r="B2" s="93" t="s">
        <v>302</v>
      </c>
      <c r="C2" s="93" t="s">
        <v>814</v>
      </c>
      <c r="D2" s="171">
        <v>46105</v>
      </c>
      <c r="E2" s="96" t="s">
        <v>815</v>
      </c>
      <c r="F2" s="93" t="s">
        <v>304</v>
      </c>
      <c r="G2" s="93">
        <v>51860</v>
      </c>
      <c r="H2" s="96" t="s">
        <v>816</v>
      </c>
      <c r="I2" s="490" t="s">
        <v>306</v>
      </c>
      <c r="J2" s="93">
        <v>2</v>
      </c>
      <c r="K2" s="93">
        <v>1</v>
      </c>
      <c r="L2" s="93">
        <v>4</v>
      </c>
      <c r="M2" s="96" t="s">
        <v>320</v>
      </c>
      <c r="N2" s="96" t="s">
        <v>320</v>
      </c>
      <c r="O2" s="96" t="s">
        <v>320</v>
      </c>
      <c r="P2" s="96" t="s">
        <v>320</v>
      </c>
      <c r="Q2" s="96" t="s">
        <v>320</v>
      </c>
      <c r="R2" s="96" t="s">
        <v>320</v>
      </c>
      <c r="S2" s="96" t="s">
        <v>320</v>
      </c>
      <c r="T2" s="96" t="s">
        <v>320</v>
      </c>
      <c r="U2" s="96" t="s">
        <v>320</v>
      </c>
      <c r="V2" s="96" t="s">
        <v>320</v>
      </c>
      <c r="W2" s="96" t="s">
        <v>320</v>
      </c>
      <c r="X2" s="96" t="s">
        <v>320</v>
      </c>
      <c r="Y2" s="96" t="s">
        <v>320</v>
      </c>
      <c r="Z2" s="96" t="s">
        <v>320</v>
      </c>
      <c r="AA2" s="96" t="s">
        <v>320</v>
      </c>
      <c r="AB2" s="96" t="s">
        <v>320</v>
      </c>
      <c r="AC2" s="96" t="s">
        <v>320</v>
      </c>
      <c r="AD2" s="93"/>
      <c r="AE2" s="490" t="s">
        <v>423</v>
      </c>
      <c r="AF2" s="96" t="s">
        <v>817</v>
      </c>
      <c r="AG2" s="96" t="s">
        <v>818</v>
      </c>
      <c r="AH2" s="96" t="s">
        <v>819</v>
      </c>
      <c r="AI2" s="93"/>
      <c r="AJ2" s="93"/>
      <c r="AK2" s="93"/>
      <c r="AL2" s="93" t="s">
        <v>12</v>
      </c>
      <c r="AM2" s="93"/>
      <c r="AN2" s="93"/>
      <c r="AO2" s="93"/>
    </row>
    <row r="3" spans="1:41" ht="60">
      <c r="A3" s="93">
        <v>2</v>
      </c>
      <c r="B3" s="93" t="s">
        <v>302</v>
      </c>
      <c r="C3" s="93" t="s">
        <v>814</v>
      </c>
      <c r="D3" s="171">
        <v>46105</v>
      </c>
      <c r="E3" s="96" t="s">
        <v>815</v>
      </c>
      <c r="F3" s="93" t="s">
        <v>313</v>
      </c>
      <c r="G3" s="93">
        <v>26211</v>
      </c>
      <c r="H3" s="96" t="s">
        <v>820</v>
      </c>
      <c r="I3" s="490" t="s">
        <v>376</v>
      </c>
      <c r="J3" s="93">
        <v>1</v>
      </c>
      <c r="K3" s="93">
        <v>1</v>
      </c>
      <c r="L3" s="93">
        <v>4</v>
      </c>
      <c r="M3" s="96" t="s">
        <v>320</v>
      </c>
      <c r="N3" s="96" t="s">
        <v>320</v>
      </c>
      <c r="O3" s="96" t="s">
        <v>320</v>
      </c>
      <c r="P3" s="96" t="s">
        <v>320</v>
      </c>
      <c r="Q3" s="96" t="s">
        <v>320</v>
      </c>
      <c r="R3" s="96" t="s">
        <v>320</v>
      </c>
      <c r="S3" s="96" t="s">
        <v>320</v>
      </c>
      <c r="T3" s="96" t="s">
        <v>320</v>
      </c>
      <c r="U3" s="96" t="s">
        <v>320</v>
      </c>
      <c r="V3" s="96" t="s">
        <v>320</v>
      </c>
      <c r="W3" s="96" t="s">
        <v>320</v>
      </c>
      <c r="X3" s="96" t="s">
        <v>320</v>
      </c>
      <c r="Y3" s="96" t="s">
        <v>320</v>
      </c>
      <c r="Z3" s="96" t="s">
        <v>320</v>
      </c>
      <c r="AA3" s="96" t="s">
        <v>320</v>
      </c>
      <c r="AB3" s="96" t="s">
        <v>320</v>
      </c>
      <c r="AC3" s="96" t="s">
        <v>320</v>
      </c>
      <c r="AD3" s="96" t="s">
        <v>821</v>
      </c>
      <c r="AE3" s="490" t="s">
        <v>423</v>
      </c>
      <c r="AF3" s="96" t="s">
        <v>822</v>
      </c>
      <c r="AG3" s="93" t="s">
        <v>12</v>
      </c>
      <c r="AH3" s="93" t="s">
        <v>434</v>
      </c>
      <c r="AI3" s="93"/>
      <c r="AJ3" s="93" t="s">
        <v>434</v>
      </c>
      <c r="AK3" s="93"/>
      <c r="AL3" s="93"/>
      <c r="AM3" s="93"/>
      <c r="AN3" s="93"/>
      <c r="AO3" s="93"/>
    </row>
    <row r="4" spans="1:41" ht="48">
      <c r="A4" s="93">
        <v>3</v>
      </c>
      <c r="B4" s="93" t="s">
        <v>302</v>
      </c>
      <c r="C4" s="93" t="s">
        <v>814</v>
      </c>
      <c r="D4" s="171">
        <v>46105</v>
      </c>
      <c r="E4" s="96" t="s">
        <v>815</v>
      </c>
      <c r="F4" s="93" t="s">
        <v>315</v>
      </c>
      <c r="G4" s="93">
        <v>51861</v>
      </c>
      <c r="H4" s="96" t="s">
        <v>728</v>
      </c>
      <c r="I4" s="490" t="s">
        <v>514</v>
      </c>
      <c r="J4" s="93">
        <v>2</v>
      </c>
      <c r="K4" s="93">
        <v>2.5</v>
      </c>
      <c r="L4" s="93">
        <v>10</v>
      </c>
      <c r="M4" s="93" t="s">
        <v>814</v>
      </c>
      <c r="N4" s="93"/>
      <c r="O4" s="93"/>
      <c r="P4" s="93"/>
      <c r="Q4" s="93"/>
      <c r="R4" s="93"/>
      <c r="S4" s="93"/>
      <c r="T4" s="93"/>
      <c r="U4" s="93"/>
      <c r="V4" s="93"/>
      <c r="W4" s="93"/>
      <c r="X4" s="93"/>
      <c r="Y4" s="93"/>
      <c r="Z4" s="93"/>
      <c r="AA4" s="93"/>
      <c r="AB4" s="93"/>
      <c r="AC4" s="93"/>
      <c r="AD4" s="96" t="s">
        <v>823</v>
      </c>
      <c r="AE4" s="490"/>
      <c r="AF4" s="93" t="s">
        <v>824</v>
      </c>
      <c r="AG4" s="93" t="s">
        <v>825</v>
      </c>
      <c r="AH4" s="96" t="s">
        <v>826</v>
      </c>
      <c r="AI4" s="96" t="s">
        <v>827</v>
      </c>
      <c r="AJ4" s="93" t="s">
        <v>493</v>
      </c>
      <c r="AK4" s="96" t="s">
        <v>827</v>
      </c>
      <c r="AL4" s="96" t="s">
        <v>828</v>
      </c>
      <c r="AM4" s="93" t="s">
        <v>829</v>
      </c>
      <c r="AN4" s="93"/>
      <c r="AO4" s="93"/>
    </row>
    <row r="5" spans="1:41" ht="77.25" customHeight="1">
      <c r="A5" s="93">
        <v>4</v>
      </c>
      <c r="B5" s="93" t="s">
        <v>302</v>
      </c>
      <c r="C5" s="93" t="s">
        <v>814</v>
      </c>
      <c r="D5" s="171">
        <v>46105</v>
      </c>
      <c r="E5" s="96" t="s">
        <v>830</v>
      </c>
      <c r="F5" s="93" t="s">
        <v>313</v>
      </c>
      <c r="G5" s="93">
        <v>26889</v>
      </c>
      <c r="H5" s="96" t="s">
        <v>831</v>
      </c>
      <c r="I5" s="490" t="s">
        <v>376</v>
      </c>
      <c r="J5" s="93">
        <v>2</v>
      </c>
      <c r="K5" s="93">
        <v>1</v>
      </c>
      <c r="L5" s="93">
        <v>4</v>
      </c>
      <c r="M5" s="171">
        <v>46087</v>
      </c>
      <c r="N5" s="171">
        <v>46090</v>
      </c>
      <c r="O5" s="96" t="s">
        <v>12</v>
      </c>
      <c r="P5" s="96" t="s">
        <v>315</v>
      </c>
      <c r="Q5" s="96" t="s">
        <v>316</v>
      </c>
      <c r="R5" s="96" t="s">
        <v>317</v>
      </c>
      <c r="S5" s="96" t="s">
        <v>316</v>
      </c>
      <c r="T5" s="130" t="s">
        <v>832</v>
      </c>
      <c r="U5" s="171">
        <v>46091</v>
      </c>
      <c r="V5" s="171">
        <v>46091</v>
      </c>
      <c r="W5" s="96" t="s">
        <v>319</v>
      </c>
      <c r="X5" s="96" t="s">
        <v>316</v>
      </c>
      <c r="Y5" s="96" t="s">
        <v>319</v>
      </c>
      <c r="Z5" s="96" t="s">
        <v>320</v>
      </c>
      <c r="AA5" s="96" t="s">
        <v>316</v>
      </c>
      <c r="AB5" s="96" t="s">
        <v>316</v>
      </c>
      <c r="AC5" s="96" t="s">
        <v>316</v>
      </c>
      <c r="AD5" s="93"/>
      <c r="AE5" s="490" t="s">
        <v>423</v>
      </c>
      <c r="AF5" s="96" t="s">
        <v>833</v>
      </c>
      <c r="AG5" s="96" t="s">
        <v>834</v>
      </c>
      <c r="AH5" s="93" t="s">
        <v>460</v>
      </c>
      <c r="AI5" s="93"/>
      <c r="AJ5" s="93" t="s">
        <v>434</v>
      </c>
      <c r="AK5" s="93"/>
      <c r="AL5" s="93"/>
      <c r="AM5" s="93"/>
      <c r="AN5" s="93"/>
      <c r="AO5" s="93"/>
    </row>
    <row r="6" spans="1:41" ht="48">
      <c r="A6" s="93">
        <v>5</v>
      </c>
      <c r="B6" s="93" t="s">
        <v>302</v>
      </c>
      <c r="C6" s="93" t="s">
        <v>814</v>
      </c>
      <c r="D6" s="171">
        <v>46105</v>
      </c>
      <c r="E6" s="96" t="s">
        <v>815</v>
      </c>
      <c r="F6" s="93" t="s">
        <v>313</v>
      </c>
      <c r="G6" s="93" t="s">
        <v>835</v>
      </c>
      <c r="H6" s="96" t="s">
        <v>836</v>
      </c>
      <c r="I6" s="490" t="s">
        <v>376</v>
      </c>
      <c r="J6" s="93"/>
      <c r="K6" s="93">
        <v>1.25</v>
      </c>
      <c r="L6" s="93">
        <v>5</v>
      </c>
      <c r="M6" s="171">
        <v>46092</v>
      </c>
      <c r="N6" s="171">
        <v>46093</v>
      </c>
      <c r="O6" s="96" t="s">
        <v>320</v>
      </c>
      <c r="P6" s="96" t="s">
        <v>320</v>
      </c>
      <c r="Q6" s="96" t="s">
        <v>320</v>
      </c>
      <c r="R6" s="96" t="s">
        <v>320</v>
      </c>
      <c r="S6" s="96" t="s">
        <v>320</v>
      </c>
      <c r="T6" s="96" t="s">
        <v>320</v>
      </c>
      <c r="U6" s="96" t="s">
        <v>320</v>
      </c>
      <c r="V6" s="96" t="s">
        <v>320</v>
      </c>
      <c r="W6" s="96" t="s">
        <v>320</v>
      </c>
      <c r="X6" s="96" t="s">
        <v>320</v>
      </c>
      <c r="Y6" s="96" t="s">
        <v>320</v>
      </c>
      <c r="Z6" s="96" t="s">
        <v>320</v>
      </c>
      <c r="AA6" s="96" t="s">
        <v>320</v>
      </c>
      <c r="AB6" s="96" t="s">
        <v>320</v>
      </c>
      <c r="AC6" s="96" t="s">
        <v>320</v>
      </c>
      <c r="AD6" s="96" t="s">
        <v>837</v>
      </c>
      <c r="AE6" s="490" t="s">
        <v>423</v>
      </c>
      <c r="AF6" s="96" t="s">
        <v>838</v>
      </c>
      <c r="AG6" s="96" t="s">
        <v>839</v>
      </c>
      <c r="AH6" s="96" t="s">
        <v>840</v>
      </c>
      <c r="AI6" s="93"/>
      <c r="AJ6" s="93" t="s">
        <v>434</v>
      </c>
      <c r="AK6" s="93"/>
      <c r="AL6" s="93"/>
      <c r="AM6" s="93"/>
      <c r="AN6" s="93"/>
      <c r="AO6" s="93"/>
    </row>
    <row r="7" spans="1:41" ht="60">
      <c r="A7" s="93">
        <v>6</v>
      </c>
      <c r="B7" s="93" t="s">
        <v>302</v>
      </c>
      <c r="C7" s="93" t="s">
        <v>814</v>
      </c>
      <c r="D7" s="171">
        <v>46105</v>
      </c>
      <c r="E7" s="96" t="s">
        <v>830</v>
      </c>
      <c r="F7" s="93" t="s">
        <v>313</v>
      </c>
      <c r="G7" s="93">
        <v>45225</v>
      </c>
      <c r="H7" s="96" t="s">
        <v>768</v>
      </c>
      <c r="I7" s="490" t="s">
        <v>399</v>
      </c>
      <c r="J7" s="93">
        <v>8</v>
      </c>
      <c r="K7" s="93">
        <v>5</v>
      </c>
      <c r="L7" s="93">
        <v>20</v>
      </c>
      <c r="M7" s="171">
        <v>46094</v>
      </c>
      <c r="N7" s="93" t="s">
        <v>320</v>
      </c>
      <c r="O7" s="96" t="s">
        <v>320</v>
      </c>
      <c r="P7" s="96" t="s">
        <v>320</v>
      </c>
      <c r="Q7" s="96" t="s">
        <v>320</v>
      </c>
      <c r="R7" s="96" t="s">
        <v>320</v>
      </c>
      <c r="S7" s="96" t="s">
        <v>320</v>
      </c>
      <c r="T7" s="96" t="s">
        <v>320</v>
      </c>
      <c r="U7" s="96" t="s">
        <v>320</v>
      </c>
      <c r="V7" s="96" t="s">
        <v>320</v>
      </c>
      <c r="W7" s="96" t="s">
        <v>320</v>
      </c>
      <c r="X7" s="96" t="s">
        <v>320</v>
      </c>
      <c r="Y7" s="96" t="s">
        <v>320</v>
      </c>
      <c r="Z7" s="96" t="s">
        <v>320</v>
      </c>
      <c r="AA7" s="96" t="s">
        <v>320</v>
      </c>
      <c r="AB7" s="96" t="s">
        <v>320</v>
      </c>
      <c r="AC7" s="96" t="s">
        <v>320</v>
      </c>
      <c r="AD7" s="96" t="s">
        <v>841</v>
      </c>
      <c r="AE7" s="490"/>
      <c r="AF7" s="93" t="s">
        <v>406</v>
      </c>
      <c r="AG7" s="93" t="s">
        <v>842</v>
      </c>
      <c r="AH7" s="96" t="s">
        <v>843</v>
      </c>
      <c r="AI7" s="96" t="s">
        <v>844</v>
      </c>
      <c r="AJ7" s="96" t="s">
        <v>845</v>
      </c>
      <c r="AK7" s="96" t="s">
        <v>846</v>
      </c>
      <c r="AL7" s="96" t="s">
        <v>847</v>
      </c>
      <c r="AM7" s="93" t="s">
        <v>848</v>
      </c>
      <c r="AN7" s="93"/>
      <c r="AO7" s="93"/>
    </row>
    <row r="8" spans="1:41" ht="36">
      <c r="A8" s="93">
        <v>7</v>
      </c>
      <c r="B8" s="93" t="s">
        <v>302</v>
      </c>
      <c r="C8" s="93" t="s">
        <v>814</v>
      </c>
      <c r="D8" s="171">
        <v>46105</v>
      </c>
      <c r="E8" s="96" t="s">
        <v>815</v>
      </c>
      <c r="F8" s="93" t="s">
        <v>313</v>
      </c>
      <c r="G8" s="93" t="s">
        <v>849</v>
      </c>
      <c r="H8" s="96" t="s">
        <v>850</v>
      </c>
      <c r="I8" s="490" t="s">
        <v>376</v>
      </c>
      <c r="J8" s="93"/>
      <c r="K8" s="93">
        <v>0.5</v>
      </c>
      <c r="L8" s="93">
        <v>2</v>
      </c>
      <c r="M8" s="171">
        <v>46093</v>
      </c>
      <c r="N8" s="171">
        <v>46093</v>
      </c>
      <c r="O8" s="96" t="s">
        <v>320</v>
      </c>
      <c r="P8" s="96" t="s">
        <v>320</v>
      </c>
      <c r="Q8" s="96" t="s">
        <v>320</v>
      </c>
      <c r="R8" s="96" t="s">
        <v>320</v>
      </c>
      <c r="S8" s="96" t="s">
        <v>320</v>
      </c>
      <c r="T8" s="96" t="s">
        <v>320</v>
      </c>
      <c r="U8" s="96" t="s">
        <v>320</v>
      </c>
      <c r="V8" s="96" t="s">
        <v>320</v>
      </c>
      <c r="W8" s="96" t="s">
        <v>320</v>
      </c>
      <c r="X8" s="96" t="s">
        <v>320</v>
      </c>
      <c r="Y8" s="96" t="s">
        <v>320</v>
      </c>
      <c r="Z8" s="96" t="s">
        <v>320</v>
      </c>
      <c r="AA8" s="96" t="s">
        <v>320</v>
      </c>
      <c r="AB8" s="96" t="s">
        <v>320</v>
      </c>
      <c r="AC8" s="96" t="s">
        <v>320</v>
      </c>
      <c r="AD8" s="96" t="s">
        <v>837</v>
      </c>
      <c r="AE8" s="490" t="s">
        <v>423</v>
      </c>
      <c r="AF8" s="93"/>
      <c r="AG8" s="96" t="s">
        <v>851</v>
      </c>
      <c r="AH8" s="96" t="s">
        <v>852</v>
      </c>
      <c r="AI8" s="93"/>
      <c r="AJ8" s="93" t="s">
        <v>434</v>
      </c>
      <c r="AK8" s="93"/>
      <c r="AL8" s="93"/>
      <c r="AM8" s="93"/>
      <c r="AN8" s="93"/>
      <c r="AO8" s="93"/>
    </row>
    <row r="9" spans="1:41" ht="96">
      <c r="A9" s="93">
        <v>8</v>
      </c>
      <c r="B9" s="93" t="s">
        <v>302</v>
      </c>
      <c r="C9" s="93" t="s">
        <v>814</v>
      </c>
      <c r="D9" s="171">
        <v>46105</v>
      </c>
      <c r="E9" s="96" t="s">
        <v>830</v>
      </c>
      <c r="F9" s="93" t="s">
        <v>315</v>
      </c>
      <c r="G9" s="129">
        <v>51841</v>
      </c>
      <c r="H9" s="96" t="s">
        <v>745</v>
      </c>
      <c r="I9" s="490" t="s">
        <v>503</v>
      </c>
      <c r="J9" s="93">
        <v>3</v>
      </c>
      <c r="K9" s="93">
        <v>2.5</v>
      </c>
      <c r="L9" s="93">
        <v>10.5</v>
      </c>
      <c r="M9" s="93" t="s">
        <v>320</v>
      </c>
      <c r="N9" s="93" t="s">
        <v>320</v>
      </c>
      <c r="O9" s="96" t="s">
        <v>12</v>
      </c>
      <c r="P9" s="96" t="s">
        <v>313</v>
      </c>
      <c r="Q9" s="96" t="s">
        <v>316</v>
      </c>
      <c r="R9" s="96" t="s">
        <v>317</v>
      </c>
      <c r="S9" s="96" t="s">
        <v>316</v>
      </c>
      <c r="T9" s="130" t="s">
        <v>853</v>
      </c>
      <c r="U9" s="171">
        <v>46094</v>
      </c>
      <c r="V9" s="171">
        <v>46094</v>
      </c>
      <c r="W9" s="96" t="s">
        <v>319</v>
      </c>
      <c r="X9" s="96" t="s">
        <v>316</v>
      </c>
      <c r="Y9" s="96" t="s">
        <v>319</v>
      </c>
      <c r="Z9" s="96" t="s">
        <v>320</v>
      </c>
      <c r="AA9" s="96" t="s">
        <v>316</v>
      </c>
      <c r="AB9" s="96" t="s">
        <v>316</v>
      </c>
      <c r="AC9" s="96" t="s">
        <v>316</v>
      </c>
      <c r="AD9" s="93" t="s">
        <v>854</v>
      </c>
      <c r="AE9" s="490"/>
      <c r="AF9" s="93"/>
      <c r="AG9" s="93"/>
      <c r="AH9" s="96" t="s">
        <v>855</v>
      </c>
      <c r="AI9" s="96" t="s">
        <v>856</v>
      </c>
      <c r="AJ9" s="93" t="s">
        <v>493</v>
      </c>
      <c r="AK9" s="93" t="s">
        <v>857</v>
      </c>
      <c r="AL9" s="96" t="s">
        <v>858</v>
      </c>
      <c r="AM9" s="96" t="s">
        <v>859</v>
      </c>
      <c r="AN9" s="93"/>
      <c r="AO9" s="96" t="s">
        <v>860</v>
      </c>
    </row>
    <row r="10" spans="1:41" ht="72">
      <c r="A10" s="93">
        <v>9</v>
      </c>
      <c r="B10" s="93" t="s">
        <v>302</v>
      </c>
      <c r="C10" s="93" t="s">
        <v>814</v>
      </c>
      <c r="D10" s="171">
        <v>46105</v>
      </c>
      <c r="E10" s="96" t="s">
        <v>815</v>
      </c>
      <c r="F10" s="93" t="s">
        <v>304</v>
      </c>
      <c r="G10" s="93">
        <v>51857</v>
      </c>
      <c r="H10" s="96" t="s">
        <v>861</v>
      </c>
      <c r="I10" s="490" t="s">
        <v>306</v>
      </c>
      <c r="J10" s="93">
        <v>2</v>
      </c>
      <c r="K10" s="93">
        <v>2.25</v>
      </c>
      <c r="L10" s="93">
        <v>9</v>
      </c>
      <c r="M10" s="93" t="s">
        <v>320</v>
      </c>
      <c r="N10" s="93" t="s">
        <v>320</v>
      </c>
      <c r="O10" s="93" t="s">
        <v>320</v>
      </c>
      <c r="P10" s="93" t="s">
        <v>320</v>
      </c>
      <c r="Q10" s="93" t="s">
        <v>320</v>
      </c>
      <c r="R10" s="93" t="s">
        <v>320</v>
      </c>
      <c r="S10" s="93" t="s">
        <v>320</v>
      </c>
      <c r="T10" s="93" t="s">
        <v>320</v>
      </c>
      <c r="U10" s="93" t="s">
        <v>320</v>
      </c>
      <c r="V10" s="93" t="s">
        <v>320</v>
      </c>
      <c r="W10" s="93" t="s">
        <v>320</v>
      </c>
      <c r="X10" s="93" t="s">
        <v>320</v>
      </c>
      <c r="Y10" s="93" t="s">
        <v>320</v>
      </c>
      <c r="Z10" s="93" t="s">
        <v>320</v>
      </c>
      <c r="AA10" s="93" t="s">
        <v>320</v>
      </c>
      <c r="AB10" s="93" t="s">
        <v>320</v>
      </c>
      <c r="AC10" s="93" t="s">
        <v>320</v>
      </c>
      <c r="AD10" s="93"/>
      <c r="AE10" s="490" t="s">
        <v>423</v>
      </c>
      <c r="AF10" s="93"/>
      <c r="AG10" s="93"/>
      <c r="AH10" s="96" t="s">
        <v>862</v>
      </c>
      <c r="AI10" s="96" t="s">
        <v>863</v>
      </c>
      <c r="AJ10" s="93"/>
      <c r="AK10" s="93" t="s">
        <v>864</v>
      </c>
      <c r="AL10" s="93" t="s">
        <v>326</v>
      </c>
      <c r="AM10" s="93"/>
      <c r="AN10" s="93"/>
      <c r="AO10" s="93"/>
    </row>
    <row r="11" spans="1:41" ht="24">
      <c r="A11" s="118">
        <v>10</v>
      </c>
      <c r="B11" s="118" t="s">
        <v>302</v>
      </c>
      <c r="C11" s="118" t="s">
        <v>814</v>
      </c>
      <c r="D11" s="649">
        <v>46105</v>
      </c>
      <c r="E11" s="119" t="s">
        <v>830</v>
      </c>
      <c r="F11" s="118" t="s">
        <v>304</v>
      </c>
      <c r="G11" s="118">
        <v>51858</v>
      </c>
      <c r="H11" s="118" t="s">
        <v>865</v>
      </c>
      <c r="I11" s="561" t="s">
        <v>306</v>
      </c>
      <c r="J11" s="118">
        <v>3</v>
      </c>
      <c r="K11" s="118">
        <v>1.25</v>
      </c>
      <c r="L11" s="118">
        <v>5</v>
      </c>
      <c r="M11" s="93" t="s">
        <v>320</v>
      </c>
      <c r="N11" s="93" t="s">
        <v>320</v>
      </c>
      <c r="O11" s="93" t="s">
        <v>320</v>
      </c>
      <c r="P11" s="93" t="s">
        <v>320</v>
      </c>
      <c r="Q11" s="93" t="s">
        <v>320</v>
      </c>
      <c r="R11" s="93" t="s">
        <v>320</v>
      </c>
      <c r="S11" s="93" t="s">
        <v>320</v>
      </c>
      <c r="T11" s="93" t="s">
        <v>320</v>
      </c>
      <c r="U11" s="93" t="s">
        <v>320</v>
      </c>
      <c r="V11" s="93" t="s">
        <v>320</v>
      </c>
      <c r="W11" s="93" t="s">
        <v>320</v>
      </c>
      <c r="X11" s="93" t="s">
        <v>320</v>
      </c>
      <c r="Y11" s="93" t="s">
        <v>320</v>
      </c>
      <c r="Z11" s="93" t="s">
        <v>320</v>
      </c>
      <c r="AA11" s="93" t="s">
        <v>320</v>
      </c>
      <c r="AB11" s="93" t="s">
        <v>320</v>
      </c>
      <c r="AC11" s="93" t="s">
        <v>320</v>
      </c>
      <c r="AD11" s="118"/>
      <c r="AE11" s="490" t="s">
        <v>423</v>
      </c>
      <c r="AF11" s="118"/>
      <c r="AG11" s="118"/>
      <c r="AH11" s="119" t="s">
        <v>862</v>
      </c>
      <c r="AI11" s="118"/>
      <c r="AJ11" s="119" t="s">
        <v>866</v>
      </c>
      <c r="AK11" s="93" t="s">
        <v>864</v>
      </c>
      <c r="AL11" s="118" t="s">
        <v>326</v>
      </c>
      <c r="AM11" s="118"/>
      <c r="AN11" s="118"/>
      <c r="AO11" s="118"/>
    </row>
    <row r="12" spans="1:41" ht="36">
      <c r="A12" s="93">
        <v>11</v>
      </c>
      <c r="B12" s="93" t="s">
        <v>302</v>
      </c>
      <c r="C12" s="93" t="s">
        <v>814</v>
      </c>
      <c r="D12" s="171">
        <v>46105</v>
      </c>
      <c r="E12" s="96" t="s">
        <v>830</v>
      </c>
      <c r="F12" s="93" t="s">
        <v>315</v>
      </c>
      <c r="G12" s="93">
        <v>52282</v>
      </c>
      <c r="H12" s="96" t="s">
        <v>735</v>
      </c>
      <c r="I12" s="490" t="s">
        <v>380</v>
      </c>
      <c r="J12" s="93">
        <v>3</v>
      </c>
      <c r="K12" s="93">
        <v>5</v>
      </c>
      <c r="L12" s="93">
        <v>20</v>
      </c>
      <c r="M12" s="93"/>
      <c r="N12" s="93"/>
      <c r="O12" s="93"/>
      <c r="P12" s="93"/>
      <c r="Q12" s="93"/>
      <c r="R12" s="93"/>
      <c r="S12" s="93"/>
      <c r="T12" s="93"/>
      <c r="U12" s="93"/>
      <c r="V12" s="93"/>
      <c r="W12" s="93"/>
      <c r="X12" s="93"/>
      <c r="Y12" s="93"/>
      <c r="Z12" s="93"/>
      <c r="AA12" s="93"/>
      <c r="AB12" s="93"/>
      <c r="AC12" s="93"/>
      <c r="AD12" s="93" t="s">
        <v>867</v>
      </c>
      <c r="AE12" s="490"/>
      <c r="AF12" s="93"/>
      <c r="AG12" s="93"/>
      <c r="AH12" s="93"/>
      <c r="AI12" s="96" t="s">
        <v>868</v>
      </c>
      <c r="AJ12" s="93" t="s">
        <v>869</v>
      </c>
      <c r="AK12" s="93"/>
      <c r="AL12" s="93" t="s">
        <v>381</v>
      </c>
      <c r="AM12" s="93" t="s">
        <v>870</v>
      </c>
      <c r="AN12" s="93"/>
      <c r="AO12" s="93"/>
    </row>
    <row r="13" spans="1:41" ht="84">
      <c r="A13" s="93">
        <v>12</v>
      </c>
      <c r="B13" s="93" t="s">
        <v>302</v>
      </c>
      <c r="C13" s="93" t="s">
        <v>814</v>
      </c>
      <c r="D13" s="171">
        <v>46105</v>
      </c>
      <c r="E13" s="96" t="s">
        <v>815</v>
      </c>
      <c r="F13" s="118" t="s">
        <v>304</v>
      </c>
      <c r="G13" s="93">
        <v>51864</v>
      </c>
      <c r="H13" s="93" t="s">
        <v>871</v>
      </c>
      <c r="I13" s="561" t="s">
        <v>306</v>
      </c>
      <c r="J13" s="93">
        <v>3</v>
      </c>
      <c r="K13" s="93">
        <v>2.25</v>
      </c>
      <c r="L13" s="93">
        <v>9</v>
      </c>
      <c r="M13" s="96" t="s">
        <v>320</v>
      </c>
      <c r="N13" s="96" t="s">
        <v>320</v>
      </c>
      <c r="O13" s="96" t="s">
        <v>320</v>
      </c>
      <c r="P13" s="96" t="s">
        <v>320</v>
      </c>
      <c r="Q13" s="96" t="s">
        <v>320</v>
      </c>
      <c r="R13" s="96" t="s">
        <v>320</v>
      </c>
      <c r="S13" s="96" t="s">
        <v>320</v>
      </c>
      <c r="T13" s="96" t="s">
        <v>320</v>
      </c>
      <c r="U13" s="96" t="s">
        <v>320</v>
      </c>
      <c r="V13" s="96" t="s">
        <v>320</v>
      </c>
      <c r="W13" s="96" t="s">
        <v>320</v>
      </c>
      <c r="X13" s="96" t="s">
        <v>320</v>
      </c>
      <c r="Y13" s="96" t="s">
        <v>320</v>
      </c>
      <c r="Z13" s="96" t="s">
        <v>320</v>
      </c>
      <c r="AA13" s="96" t="s">
        <v>320</v>
      </c>
      <c r="AB13" s="96" t="s">
        <v>320</v>
      </c>
      <c r="AC13" s="96" t="s">
        <v>320</v>
      </c>
      <c r="AD13" s="93"/>
      <c r="AE13" s="490" t="s">
        <v>423</v>
      </c>
      <c r="AF13" s="93"/>
      <c r="AG13" s="93"/>
      <c r="AH13" s="93"/>
      <c r="AI13" s="93" t="s">
        <v>872</v>
      </c>
      <c r="AJ13" s="96" t="s">
        <v>873</v>
      </c>
      <c r="AK13" s="93"/>
      <c r="AL13" s="96" t="s">
        <v>874</v>
      </c>
      <c r="AM13" s="93" t="s">
        <v>306</v>
      </c>
      <c r="AN13" s="93"/>
      <c r="AO13" s="93"/>
    </row>
    <row r="14" spans="1:41" ht="60">
      <c r="A14" s="118">
        <v>13</v>
      </c>
      <c r="B14" s="118" t="s">
        <v>302</v>
      </c>
      <c r="C14" s="118" t="s">
        <v>814</v>
      </c>
      <c r="D14" s="649">
        <v>46105</v>
      </c>
      <c r="E14" s="119" t="s">
        <v>815</v>
      </c>
      <c r="F14" s="118" t="s">
        <v>313</v>
      </c>
      <c r="G14" s="118" t="s">
        <v>875</v>
      </c>
      <c r="H14" s="119" t="s">
        <v>876</v>
      </c>
      <c r="I14" s="561" t="s">
        <v>376</v>
      </c>
      <c r="J14" s="118"/>
      <c r="K14" s="118">
        <v>1.5</v>
      </c>
      <c r="L14" s="118">
        <v>6</v>
      </c>
      <c r="M14" s="649">
        <v>46098</v>
      </c>
      <c r="N14" s="649">
        <v>46098</v>
      </c>
      <c r="O14" s="96" t="s">
        <v>320</v>
      </c>
      <c r="P14" s="96" t="s">
        <v>320</v>
      </c>
      <c r="Q14" s="96" t="s">
        <v>320</v>
      </c>
      <c r="R14" s="96" t="s">
        <v>320</v>
      </c>
      <c r="S14" s="96" t="s">
        <v>320</v>
      </c>
      <c r="T14" s="96" t="s">
        <v>320</v>
      </c>
      <c r="U14" s="96" t="s">
        <v>320</v>
      </c>
      <c r="V14" s="96" t="s">
        <v>320</v>
      </c>
      <c r="W14" s="96" t="s">
        <v>320</v>
      </c>
      <c r="X14" s="96" t="s">
        <v>320</v>
      </c>
      <c r="Y14" s="96" t="s">
        <v>320</v>
      </c>
      <c r="Z14" s="96" t="s">
        <v>320</v>
      </c>
      <c r="AA14" s="96" t="s">
        <v>320</v>
      </c>
      <c r="AB14" s="96" t="s">
        <v>320</v>
      </c>
      <c r="AC14" s="96" t="s">
        <v>320</v>
      </c>
      <c r="AD14" s="96" t="s">
        <v>837</v>
      </c>
      <c r="AE14" s="490" t="s">
        <v>423</v>
      </c>
      <c r="AF14" s="118"/>
      <c r="AG14" s="118"/>
      <c r="AH14" s="118"/>
      <c r="AI14" s="118"/>
      <c r="AJ14" s="119" t="s">
        <v>877</v>
      </c>
      <c r="AK14" s="119" t="s">
        <v>878</v>
      </c>
      <c r="AL14" s="119" t="s">
        <v>879</v>
      </c>
      <c r="AM14" s="118"/>
      <c r="AN14" s="118"/>
      <c r="AO14" s="118"/>
    </row>
    <row r="15" spans="1:41" ht="126" customHeight="1">
      <c r="A15" s="93">
        <v>14</v>
      </c>
      <c r="B15" s="93" t="s">
        <v>302</v>
      </c>
      <c r="C15" s="93" t="s">
        <v>814</v>
      </c>
      <c r="D15" s="171">
        <v>46105</v>
      </c>
      <c r="E15" s="96" t="s">
        <v>815</v>
      </c>
      <c r="F15" s="93" t="s">
        <v>304</v>
      </c>
      <c r="G15" s="93">
        <v>51865</v>
      </c>
      <c r="H15" s="93" t="s">
        <v>880</v>
      </c>
      <c r="I15" s="490" t="s">
        <v>306</v>
      </c>
      <c r="J15" s="93">
        <v>3</v>
      </c>
      <c r="K15" s="93">
        <v>2</v>
      </c>
      <c r="L15" s="93">
        <v>8</v>
      </c>
      <c r="M15" s="96" t="s">
        <v>320</v>
      </c>
      <c r="N15" s="96" t="s">
        <v>320</v>
      </c>
      <c r="O15" s="96" t="s">
        <v>320</v>
      </c>
      <c r="P15" s="96" t="s">
        <v>320</v>
      </c>
      <c r="Q15" s="96" t="s">
        <v>320</v>
      </c>
      <c r="R15" s="96" t="s">
        <v>320</v>
      </c>
      <c r="S15" s="96" t="s">
        <v>320</v>
      </c>
      <c r="T15" s="96" t="s">
        <v>320</v>
      </c>
      <c r="U15" s="96" t="s">
        <v>320</v>
      </c>
      <c r="V15" s="96" t="s">
        <v>320</v>
      </c>
      <c r="W15" s="96" t="s">
        <v>320</v>
      </c>
      <c r="X15" s="96" t="s">
        <v>320</v>
      </c>
      <c r="Y15" s="96" t="s">
        <v>320</v>
      </c>
      <c r="Z15" s="96" t="s">
        <v>320</v>
      </c>
      <c r="AA15" s="96" t="s">
        <v>320</v>
      </c>
      <c r="AB15" s="96" t="s">
        <v>320</v>
      </c>
      <c r="AC15" s="96" t="s">
        <v>320</v>
      </c>
      <c r="AD15" s="93"/>
      <c r="AE15" s="490" t="s">
        <v>423</v>
      </c>
      <c r="AF15" s="93"/>
      <c r="AG15" s="93"/>
      <c r="AH15" s="93"/>
      <c r="AI15" s="93"/>
      <c r="AJ15" s="93"/>
      <c r="AK15" s="96" t="s">
        <v>881</v>
      </c>
      <c r="AL15" s="96" t="s">
        <v>882</v>
      </c>
      <c r="AM15" s="93" t="s">
        <v>883</v>
      </c>
      <c r="AN15" s="93" t="s">
        <v>884</v>
      </c>
      <c r="AO15" s="93" t="s">
        <v>885</v>
      </c>
    </row>
    <row r="16" spans="1:41" ht="24">
      <c r="A16" s="93">
        <v>15</v>
      </c>
      <c r="B16" s="93" t="s">
        <v>302</v>
      </c>
      <c r="C16" s="93" t="s">
        <v>814</v>
      </c>
      <c r="D16" s="171">
        <v>46105</v>
      </c>
      <c r="E16" s="96" t="s">
        <v>815</v>
      </c>
      <c r="F16" s="93" t="s">
        <v>304</v>
      </c>
      <c r="G16" s="93">
        <v>51863</v>
      </c>
      <c r="H16" s="93" t="s">
        <v>886</v>
      </c>
      <c r="I16" s="490" t="s">
        <v>306</v>
      </c>
      <c r="J16" s="93">
        <v>3</v>
      </c>
      <c r="K16" s="93">
        <v>0.5</v>
      </c>
      <c r="L16" s="93">
        <v>2</v>
      </c>
      <c r="M16" s="96" t="s">
        <v>320</v>
      </c>
      <c r="N16" s="96" t="s">
        <v>320</v>
      </c>
      <c r="O16" s="96" t="s">
        <v>320</v>
      </c>
      <c r="P16" s="96" t="s">
        <v>320</v>
      </c>
      <c r="Q16" s="96" t="s">
        <v>320</v>
      </c>
      <c r="R16" s="96" t="s">
        <v>320</v>
      </c>
      <c r="S16" s="96" t="s">
        <v>320</v>
      </c>
      <c r="T16" s="96" t="s">
        <v>320</v>
      </c>
      <c r="U16" s="96" t="s">
        <v>320</v>
      </c>
      <c r="V16" s="96" t="s">
        <v>320</v>
      </c>
      <c r="W16" s="96" t="s">
        <v>320</v>
      </c>
      <c r="X16" s="96" t="s">
        <v>320</v>
      </c>
      <c r="Y16" s="96" t="s">
        <v>320</v>
      </c>
      <c r="Z16" s="96" t="s">
        <v>320</v>
      </c>
      <c r="AA16" s="96" t="s">
        <v>320</v>
      </c>
      <c r="AB16" s="96" t="s">
        <v>320</v>
      </c>
      <c r="AC16" s="96" t="s">
        <v>320</v>
      </c>
      <c r="AD16" s="93"/>
      <c r="AE16" s="490" t="s">
        <v>423</v>
      </c>
      <c r="AF16" s="93"/>
      <c r="AG16" s="93"/>
      <c r="AH16" s="93"/>
      <c r="AI16" s="93"/>
      <c r="AJ16" s="93"/>
      <c r="AK16" s="96" t="s">
        <v>881</v>
      </c>
      <c r="AL16" s="93"/>
      <c r="AM16" s="93" t="s">
        <v>887</v>
      </c>
      <c r="AN16" s="93" t="s">
        <v>434</v>
      </c>
      <c r="AO16" s="93"/>
    </row>
    <row r="17" spans="1:41" ht="84">
      <c r="A17" s="118">
        <v>16</v>
      </c>
      <c r="B17" s="118" t="s">
        <v>302</v>
      </c>
      <c r="C17" s="118" t="s">
        <v>814</v>
      </c>
      <c r="D17" s="649">
        <v>46105</v>
      </c>
      <c r="E17" s="119" t="s">
        <v>815</v>
      </c>
      <c r="F17" s="118" t="s">
        <v>313</v>
      </c>
      <c r="G17" s="118" t="s">
        <v>694</v>
      </c>
      <c r="H17" s="119" t="s">
        <v>695</v>
      </c>
      <c r="I17" s="561" t="s">
        <v>348</v>
      </c>
      <c r="J17" s="118"/>
      <c r="K17" s="118">
        <v>2.5</v>
      </c>
      <c r="L17" s="118">
        <v>10</v>
      </c>
      <c r="M17" s="649">
        <v>46101</v>
      </c>
      <c r="N17" s="649">
        <v>46104</v>
      </c>
      <c r="O17" s="119" t="s">
        <v>320</v>
      </c>
      <c r="P17" s="119" t="s">
        <v>320</v>
      </c>
      <c r="Q17" s="119" t="s">
        <v>320</v>
      </c>
      <c r="R17" s="119" t="s">
        <v>320</v>
      </c>
      <c r="S17" s="119" t="s">
        <v>320</v>
      </c>
      <c r="T17" s="119" t="s">
        <v>320</v>
      </c>
      <c r="U17" s="119" t="s">
        <v>320</v>
      </c>
      <c r="V17" s="119" t="s">
        <v>320</v>
      </c>
      <c r="W17" s="119" t="s">
        <v>320</v>
      </c>
      <c r="X17" s="119" t="s">
        <v>320</v>
      </c>
      <c r="Y17" s="119" t="s">
        <v>320</v>
      </c>
      <c r="Z17" s="119" t="s">
        <v>320</v>
      </c>
      <c r="AA17" s="119" t="s">
        <v>320</v>
      </c>
      <c r="AB17" s="119" t="s">
        <v>320</v>
      </c>
      <c r="AC17" s="119" t="s">
        <v>320</v>
      </c>
      <c r="AD17" s="119" t="s">
        <v>888</v>
      </c>
      <c r="AE17" s="490"/>
      <c r="AF17" s="118"/>
      <c r="AG17" s="118"/>
      <c r="AH17" s="118"/>
      <c r="AI17" s="118"/>
      <c r="AJ17" s="118"/>
      <c r="AK17" s="118"/>
      <c r="AL17" s="118"/>
      <c r="AM17" s="119" t="s">
        <v>889</v>
      </c>
      <c r="AN17" s="118"/>
      <c r="AO17" s="118"/>
    </row>
    <row r="18" spans="1:41" ht="42.75" customHeight="1">
      <c r="A18" s="93">
        <v>17</v>
      </c>
      <c r="B18" s="93" t="s">
        <v>302</v>
      </c>
      <c r="C18" s="93" t="s">
        <v>814</v>
      </c>
      <c r="D18" s="171">
        <v>46105</v>
      </c>
      <c r="E18" s="96" t="s">
        <v>815</v>
      </c>
      <c r="F18" s="93" t="s">
        <v>313</v>
      </c>
      <c r="G18" s="93" t="s">
        <v>698</v>
      </c>
      <c r="H18" s="96" t="s">
        <v>699</v>
      </c>
      <c r="I18" s="490" t="s">
        <v>329</v>
      </c>
      <c r="J18" s="93"/>
      <c r="K18" s="93">
        <v>0.5</v>
      </c>
      <c r="L18" s="93">
        <v>2</v>
      </c>
      <c r="M18" s="171">
        <v>46104</v>
      </c>
      <c r="N18" s="171">
        <v>46104</v>
      </c>
      <c r="O18" s="96" t="s">
        <v>320</v>
      </c>
      <c r="P18" s="96" t="s">
        <v>320</v>
      </c>
      <c r="Q18" s="96" t="s">
        <v>320</v>
      </c>
      <c r="R18" s="96" t="s">
        <v>320</v>
      </c>
      <c r="S18" s="96" t="s">
        <v>320</v>
      </c>
      <c r="T18" s="96" t="s">
        <v>320</v>
      </c>
      <c r="U18" s="96" t="s">
        <v>320</v>
      </c>
      <c r="V18" s="96" t="s">
        <v>320</v>
      </c>
      <c r="W18" s="96" t="s">
        <v>320</v>
      </c>
      <c r="X18" s="96" t="s">
        <v>320</v>
      </c>
      <c r="Y18" s="96" t="s">
        <v>320</v>
      </c>
      <c r="Z18" s="96" t="s">
        <v>320</v>
      </c>
      <c r="AA18" s="96" t="s">
        <v>320</v>
      </c>
      <c r="AB18" s="96" t="s">
        <v>320</v>
      </c>
      <c r="AC18" s="96" t="s">
        <v>320</v>
      </c>
      <c r="AD18" s="96" t="s">
        <v>890</v>
      </c>
      <c r="AE18" s="490"/>
      <c r="AF18" s="93"/>
      <c r="AG18" s="93"/>
      <c r="AH18" s="93"/>
      <c r="AI18" s="93"/>
      <c r="AJ18" s="93"/>
      <c r="AK18" s="93"/>
      <c r="AL18" s="93"/>
      <c r="AM18" s="93"/>
      <c r="AN18" s="93"/>
      <c r="AO18" s="93"/>
    </row>
  </sheetData>
  <conditionalFormatting sqref="J1">
    <cfRule type="containsText" dxfId="875" priority="40" operator="containsText" text="Closed">
      <formula>NOT(ISERROR(SEARCH("Closed",J1)))</formula>
    </cfRule>
    <cfRule type="containsText" dxfId="874" priority="41" operator="containsText" text="Open">
      <formula>NOT(ISERROR(SEARCH("Open",J1)))</formula>
    </cfRule>
    <cfRule type="containsText" dxfId="873" priority="42" operator="containsText" text="Inprogress">
      <formula>NOT(ISERROR(SEARCH("Inprogress",J1)))</formula>
    </cfRule>
  </conditionalFormatting>
  <conditionalFormatting sqref="I2">
    <cfRule type="containsText" dxfId="872" priority="37" operator="containsText" text="Closed">
      <formula>NOT(ISERROR(SEARCH("Closed",I2)))</formula>
    </cfRule>
    <cfRule type="containsText" dxfId="871" priority="38" operator="containsText" text="Open">
      <formula>NOT(ISERROR(SEARCH("Open",I2)))</formula>
    </cfRule>
    <cfRule type="containsText" dxfId="870" priority="39" operator="containsText" text="Inprogress">
      <formula>NOT(ISERROR(SEARCH("Inprogress",I2)))</formula>
    </cfRule>
  </conditionalFormatting>
  <conditionalFormatting sqref="I3">
    <cfRule type="containsText" dxfId="869" priority="34" operator="containsText" text="Closed">
      <formula>NOT(ISERROR(SEARCH("Closed",I3)))</formula>
    </cfRule>
    <cfRule type="containsText" dxfId="868" priority="35" operator="containsText" text="Open">
      <formula>NOT(ISERROR(SEARCH("Open",I3)))</formula>
    </cfRule>
    <cfRule type="containsText" dxfId="867" priority="36" operator="containsText" text="Inprogress">
      <formula>NOT(ISERROR(SEARCH("Inprogress",I3)))</formula>
    </cfRule>
  </conditionalFormatting>
  <conditionalFormatting sqref="I4">
    <cfRule type="containsText" dxfId="866" priority="31" operator="containsText" text="Closed">
      <formula>NOT(ISERROR(SEARCH("Closed",I4)))</formula>
    </cfRule>
    <cfRule type="containsText" dxfId="865" priority="32" operator="containsText" text="Open">
      <formula>NOT(ISERROR(SEARCH("Open",I4)))</formula>
    </cfRule>
    <cfRule type="containsText" dxfId="864" priority="33" operator="containsText" text="Inprogress">
      <formula>NOT(ISERROR(SEARCH("Inprogress",I4)))</formula>
    </cfRule>
  </conditionalFormatting>
  <conditionalFormatting sqref="I5:I6">
    <cfRule type="containsText" dxfId="863" priority="28" operator="containsText" text="Closed">
      <formula>NOT(ISERROR(SEARCH("Closed",I5)))</formula>
    </cfRule>
    <cfRule type="containsText" dxfId="862" priority="29" operator="containsText" text="Open">
      <formula>NOT(ISERROR(SEARCH("Open",I5)))</formula>
    </cfRule>
    <cfRule type="containsText" dxfId="861" priority="30" operator="containsText" text="Inprogress">
      <formula>NOT(ISERROR(SEARCH("Inprogress",I5)))</formula>
    </cfRule>
  </conditionalFormatting>
  <conditionalFormatting sqref="I7">
    <cfRule type="containsText" dxfId="860" priority="25" operator="containsText" text="Closed">
      <formula>NOT(ISERROR(SEARCH("Closed",I7)))</formula>
    </cfRule>
    <cfRule type="containsText" dxfId="859" priority="26" operator="containsText" text="Open">
      <formula>NOT(ISERROR(SEARCH("Open",I7)))</formula>
    </cfRule>
    <cfRule type="containsText" dxfId="858" priority="27" operator="containsText" text="Inprogress">
      <formula>NOT(ISERROR(SEARCH("Inprogress",I7)))</formula>
    </cfRule>
  </conditionalFormatting>
  <conditionalFormatting sqref="I8">
    <cfRule type="containsText" dxfId="857" priority="22" operator="containsText" text="Closed">
      <formula>NOT(ISERROR(SEARCH("Closed",I8)))</formula>
    </cfRule>
    <cfRule type="containsText" dxfId="856" priority="23" operator="containsText" text="Open">
      <formula>NOT(ISERROR(SEARCH("Open",I8)))</formula>
    </cfRule>
    <cfRule type="containsText" dxfId="855" priority="24" operator="containsText" text="Inprogress">
      <formula>NOT(ISERROR(SEARCH("Inprogress",I8)))</formula>
    </cfRule>
  </conditionalFormatting>
  <conditionalFormatting sqref="I9">
    <cfRule type="containsText" dxfId="854" priority="19" operator="containsText" text="Closed">
      <formula>NOT(ISERROR(SEARCH("Closed",I9)))</formula>
    </cfRule>
    <cfRule type="containsText" dxfId="853" priority="20" operator="containsText" text="Open">
      <formula>NOT(ISERROR(SEARCH("Open",I9)))</formula>
    </cfRule>
    <cfRule type="containsText" dxfId="852" priority="21" operator="containsText" text="Inprogress">
      <formula>NOT(ISERROR(SEARCH("Inprogress",I9)))</formula>
    </cfRule>
  </conditionalFormatting>
  <conditionalFormatting sqref="I10:I11">
    <cfRule type="containsText" dxfId="851" priority="16" operator="containsText" text="Closed">
      <formula>NOT(ISERROR(SEARCH("Closed",I10)))</formula>
    </cfRule>
    <cfRule type="containsText" dxfId="850" priority="17" operator="containsText" text="Open">
      <formula>NOT(ISERROR(SEARCH("Open",I10)))</formula>
    </cfRule>
    <cfRule type="containsText" dxfId="849" priority="18" operator="containsText" text="Inprogress">
      <formula>NOT(ISERROR(SEARCH("Inprogress",I10)))</formula>
    </cfRule>
  </conditionalFormatting>
  <conditionalFormatting sqref="I12">
    <cfRule type="containsText" dxfId="848" priority="13" operator="containsText" text="Closed">
      <formula>NOT(ISERROR(SEARCH("Closed",I12)))</formula>
    </cfRule>
    <cfRule type="containsText" dxfId="847" priority="14" operator="containsText" text="Open">
      <formula>NOT(ISERROR(SEARCH("Open",I12)))</formula>
    </cfRule>
    <cfRule type="containsText" dxfId="846" priority="15" operator="containsText" text="Inprogress">
      <formula>NOT(ISERROR(SEARCH("Inprogress",I12)))</formula>
    </cfRule>
  </conditionalFormatting>
  <conditionalFormatting sqref="I13">
    <cfRule type="containsText" dxfId="845" priority="10" operator="containsText" text="Closed">
      <formula>NOT(ISERROR(SEARCH("Closed",I13)))</formula>
    </cfRule>
    <cfRule type="containsText" dxfId="844" priority="11" operator="containsText" text="Open">
      <formula>NOT(ISERROR(SEARCH("Open",I13)))</formula>
    </cfRule>
    <cfRule type="containsText" dxfId="843" priority="12" operator="containsText" text="Inprogress">
      <formula>NOT(ISERROR(SEARCH("Inprogress",I13)))</formula>
    </cfRule>
  </conditionalFormatting>
  <conditionalFormatting sqref="I14">
    <cfRule type="containsText" dxfId="842" priority="7" operator="containsText" text="Closed">
      <formula>NOT(ISERROR(SEARCH("Closed",I14)))</formula>
    </cfRule>
    <cfRule type="containsText" dxfId="841" priority="8" operator="containsText" text="Open">
      <formula>NOT(ISERROR(SEARCH("Open",I14)))</formula>
    </cfRule>
    <cfRule type="containsText" dxfId="840" priority="9" operator="containsText" text="Inprogress">
      <formula>NOT(ISERROR(SEARCH("Inprogress",I14)))</formula>
    </cfRule>
  </conditionalFormatting>
  <conditionalFormatting sqref="I15:I16">
    <cfRule type="containsText" dxfId="839" priority="4" operator="containsText" text="Closed">
      <formula>NOT(ISERROR(SEARCH("Closed",I15)))</formula>
    </cfRule>
    <cfRule type="containsText" dxfId="838" priority="5" operator="containsText" text="Open">
      <formula>NOT(ISERROR(SEARCH("Open",I15)))</formula>
    </cfRule>
    <cfRule type="containsText" dxfId="837" priority="6" operator="containsText" text="Inprogress">
      <formula>NOT(ISERROR(SEARCH("Inprogress",I15)))</formula>
    </cfRule>
  </conditionalFormatting>
  <conditionalFormatting sqref="I17:I18">
    <cfRule type="containsText" dxfId="836" priority="1" operator="containsText" text="Closed">
      <formula>NOT(ISERROR(SEARCH("Closed",I17)))</formula>
    </cfRule>
    <cfRule type="containsText" dxfId="835" priority="2" operator="containsText" text="Open">
      <formula>NOT(ISERROR(SEARCH("Open",I17)))</formula>
    </cfRule>
    <cfRule type="containsText" dxfId="834" priority="3" operator="containsText" text="Inprogress">
      <formula>NOT(ISERROR(SEARCH("Inprogress",I17)))</formula>
    </cfRule>
  </conditionalFormatting>
  <dataValidations count="11">
    <dataValidation type="list" allowBlank="1" showErrorMessage="1" sqref="J1" xr:uid="{E72E0DA2-8D54-42A0-A6FB-BBB698673E31}">
      <formula1>"Open,Inprogress,Closed"</formula1>
    </dataValidation>
    <dataValidation showErrorMessage="1" sqref="I1" xr:uid="{F571B2EF-661B-4EA1-84D9-9AF9A4E9E84E}"/>
    <dataValidation allowBlank="1" showInputMessage="1" showErrorMessage="1" sqref="AD1:AE1" xr:uid="{2A11C6A5-F546-483B-AC32-98ACFF75CD03}"/>
    <dataValidation type="list" showErrorMessage="1" sqref="Y1:Z1 W1 O1" xr:uid="{578CE6A0-DEBF-4323-960A-6E1D38F48B9E}">
      <formula1>"Open,Inprogress,Completed,TBD,NA"</formula1>
    </dataValidation>
    <dataValidation type="list" showErrorMessage="1" sqref="S1:T1 X1 AA1" xr:uid="{AC816CEB-F930-4EDC-98BF-D8CA94C3DA82}">
      <formula1>"No issues found,Issues observed(BacktoDev),DB Script tests in QA DB,NA,TBD"</formula1>
    </dataValidation>
    <dataValidation type="list" showErrorMessage="1" sqref="AB1" xr:uid="{517DE0BE-6F59-4A64-AEB8-6AD71B6F3448}">
      <formula1>"Approved-Satisified AC,Not Approved(Back to Dev),NA,TBD"</formula1>
    </dataValidation>
    <dataValidation type="list" showErrorMessage="1" sqref="AC1" xr:uid="{719C6AC4-CAC9-4BAB-A59B-BD9282CD0BC7}">
      <formula1>"Pending-Waiting for Customer confirmation, Approved-Satisified AC,Not Approved-New minor changes requested(Back to Dev),NA,TBD"</formula1>
    </dataValidation>
    <dataValidation type="list" showErrorMessage="1" sqref="Q1" xr:uid="{B4D7334D-8FAC-47FE-84A1-3739F2D43DEA}">
      <formula1>"Pass,Fail(BacktoDev),DB Script tests in QA DB,TBD"</formula1>
    </dataValidation>
    <dataValidation type="list" showErrorMessage="1" sqref="R1" xr:uid="{FE1A57FE-D3FF-4147-A98F-9BB736C918FA}">
      <formula1>"Qadir,Rijo,Karthik,None,TBD"</formula1>
    </dataValidation>
    <dataValidation type="list" showErrorMessage="1" sqref="P1" xr:uid="{1AFB0AB4-F4A1-4A00-88D5-BC1F68B48A6C}">
      <formula1>"Qadir,Rijo,Karthik,Sushmitha,None,TBD"</formula1>
    </dataValidation>
    <dataValidation type="list" allowBlank="1" showInputMessage="1" showErrorMessage="1" sqref="AE2:AE18" xr:uid="{F7A4DF22-946F-4C6D-A2C3-578950D94796}">
      <formula1>"Exceeds Expectation,Meets Expectation,Needs improvements"</formula1>
    </dataValidation>
  </dataValidations>
  <hyperlinks>
    <hyperlink ref="T5" r:id="rId1" xr:uid="{9C388FE6-87CD-42A7-8F87-B7DDF51A5100}"/>
    <hyperlink ref="T9" r:id="rId2" xr:uid="{9E95774B-D496-409C-BC8B-286A790E074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1309CA1-B6B9-4640-A247-763D4F2B6E5B}">
          <x14:formula1>
            <xm:f>Settings!$C$3:$C$20</xm:f>
          </x14:formula1>
          <xm:sqref>I2:I18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62BA6-31C9-442D-94C1-4B97E5E6D948}">
  <dimension ref="A1:M8"/>
  <sheetViews>
    <sheetView workbookViewId="0">
      <selection activeCell="B1" sqref="B1"/>
    </sheetView>
  </sheetViews>
  <sheetFormatPr defaultRowHeight="12.75"/>
  <cols>
    <col min="1" max="1" width="3.7109375" customWidth="1"/>
    <col min="2" max="2" width="17" customWidth="1"/>
    <col min="3" max="3" width="10.85546875" customWidth="1"/>
    <col min="7" max="7" width="47.7109375" customWidth="1"/>
    <col min="11" max="11" width="18.7109375" customWidth="1"/>
    <col min="12" max="12" width="16.28515625" customWidth="1"/>
    <col min="13" max="13" width="42" customWidth="1"/>
  </cols>
  <sheetData>
    <row r="1" spans="1:13" ht="40.5">
      <c r="A1" s="108" t="s">
        <v>266</v>
      </c>
      <c r="B1" s="108" t="s">
        <v>10</v>
      </c>
      <c r="C1" s="404" t="s">
        <v>267</v>
      </c>
      <c r="D1" s="404" t="s">
        <v>268</v>
      </c>
      <c r="E1" s="108" t="s">
        <v>269</v>
      </c>
      <c r="F1" s="404" t="s">
        <v>270</v>
      </c>
      <c r="G1" s="404" t="s">
        <v>271</v>
      </c>
      <c r="H1" s="108" t="s">
        <v>272</v>
      </c>
      <c r="I1" s="108" t="s">
        <v>273</v>
      </c>
      <c r="J1" s="108" t="s">
        <v>274</v>
      </c>
      <c r="K1" s="108" t="s">
        <v>275</v>
      </c>
      <c r="L1" s="332" t="s">
        <v>276</v>
      </c>
      <c r="M1" s="405" t="s">
        <v>277</v>
      </c>
    </row>
    <row r="2" spans="1:13" ht="64.5" customHeight="1">
      <c r="A2" s="93">
        <v>1</v>
      </c>
      <c r="B2" s="93" t="s">
        <v>302</v>
      </c>
      <c r="C2" s="93">
        <v>26211</v>
      </c>
      <c r="D2" s="93"/>
      <c r="E2" s="93" t="s">
        <v>313</v>
      </c>
      <c r="F2" s="93" t="s">
        <v>522</v>
      </c>
      <c r="G2" s="96" t="s">
        <v>820</v>
      </c>
      <c r="H2" s="93" t="s">
        <v>517</v>
      </c>
      <c r="I2" s="93" t="s">
        <v>518</v>
      </c>
      <c r="J2" s="93" t="s">
        <v>525</v>
      </c>
      <c r="K2" s="490" t="s">
        <v>376</v>
      </c>
      <c r="L2" s="74" t="s">
        <v>529</v>
      </c>
      <c r="M2" s="96" t="s">
        <v>821</v>
      </c>
    </row>
    <row r="3" spans="1:13" ht="36">
      <c r="A3" s="93">
        <v>2</v>
      </c>
      <c r="B3" s="93" t="s">
        <v>302</v>
      </c>
      <c r="C3" s="93" t="s">
        <v>835</v>
      </c>
      <c r="D3" s="93"/>
      <c r="E3" s="93" t="s">
        <v>313</v>
      </c>
      <c r="F3" s="93" t="s">
        <v>522</v>
      </c>
      <c r="G3" s="96" t="s">
        <v>836</v>
      </c>
      <c r="H3" s="93" t="s">
        <v>517</v>
      </c>
      <c r="I3" s="93" t="s">
        <v>518</v>
      </c>
      <c r="J3" s="93" t="s">
        <v>519</v>
      </c>
      <c r="K3" s="490" t="s">
        <v>376</v>
      </c>
      <c r="L3" s="74" t="s">
        <v>529</v>
      </c>
      <c r="M3" s="96" t="s">
        <v>891</v>
      </c>
    </row>
    <row r="4" spans="1:13" ht="60">
      <c r="A4" s="93">
        <v>3</v>
      </c>
      <c r="B4" s="93" t="s">
        <v>302</v>
      </c>
      <c r="C4" s="93">
        <v>26889</v>
      </c>
      <c r="D4" s="93"/>
      <c r="E4" s="93" t="s">
        <v>313</v>
      </c>
      <c r="F4" s="93" t="s">
        <v>522</v>
      </c>
      <c r="G4" s="96" t="s">
        <v>831</v>
      </c>
      <c r="H4" s="93" t="s">
        <v>517</v>
      </c>
      <c r="I4" s="93" t="s">
        <v>518</v>
      </c>
      <c r="J4" s="93" t="s">
        <v>519</v>
      </c>
      <c r="K4" s="490" t="s">
        <v>376</v>
      </c>
      <c r="L4" s="74" t="s">
        <v>529</v>
      </c>
      <c r="M4" s="96" t="s">
        <v>892</v>
      </c>
    </row>
    <row r="5" spans="1:13" ht="84">
      <c r="A5" s="93">
        <v>4</v>
      </c>
      <c r="B5" s="93" t="s">
        <v>302</v>
      </c>
      <c r="C5" s="93" t="s">
        <v>849</v>
      </c>
      <c r="D5" s="93"/>
      <c r="E5" s="93" t="s">
        <v>313</v>
      </c>
      <c r="F5" s="93" t="s">
        <v>522</v>
      </c>
      <c r="G5" s="96" t="s">
        <v>850</v>
      </c>
      <c r="H5" s="93" t="s">
        <v>517</v>
      </c>
      <c r="I5" s="93" t="s">
        <v>518</v>
      </c>
      <c r="J5" s="93" t="s">
        <v>519</v>
      </c>
      <c r="K5" s="490" t="s">
        <v>376</v>
      </c>
      <c r="L5" s="74" t="s">
        <v>529</v>
      </c>
      <c r="M5" s="96" t="s">
        <v>893</v>
      </c>
    </row>
    <row r="6" spans="1:13" ht="60">
      <c r="A6" s="93">
        <v>5</v>
      </c>
      <c r="B6" s="93" t="s">
        <v>302</v>
      </c>
      <c r="C6" s="93" t="s">
        <v>875</v>
      </c>
      <c r="D6" s="93"/>
      <c r="E6" s="93" t="s">
        <v>313</v>
      </c>
      <c r="F6" s="93" t="s">
        <v>522</v>
      </c>
      <c r="G6" s="96" t="s">
        <v>876</v>
      </c>
      <c r="H6" s="93" t="s">
        <v>517</v>
      </c>
      <c r="I6" s="93" t="s">
        <v>518</v>
      </c>
      <c r="J6" s="93" t="s">
        <v>519</v>
      </c>
      <c r="K6" s="490" t="s">
        <v>376</v>
      </c>
      <c r="L6" s="74" t="s">
        <v>529</v>
      </c>
      <c r="M6" s="96" t="s">
        <v>894</v>
      </c>
    </row>
    <row r="7" spans="1:13" ht="72">
      <c r="A7" s="118">
        <v>6</v>
      </c>
      <c r="B7" s="118" t="s">
        <v>302</v>
      </c>
      <c r="C7" s="118" t="s">
        <v>694</v>
      </c>
      <c r="D7" s="118"/>
      <c r="E7" s="118" t="s">
        <v>313</v>
      </c>
      <c r="F7" s="118" t="s">
        <v>522</v>
      </c>
      <c r="G7" s="119" t="s">
        <v>695</v>
      </c>
      <c r="H7" s="118" t="s">
        <v>517</v>
      </c>
      <c r="I7" s="118" t="s">
        <v>518</v>
      </c>
      <c r="J7" s="118" t="s">
        <v>519</v>
      </c>
      <c r="K7" s="561" t="s">
        <v>348</v>
      </c>
      <c r="L7" s="664" t="s">
        <v>529</v>
      </c>
      <c r="M7" s="119" t="s">
        <v>806</v>
      </c>
    </row>
    <row r="8" spans="1:13" ht="72">
      <c r="A8" s="93">
        <v>7</v>
      </c>
      <c r="B8" s="93" t="s">
        <v>302</v>
      </c>
      <c r="C8" s="93" t="s">
        <v>698</v>
      </c>
      <c r="D8" s="93"/>
      <c r="E8" s="93" t="s">
        <v>313</v>
      </c>
      <c r="F8" s="93" t="s">
        <v>522</v>
      </c>
      <c r="G8" s="96" t="s">
        <v>699</v>
      </c>
      <c r="H8" s="93" t="s">
        <v>517</v>
      </c>
      <c r="I8" s="93" t="s">
        <v>518</v>
      </c>
      <c r="J8" s="93" t="s">
        <v>519</v>
      </c>
      <c r="K8" s="490" t="s">
        <v>329</v>
      </c>
      <c r="L8" s="74" t="s">
        <v>529</v>
      </c>
      <c r="M8" s="96" t="s">
        <v>807</v>
      </c>
    </row>
  </sheetData>
  <conditionalFormatting sqref="K2:K3">
    <cfRule type="containsText" dxfId="833" priority="7" operator="containsText" text="Closed">
      <formula>NOT(ISERROR(SEARCH("Closed",K2)))</formula>
    </cfRule>
    <cfRule type="containsText" dxfId="832" priority="8" operator="containsText" text="Open">
      <formula>NOT(ISERROR(SEARCH("Open",K2)))</formula>
    </cfRule>
    <cfRule type="containsText" dxfId="831" priority="9" operator="containsText" text="Inprogress">
      <formula>NOT(ISERROR(SEARCH("Inprogress",K2)))</formula>
    </cfRule>
  </conditionalFormatting>
  <conditionalFormatting sqref="K4:K8">
    <cfRule type="containsText" dxfId="830" priority="1" operator="containsText" text="Closed">
      <formula>NOT(ISERROR(SEARCH("Closed",K4)))</formula>
    </cfRule>
    <cfRule type="containsText" dxfId="829" priority="2" operator="containsText" text="Open">
      <formula>NOT(ISERROR(SEARCH("Open",K4)))</formula>
    </cfRule>
    <cfRule type="containsText" dxfId="828" priority="3" operator="containsText" text="Inprogress">
      <formula>NOT(ISERROR(SEARCH("Inprogress",K4)))</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94662AD7-DD10-4B55-89A0-F4E078DF796C}">
          <x14:formula1>
            <xm:f>Details!$A$2:$A$10</xm:f>
          </x14:formula1>
          <xm:sqref>L2:L8</xm:sqref>
        </x14:dataValidation>
        <x14:dataValidation type="list" allowBlank="1" showErrorMessage="1" xr:uid="{64E69297-7D66-47E2-A079-7E04520F2026}">
          <x14:formula1>
            <xm:f>Settings!$C$3:$C$20</xm:f>
          </x14:formula1>
          <xm:sqref>K2:K8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693B-6185-4A2B-B1E7-BAF90959C5EE}">
  <dimension ref="A1:AO16"/>
  <sheetViews>
    <sheetView workbookViewId="0">
      <selection activeCell="AE4" sqref="AE4"/>
    </sheetView>
  </sheetViews>
  <sheetFormatPr defaultRowHeight="12.75"/>
  <cols>
    <col min="1" max="1" width="5" customWidth="1"/>
    <col min="2" max="2" width="15.85546875" customWidth="1"/>
    <col min="3" max="4" width="9.42578125" bestFit="1" customWidth="1"/>
    <col min="5" max="5" width="30.42578125" customWidth="1"/>
    <col min="7" max="7" width="13" customWidth="1"/>
    <col min="8" max="8" width="39.5703125" customWidth="1"/>
    <col min="9" max="9" width="20.7109375" customWidth="1"/>
    <col min="12" max="12" width="12.7109375" customWidth="1"/>
    <col min="13" max="14" width="9.42578125" bestFit="1" customWidth="1"/>
    <col min="15" max="15" width="15.42578125" customWidth="1"/>
    <col min="16" max="16" width="14" customWidth="1"/>
    <col min="17" max="17" width="15.42578125" customWidth="1"/>
    <col min="18" max="18" width="15.85546875" customWidth="1"/>
    <col min="19" max="19" width="16.140625" customWidth="1"/>
    <col min="20" max="20" width="24" customWidth="1"/>
    <col min="21" max="21" width="12.7109375" customWidth="1"/>
    <col min="22" max="22" width="15.42578125" customWidth="1"/>
    <col min="23" max="23" width="14.42578125" customWidth="1"/>
    <col min="24" max="24" width="22.7109375" customWidth="1"/>
    <col min="25" max="25" width="13.28515625" customWidth="1"/>
    <col min="26" max="26" width="13.7109375" customWidth="1"/>
    <col min="27" max="27" width="18.5703125" customWidth="1"/>
    <col min="28" max="28" width="14.42578125" customWidth="1"/>
    <col min="29" max="29" width="27.28515625" customWidth="1"/>
    <col min="30" max="30" width="31.5703125" customWidth="1"/>
    <col min="31" max="31" width="15.5703125" customWidth="1"/>
    <col min="32" max="32" width="20" customWidth="1"/>
    <col min="33" max="33" width="18.42578125" customWidth="1"/>
    <col min="34" max="34" width="23.85546875" customWidth="1"/>
    <col min="35" max="35" width="23.140625" customWidth="1"/>
    <col min="36" max="36" width="22.42578125" customWidth="1"/>
    <col min="37" max="37" width="33.140625" customWidth="1"/>
    <col min="38" max="38" width="19" customWidth="1"/>
    <col min="39" max="39" width="24" customWidth="1"/>
    <col min="40" max="40" width="20" customWidth="1"/>
    <col min="41" max="41" width="21.28515625" customWidth="1"/>
  </cols>
  <sheetData>
    <row r="1" spans="1:41" ht="27">
      <c r="A1" s="247" t="s">
        <v>266</v>
      </c>
      <c r="B1" s="247" t="s">
        <v>4</v>
      </c>
      <c r="C1" s="247" t="s">
        <v>2</v>
      </c>
      <c r="D1" s="247" t="s">
        <v>3</v>
      </c>
      <c r="E1" s="247" t="s">
        <v>278</v>
      </c>
      <c r="F1" s="247" t="s">
        <v>269</v>
      </c>
      <c r="G1" s="247" t="s">
        <v>279</v>
      </c>
      <c r="H1" s="155"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46064</v>
      </c>
      <c r="AG1" s="518">
        <v>46065</v>
      </c>
      <c r="AH1" s="651">
        <v>46066</v>
      </c>
      <c r="AI1" s="651">
        <v>46069</v>
      </c>
      <c r="AJ1" s="518">
        <v>46070</v>
      </c>
      <c r="AK1" s="651">
        <v>46071</v>
      </c>
      <c r="AL1" s="651">
        <v>46072</v>
      </c>
      <c r="AM1" s="651">
        <v>46073</v>
      </c>
      <c r="AN1" s="518">
        <v>46076</v>
      </c>
      <c r="AO1" s="518">
        <v>46077</v>
      </c>
    </row>
    <row r="2" spans="1:41" ht="143.25" customHeight="1">
      <c r="A2" s="93">
        <v>1</v>
      </c>
      <c r="B2" s="93" t="s">
        <v>302</v>
      </c>
      <c r="C2" s="171" t="s">
        <v>895</v>
      </c>
      <c r="D2" s="171">
        <v>46077</v>
      </c>
      <c r="E2" s="96" t="s">
        <v>896</v>
      </c>
      <c r="F2" s="93" t="s">
        <v>465</v>
      </c>
      <c r="G2" s="93">
        <v>51706</v>
      </c>
      <c r="H2" s="96" t="s">
        <v>897</v>
      </c>
      <c r="I2" s="490" t="s">
        <v>338</v>
      </c>
      <c r="J2" s="93">
        <v>2</v>
      </c>
      <c r="K2" s="93">
        <v>2.5</v>
      </c>
      <c r="L2" s="93">
        <v>10</v>
      </c>
      <c r="M2" s="171">
        <v>46064</v>
      </c>
      <c r="N2" s="171">
        <v>46073</v>
      </c>
      <c r="O2" s="93" t="s">
        <v>320</v>
      </c>
      <c r="P2" s="93" t="s">
        <v>316</v>
      </c>
      <c r="Q2" s="93" t="s">
        <v>316</v>
      </c>
      <c r="R2" s="171" t="s">
        <v>316</v>
      </c>
      <c r="S2" s="93" t="s">
        <v>316</v>
      </c>
      <c r="T2" s="220" t="s">
        <v>898</v>
      </c>
      <c r="U2" s="171">
        <v>46328</v>
      </c>
      <c r="V2" s="93" t="s">
        <v>320</v>
      </c>
      <c r="W2" s="171" t="s">
        <v>319</v>
      </c>
      <c r="X2" s="96" t="s">
        <v>899</v>
      </c>
      <c r="Y2" s="96" t="s">
        <v>319</v>
      </c>
      <c r="Z2" s="171">
        <v>46073</v>
      </c>
      <c r="AA2" s="96" t="s">
        <v>316</v>
      </c>
      <c r="AB2" s="96" t="s">
        <v>316</v>
      </c>
      <c r="AC2" s="96" t="s">
        <v>900</v>
      </c>
      <c r="AD2" s="96" t="s">
        <v>901</v>
      </c>
      <c r="AE2" s="490" t="s">
        <v>423</v>
      </c>
      <c r="AF2" s="96" t="s">
        <v>902</v>
      </c>
      <c r="AG2" s="96" t="s">
        <v>903</v>
      </c>
      <c r="AH2" s="96" t="s">
        <v>904</v>
      </c>
      <c r="AI2" s="93" t="s">
        <v>905</v>
      </c>
      <c r="AJ2" s="96" t="s">
        <v>906</v>
      </c>
      <c r="AK2" s="96" t="s">
        <v>907</v>
      </c>
      <c r="AL2" s="96" t="s">
        <v>908</v>
      </c>
      <c r="AM2" s="96" t="s">
        <v>909</v>
      </c>
      <c r="AN2" s="96" t="s">
        <v>910</v>
      </c>
      <c r="AO2" s="96" t="s">
        <v>911</v>
      </c>
    </row>
    <row r="3" spans="1:41" ht="60">
      <c r="A3" s="93">
        <v>2</v>
      </c>
      <c r="B3" s="93" t="s">
        <v>302</v>
      </c>
      <c r="C3" s="171" t="s">
        <v>895</v>
      </c>
      <c r="D3" s="171">
        <v>46077</v>
      </c>
      <c r="E3" s="96" t="s">
        <v>896</v>
      </c>
      <c r="F3" s="93" t="s">
        <v>315</v>
      </c>
      <c r="G3" s="571" t="s">
        <v>912</v>
      </c>
      <c r="H3" s="96" t="s">
        <v>913</v>
      </c>
      <c r="I3" s="490" t="s">
        <v>509</v>
      </c>
      <c r="J3" s="93">
        <v>3</v>
      </c>
      <c r="K3" s="93">
        <v>0.5</v>
      </c>
      <c r="L3" s="93">
        <v>2</v>
      </c>
      <c r="M3" s="171">
        <v>46064</v>
      </c>
      <c r="N3" s="171">
        <v>46064</v>
      </c>
      <c r="O3" s="93" t="s">
        <v>320</v>
      </c>
      <c r="P3" s="93" t="s">
        <v>320</v>
      </c>
      <c r="Q3" s="93" t="s">
        <v>320</v>
      </c>
      <c r="R3" s="93" t="s">
        <v>320</v>
      </c>
      <c r="S3" s="93" t="s">
        <v>320</v>
      </c>
      <c r="T3" s="93" t="s">
        <v>320</v>
      </c>
      <c r="U3" s="93" t="s">
        <v>320</v>
      </c>
      <c r="V3" s="93" t="s">
        <v>320</v>
      </c>
      <c r="W3" s="93" t="s">
        <v>320</v>
      </c>
      <c r="X3" s="93" t="s">
        <v>320</v>
      </c>
      <c r="Y3" s="93" t="s">
        <v>320</v>
      </c>
      <c r="Z3" s="93" t="s">
        <v>320</v>
      </c>
      <c r="AA3" s="93" t="s">
        <v>320</v>
      </c>
      <c r="AB3" s="93" t="s">
        <v>320</v>
      </c>
      <c r="AC3" s="93" t="s">
        <v>320</v>
      </c>
      <c r="AD3" s="577" t="s">
        <v>914</v>
      </c>
      <c r="AE3" s="490" t="s">
        <v>423</v>
      </c>
      <c r="AF3" s="93" t="s">
        <v>915</v>
      </c>
      <c r="AG3" s="93" t="s">
        <v>915</v>
      </c>
      <c r="AH3" s="96" t="s">
        <v>916</v>
      </c>
      <c r="AI3" s="96" t="s">
        <v>916</v>
      </c>
      <c r="AJ3" s="93" t="s">
        <v>434</v>
      </c>
      <c r="AK3" s="93" t="s">
        <v>434</v>
      </c>
      <c r="AL3" s="93" t="s">
        <v>434</v>
      </c>
      <c r="AM3" s="93" t="s">
        <v>434</v>
      </c>
      <c r="AN3" s="93" t="s">
        <v>434</v>
      </c>
      <c r="AO3" s="93" t="s">
        <v>434</v>
      </c>
    </row>
    <row r="4" spans="1:41" ht="72">
      <c r="A4" s="93">
        <v>3</v>
      </c>
      <c r="B4" s="93" t="s">
        <v>302</v>
      </c>
      <c r="C4" s="171" t="s">
        <v>895</v>
      </c>
      <c r="D4" s="171">
        <v>46077</v>
      </c>
      <c r="E4" s="96" t="s">
        <v>896</v>
      </c>
      <c r="F4" s="93" t="s">
        <v>313</v>
      </c>
      <c r="G4" s="93">
        <v>25287</v>
      </c>
      <c r="H4" s="96" t="s">
        <v>917</v>
      </c>
      <c r="I4" s="490" t="s">
        <v>376</v>
      </c>
      <c r="J4" s="93">
        <v>2</v>
      </c>
      <c r="K4" s="93">
        <v>3.93</v>
      </c>
      <c r="L4" s="93">
        <v>15.75</v>
      </c>
      <c r="M4" s="171">
        <v>46064</v>
      </c>
      <c r="N4" s="171">
        <v>46064</v>
      </c>
      <c r="O4" s="96" t="s">
        <v>12</v>
      </c>
      <c r="P4" s="96" t="s">
        <v>315</v>
      </c>
      <c r="Q4" s="96" t="s">
        <v>316</v>
      </c>
      <c r="R4" s="96" t="s">
        <v>317</v>
      </c>
      <c r="S4" s="96" t="s">
        <v>316</v>
      </c>
      <c r="T4" s="130" t="s">
        <v>918</v>
      </c>
      <c r="U4" s="171">
        <v>46065</v>
      </c>
      <c r="V4" s="171">
        <v>46065</v>
      </c>
      <c r="W4" s="96" t="s">
        <v>316</v>
      </c>
      <c r="X4" s="96" t="s">
        <v>319</v>
      </c>
      <c r="Y4" s="96" t="s">
        <v>319</v>
      </c>
      <c r="Z4" s="96" t="s">
        <v>320</v>
      </c>
      <c r="AA4" s="96" t="s">
        <v>316</v>
      </c>
      <c r="AB4" s="96" t="s">
        <v>316</v>
      </c>
      <c r="AC4" s="96" t="s">
        <v>316</v>
      </c>
      <c r="AD4" s="93"/>
      <c r="AE4" s="490" t="s">
        <v>423</v>
      </c>
      <c r="AF4" s="96" t="s">
        <v>919</v>
      </c>
      <c r="AG4" s="96" t="s">
        <v>920</v>
      </c>
      <c r="AH4" s="96" t="s">
        <v>921</v>
      </c>
      <c r="AI4" s="96" t="s">
        <v>922</v>
      </c>
      <c r="AJ4" s="96" t="s">
        <v>923</v>
      </c>
      <c r="AK4" s="96" t="s">
        <v>924</v>
      </c>
      <c r="AL4" s="93" t="s">
        <v>434</v>
      </c>
      <c r="AM4" s="93" t="s">
        <v>434</v>
      </c>
      <c r="AN4" s="93" t="s">
        <v>434</v>
      </c>
      <c r="AO4" s="93" t="s">
        <v>434</v>
      </c>
    </row>
    <row r="5" spans="1:41" ht="72">
      <c r="A5" s="93">
        <v>4</v>
      </c>
      <c r="B5" s="93" t="s">
        <v>302</v>
      </c>
      <c r="C5" s="171" t="s">
        <v>895</v>
      </c>
      <c r="D5" s="171">
        <v>46077</v>
      </c>
      <c r="E5" s="96" t="s">
        <v>896</v>
      </c>
      <c r="F5" s="93" t="s">
        <v>315</v>
      </c>
      <c r="G5" s="571" t="s">
        <v>925</v>
      </c>
      <c r="H5" s="96" t="s">
        <v>926</v>
      </c>
      <c r="I5" s="490" t="s">
        <v>376</v>
      </c>
      <c r="J5" s="93">
        <v>2</v>
      </c>
      <c r="K5" s="93">
        <v>2.5</v>
      </c>
      <c r="L5" s="93">
        <v>10</v>
      </c>
      <c r="M5" s="171">
        <v>46064</v>
      </c>
      <c r="N5" s="171">
        <v>46064</v>
      </c>
      <c r="O5" s="96" t="s">
        <v>12</v>
      </c>
      <c r="P5" s="93" t="s">
        <v>313</v>
      </c>
      <c r="Q5" s="96" t="s">
        <v>316</v>
      </c>
      <c r="R5" s="96" t="s">
        <v>317</v>
      </c>
      <c r="S5" s="96" t="s">
        <v>316</v>
      </c>
      <c r="T5" s="130" t="s">
        <v>927</v>
      </c>
      <c r="U5" s="171">
        <v>46070</v>
      </c>
      <c r="V5" s="171">
        <v>46070</v>
      </c>
      <c r="W5" s="96" t="s">
        <v>316</v>
      </c>
      <c r="X5" s="96" t="s">
        <v>319</v>
      </c>
      <c r="Y5" s="96" t="s">
        <v>319</v>
      </c>
      <c r="Z5" s="96" t="s">
        <v>320</v>
      </c>
      <c r="AA5" s="96" t="s">
        <v>316</v>
      </c>
      <c r="AB5" s="96" t="s">
        <v>316</v>
      </c>
      <c r="AC5" s="96" t="s">
        <v>316</v>
      </c>
      <c r="AD5" s="93" t="s">
        <v>928</v>
      </c>
      <c r="AE5" s="490" t="s">
        <v>423</v>
      </c>
      <c r="AF5" s="96" t="s">
        <v>929</v>
      </c>
      <c r="AG5" s="96" t="s">
        <v>930</v>
      </c>
      <c r="AH5" s="96" t="s">
        <v>930</v>
      </c>
      <c r="AI5" s="96" t="s">
        <v>930</v>
      </c>
      <c r="AJ5" s="96" t="s">
        <v>931</v>
      </c>
      <c r="AK5" s="96" t="s">
        <v>932</v>
      </c>
      <c r="AL5" s="96" t="s">
        <v>933</v>
      </c>
      <c r="AM5" s="93" t="s">
        <v>434</v>
      </c>
      <c r="AN5" s="93" t="s">
        <v>434</v>
      </c>
      <c r="AO5" s="93" t="s">
        <v>434</v>
      </c>
    </row>
    <row r="6" spans="1:41" ht="72">
      <c r="A6" s="93">
        <v>5</v>
      </c>
      <c r="B6" s="93" t="s">
        <v>302</v>
      </c>
      <c r="C6" s="171" t="s">
        <v>895</v>
      </c>
      <c r="D6" s="171">
        <v>46077</v>
      </c>
      <c r="E6" s="96" t="s">
        <v>896</v>
      </c>
      <c r="F6" s="93" t="s">
        <v>317</v>
      </c>
      <c r="G6" s="129">
        <v>51683</v>
      </c>
      <c r="H6" s="93" t="s">
        <v>934</v>
      </c>
      <c r="I6" s="490" t="s">
        <v>306</v>
      </c>
      <c r="J6" s="93">
        <v>3</v>
      </c>
      <c r="K6" s="93">
        <v>6.75</v>
      </c>
      <c r="L6" s="93">
        <v>27</v>
      </c>
      <c r="M6" s="171">
        <v>46064</v>
      </c>
      <c r="N6" s="171">
        <v>46073</v>
      </c>
      <c r="O6" s="96" t="s">
        <v>12</v>
      </c>
      <c r="P6" s="93" t="s">
        <v>313</v>
      </c>
      <c r="Q6" s="96" t="s">
        <v>316</v>
      </c>
      <c r="R6" s="93" t="s">
        <v>313</v>
      </c>
      <c r="S6" s="96" t="s">
        <v>316</v>
      </c>
      <c r="T6" s="130" t="s">
        <v>935</v>
      </c>
      <c r="U6" s="171">
        <v>46073</v>
      </c>
      <c r="V6" s="171">
        <v>46073</v>
      </c>
      <c r="W6" s="96" t="s">
        <v>316</v>
      </c>
      <c r="X6" s="96" t="s">
        <v>319</v>
      </c>
      <c r="Y6" s="96" t="s">
        <v>319</v>
      </c>
      <c r="Z6" s="96" t="s">
        <v>320</v>
      </c>
      <c r="AA6" s="96" t="s">
        <v>316</v>
      </c>
      <c r="AB6" s="96" t="s">
        <v>936</v>
      </c>
      <c r="AC6" s="96" t="s">
        <v>316</v>
      </c>
      <c r="AD6" s="93"/>
      <c r="AE6" s="490" t="s">
        <v>423</v>
      </c>
      <c r="AF6" s="96" t="s">
        <v>937</v>
      </c>
      <c r="AG6" s="96" t="s">
        <v>938</v>
      </c>
      <c r="AH6" s="93" t="s">
        <v>939</v>
      </c>
      <c r="AI6" s="93" t="s">
        <v>940</v>
      </c>
      <c r="AJ6" s="93" t="s">
        <v>941</v>
      </c>
      <c r="AK6" s="96" t="s">
        <v>942</v>
      </c>
      <c r="AL6" s="93" t="s">
        <v>434</v>
      </c>
      <c r="AM6" s="93" t="s">
        <v>943</v>
      </c>
      <c r="AN6" s="93" t="s">
        <v>944</v>
      </c>
      <c r="AO6" s="93" t="s">
        <v>945</v>
      </c>
    </row>
    <row r="7" spans="1:41" ht="84">
      <c r="A7" s="93">
        <v>6</v>
      </c>
      <c r="B7" s="93" t="s">
        <v>302</v>
      </c>
      <c r="C7" s="171" t="s">
        <v>895</v>
      </c>
      <c r="D7" s="171">
        <v>46077</v>
      </c>
      <c r="E7" s="96" t="s">
        <v>946</v>
      </c>
      <c r="F7" s="93" t="s">
        <v>315</v>
      </c>
      <c r="G7" s="571" t="s">
        <v>947</v>
      </c>
      <c r="H7" s="96" t="s">
        <v>948</v>
      </c>
      <c r="I7" s="490" t="s">
        <v>509</v>
      </c>
      <c r="J7" s="93">
        <v>3</v>
      </c>
      <c r="K7" s="93">
        <v>3.75</v>
      </c>
      <c r="L7" s="93">
        <v>15</v>
      </c>
      <c r="M7" s="171">
        <v>46065</v>
      </c>
      <c r="N7" s="171">
        <v>46069</v>
      </c>
      <c r="O7" s="93" t="s">
        <v>320</v>
      </c>
      <c r="P7" s="93" t="s">
        <v>320</v>
      </c>
      <c r="Q7" s="93" t="s">
        <v>320</v>
      </c>
      <c r="R7" s="93" t="s">
        <v>320</v>
      </c>
      <c r="S7" s="93" t="s">
        <v>320</v>
      </c>
      <c r="T7" s="93" t="s">
        <v>320</v>
      </c>
      <c r="U7" s="93" t="s">
        <v>320</v>
      </c>
      <c r="V7" s="93" t="s">
        <v>320</v>
      </c>
      <c r="W7" s="93" t="s">
        <v>320</v>
      </c>
      <c r="X7" s="93" t="s">
        <v>320</v>
      </c>
      <c r="Y7" s="93" t="s">
        <v>320</v>
      </c>
      <c r="Z7" s="93" t="s">
        <v>320</v>
      </c>
      <c r="AA7" s="93" t="s">
        <v>320</v>
      </c>
      <c r="AB7" s="93" t="s">
        <v>320</v>
      </c>
      <c r="AC7" s="93" t="s">
        <v>320</v>
      </c>
      <c r="AD7" s="577" t="s">
        <v>949</v>
      </c>
      <c r="AE7" s="490" t="s">
        <v>423</v>
      </c>
      <c r="AF7" s="93"/>
      <c r="AG7" s="96" t="s">
        <v>950</v>
      </c>
      <c r="AH7" s="96" t="s">
        <v>951</v>
      </c>
      <c r="AI7" s="96" t="s">
        <v>916</v>
      </c>
      <c r="AJ7" s="93" t="s">
        <v>434</v>
      </c>
      <c r="AK7" s="93" t="s">
        <v>434</v>
      </c>
      <c r="AL7" s="93" t="s">
        <v>434</v>
      </c>
      <c r="AM7" s="93" t="s">
        <v>434</v>
      </c>
      <c r="AN7" s="93" t="s">
        <v>434</v>
      </c>
      <c r="AO7" s="93"/>
    </row>
    <row r="8" spans="1:41" ht="72">
      <c r="A8" s="93">
        <v>7</v>
      </c>
      <c r="B8" s="93" t="s">
        <v>302</v>
      </c>
      <c r="C8" s="171" t="s">
        <v>895</v>
      </c>
      <c r="D8" s="171">
        <v>46077</v>
      </c>
      <c r="E8" s="96" t="s">
        <v>946</v>
      </c>
      <c r="F8" s="93" t="s">
        <v>313</v>
      </c>
      <c r="G8" s="93">
        <v>25674</v>
      </c>
      <c r="H8" s="96" t="s">
        <v>952</v>
      </c>
      <c r="I8" s="490" t="s">
        <v>376</v>
      </c>
      <c r="J8" s="93">
        <v>3</v>
      </c>
      <c r="K8" s="93">
        <v>3.5</v>
      </c>
      <c r="L8" s="93">
        <v>14</v>
      </c>
      <c r="M8" s="171">
        <v>46065</v>
      </c>
      <c r="N8" s="171">
        <v>46066</v>
      </c>
      <c r="O8" s="96" t="s">
        <v>12</v>
      </c>
      <c r="P8" s="96" t="s">
        <v>315</v>
      </c>
      <c r="Q8" s="96" t="s">
        <v>316</v>
      </c>
      <c r="R8" s="96" t="s">
        <v>317</v>
      </c>
      <c r="S8" s="96" t="s">
        <v>316</v>
      </c>
      <c r="T8" s="130" t="s">
        <v>953</v>
      </c>
      <c r="U8" s="171">
        <v>46069</v>
      </c>
      <c r="V8" s="171">
        <v>46069</v>
      </c>
      <c r="W8" s="96" t="s">
        <v>316</v>
      </c>
      <c r="X8" s="96" t="s">
        <v>319</v>
      </c>
      <c r="Y8" s="96" t="s">
        <v>319</v>
      </c>
      <c r="Z8" s="96" t="s">
        <v>320</v>
      </c>
      <c r="AA8" s="96" t="s">
        <v>316</v>
      </c>
      <c r="AB8" s="96" t="s">
        <v>316</v>
      </c>
      <c r="AC8" s="96" t="s">
        <v>316</v>
      </c>
      <c r="AD8" s="93"/>
      <c r="AE8" s="490" t="s">
        <v>423</v>
      </c>
      <c r="AF8" s="93"/>
      <c r="AG8" s="96" t="s">
        <v>954</v>
      </c>
      <c r="AH8" s="96" t="s">
        <v>955</v>
      </c>
      <c r="AI8" s="96" t="s">
        <v>956</v>
      </c>
      <c r="AJ8" s="93" t="s">
        <v>607</v>
      </c>
      <c r="AK8" s="93" t="s">
        <v>945</v>
      </c>
      <c r="AL8" s="93" t="s">
        <v>434</v>
      </c>
      <c r="AM8" s="93" t="s">
        <v>434</v>
      </c>
      <c r="AN8" s="93" t="s">
        <v>434</v>
      </c>
      <c r="AO8" s="93"/>
    </row>
    <row r="9" spans="1:41" ht="36">
      <c r="A9" s="93">
        <v>8</v>
      </c>
      <c r="B9" s="93" t="s">
        <v>302</v>
      </c>
      <c r="C9" s="171" t="s">
        <v>895</v>
      </c>
      <c r="D9" s="171">
        <v>46077</v>
      </c>
      <c r="E9" s="96" t="s">
        <v>896</v>
      </c>
      <c r="F9" s="93" t="s">
        <v>315</v>
      </c>
      <c r="G9" s="129" t="s">
        <v>957</v>
      </c>
      <c r="H9" s="96" t="s">
        <v>958</v>
      </c>
      <c r="I9" s="490" t="s">
        <v>376</v>
      </c>
      <c r="J9" s="93">
        <v>0</v>
      </c>
      <c r="K9" s="93">
        <v>0.37</v>
      </c>
      <c r="L9" s="93">
        <v>1.5</v>
      </c>
      <c r="M9" s="171">
        <v>46064</v>
      </c>
      <c r="N9" s="171">
        <v>46064</v>
      </c>
      <c r="O9" s="96" t="s">
        <v>12</v>
      </c>
      <c r="P9" s="93" t="s">
        <v>313</v>
      </c>
      <c r="Q9" s="96" t="s">
        <v>316</v>
      </c>
      <c r="R9" s="96" t="s">
        <v>317</v>
      </c>
      <c r="S9" s="96" t="s">
        <v>316</v>
      </c>
      <c r="T9" s="93" t="s">
        <v>320</v>
      </c>
      <c r="U9" s="93" t="s">
        <v>320</v>
      </c>
      <c r="V9" s="93" t="s">
        <v>320</v>
      </c>
      <c r="W9" s="93" t="s">
        <v>320</v>
      </c>
      <c r="X9" s="93" t="s">
        <v>320</v>
      </c>
      <c r="Y9" s="93" t="s">
        <v>320</v>
      </c>
      <c r="Z9" s="93" t="s">
        <v>320</v>
      </c>
      <c r="AA9" s="93" t="s">
        <v>320</v>
      </c>
      <c r="AB9" s="93" t="s">
        <v>320</v>
      </c>
      <c r="AC9" s="93" t="s">
        <v>320</v>
      </c>
      <c r="AD9" s="96" t="s">
        <v>959</v>
      </c>
      <c r="AE9" s="490" t="s">
        <v>423</v>
      </c>
      <c r="AF9" s="93" t="s">
        <v>960</v>
      </c>
      <c r="AG9" s="93" t="s">
        <v>434</v>
      </c>
      <c r="AH9" s="93" t="s">
        <v>434</v>
      </c>
      <c r="AI9" s="93" t="s">
        <v>434</v>
      </c>
      <c r="AJ9" s="93" t="s">
        <v>434</v>
      </c>
      <c r="AK9" s="93" t="s">
        <v>434</v>
      </c>
      <c r="AL9" s="93" t="s">
        <v>434</v>
      </c>
      <c r="AM9" s="93" t="s">
        <v>434</v>
      </c>
      <c r="AN9" s="93" t="s">
        <v>961</v>
      </c>
      <c r="AO9" s="93"/>
    </row>
    <row r="10" spans="1:41" ht="47.25" customHeight="1">
      <c r="A10" s="93">
        <v>9</v>
      </c>
      <c r="B10" s="93" t="s">
        <v>302</v>
      </c>
      <c r="C10" s="171" t="s">
        <v>895</v>
      </c>
      <c r="D10" s="171">
        <v>46077</v>
      </c>
      <c r="E10" s="96" t="s">
        <v>896</v>
      </c>
      <c r="F10" s="93" t="s">
        <v>313</v>
      </c>
      <c r="G10" s="93">
        <v>51859</v>
      </c>
      <c r="H10" s="96" t="s">
        <v>962</v>
      </c>
      <c r="I10" s="490" t="s">
        <v>306</v>
      </c>
      <c r="J10" s="93">
        <v>3</v>
      </c>
      <c r="K10" s="93">
        <v>4.37</v>
      </c>
      <c r="L10" s="93">
        <v>17.5</v>
      </c>
      <c r="M10" s="171">
        <v>46066</v>
      </c>
      <c r="N10" s="171">
        <v>46069</v>
      </c>
      <c r="O10" s="96" t="s">
        <v>12</v>
      </c>
      <c r="P10" s="96" t="s">
        <v>317</v>
      </c>
      <c r="Q10" s="96" t="s">
        <v>316</v>
      </c>
      <c r="R10" s="96" t="s">
        <v>317</v>
      </c>
      <c r="S10" s="96" t="s">
        <v>316</v>
      </c>
      <c r="T10" s="130" t="s">
        <v>963</v>
      </c>
      <c r="U10" s="93" t="s">
        <v>320</v>
      </c>
      <c r="V10" s="93" t="s">
        <v>320</v>
      </c>
      <c r="W10" s="93" t="s">
        <v>320</v>
      </c>
      <c r="X10" s="93" t="s">
        <v>320</v>
      </c>
      <c r="Y10" s="93" t="s">
        <v>320</v>
      </c>
      <c r="Z10" s="93" t="s">
        <v>320</v>
      </c>
      <c r="AA10" s="93" t="s">
        <v>320</v>
      </c>
      <c r="AB10" s="93" t="s">
        <v>320</v>
      </c>
      <c r="AC10" s="93" t="s">
        <v>320</v>
      </c>
      <c r="AD10" s="93"/>
      <c r="AE10" s="490" t="s">
        <v>423</v>
      </c>
      <c r="AF10" s="93"/>
      <c r="AG10" s="93"/>
      <c r="AH10" s="96" t="s">
        <v>964</v>
      </c>
      <c r="AI10" s="96" t="s">
        <v>965</v>
      </c>
      <c r="AJ10" s="96" t="s">
        <v>966</v>
      </c>
      <c r="AK10" s="96" t="s">
        <v>967</v>
      </c>
      <c r="AL10" s="93" t="s">
        <v>968</v>
      </c>
      <c r="AM10" s="96" t="s">
        <v>969</v>
      </c>
      <c r="AN10" s="96" t="s">
        <v>970</v>
      </c>
      <c r="AO10" s="93"/>
    </row>
    <row r="11" spans="1:41" ht="72">
      <c r="A11" s="93">
        <v>10</v>
      </c>
      <c r="B11" s="93" t="s">
        <v>302</v>
      </c>
      <c r="C11" s="171" t="s">
        <v>895</v>
      </c>
      <c r="D11" s="171">
        <v>46077</v>
      </c>
      <c r="E11" s="96" t="s">
        <v>946</v>
      </c>
      <c r="F11" s="93" t="s">
        <v>315</v>
      </c>
      <c r="G11" s="93" t="s">
        <v>971</v>
      </c>
      <c r="H11" s="96" t="s">
        <v>972</v>
      </c>
      <c r="I11" s="490" t="s">
        <v>329</v>
      </c>
      <c r="J11" s="93">
        <v>5</v>
      </c>
      <c r="K11" s="93">
        <v>3</v>
      </c>
      <c r="L11" s="93">
        <v>12</v>
      </c>
      <c r="M11" s="171">
        <v>46070</v>
      </c>
      <c r="N11" s="171">
        <v>46071</v>
      </c>
      <c r="O11" s="96" t="s">
        <v>12</v>
      </c>
      <c r="P11" s="93" t="s">
        <v>313</v>
      </c>
      <c r="Q11" s="96" t="s">
        <v>316</v>
      </c>
      <c r="R11" s="96" t="s">
        <v>317</v>
      </c>
      <c r="S11" s="96" t="s">
        <v>316</v>
      </c>
      <c r="T11" s="130" t="s">
        <v>973</v>
      </c>
      <c r="U11" s="171">
        <v>46072</v>
      </c>
      <c r="V11" s="171">
        <v>46072</v>
      </c>
      <c r="W11" s="96" t="s">
        <v>316</v>
      </c>
      <c r="X11" s="96" t="s">
        <v>319</v>
      </c>
      <c r="Y11" s="96" t="s">
        <v>319</v>
      </c>
      <c r="Z11" s="96" t="s">
        <v>320</v>
      </c>
      <c r="AA11" s="96" t="s">
        <v>316</v>
      </c>
      <c r="AB11" s="96" t="s">
        <v>316</v>
      </c>
      <c r="AC11" s="96" t="s">
        <v>316</v>
      </c>
      <c r="AD11" s="490" t="s">
        <v>329</v>
      </c>
      <c r="AE11" s="490" t="s">
        <v>423</v>
      </c>
      <c r="AF11" s="93"/>
      <c r="AG11" s="93"/>
      <c r="AH11" s="93"/>
      <c r="AI11" s="93"/>
      <c r="AJ11" s="96" t="s">
        <v>974</v>
      </c>
      <c r="AK11" s="93" t="s">
        <v>930</v>
      </c>
      <c r="AL11" s="93" t="s">
        <v>975</v>
      </c>
      <c r="AM11" s="93" t="s">
        <v>607</v>
      </c>
      <c r="AN11" s="93" t="s">
        <v>607</v>
      </c>
      <c r="AO11" s="93"/>
    </row>
    <row r="12" spans="1:41" ht="72">
      <c r="A12" s="93">
        <v>11</v>
      </c>
      <c r="B12" s="93" t="s">
        <v>302</v>
      </c>
      <c r="C12" s="171" t="s">
        <v>895</v>
      </c>
      <c r="D12" s="171">
        <v>46077</v>
      </c>
      <c r="E12" s="96" t="s">
        <v>946</v>
      </c>
      <c r="F12" s="93" t="s">
        <v>313</v>
      </c>
      <c r="G12" s="93">
        <v>44176</v>
      </c>
      <c r="H12" s="96" t="s">
        <v>976</v>
      </c>
      <c r="I12" s="490" t="s">
        <v>380</v>
      </c>
      <c r="J12" s="93">
        <v>5</v>
      </c>
      <c r="K12" s="93">
        <v>6.31</v>
      </c>
      <c r="L12" s="93">
        <v>25.25</v>
      </c>
      <c r="M12" s="171">
        <v>46070</v>
      </c>
      <c r="N12" s="171">
        <v>46077</v>
      </c>
      <c r="O12" s="96" t="s">
        <v>12</v>
      </c>
      <c r="P12" s="96" t="s">
        <v>320</v>
      </c>
      <c r="Q12" s="96" t="s">
        <v>320</v>
      </c>
      <c r="R12" s="96" t="s">
        <v>320</v>
      </c>
      <c r="S12" s="96" t="s">
        <v>320</v>
      </c>
      <c r="T12" s="96" t="s">
        <v>320</v>
      </c>
      <c r="U12" s="96" t="s">
        <v>320</v>
      </c>
      <c r="V12" s="96" t="s">
        <v>320</v>
      </c>
      <c r="W12" s="96" t="s">
        <v>320</v>
      </c>
      <c r="X12" s="96" t="s">
        <v>320</v>
      </c>
      <c r="Y12" s="96" t="s">
        <v>320</v>
      </c>
      <c r="Z12" s="96" t="s">
        <v>320</v>
      </c>
      <c r="AA12" s="96" t="s">
        <v>320</v>
      </c>
      <c r="AB12" s="96" t="s">
        <v>320</v>
      </c>
      <c r="AC12" s="96" t="s">
        <v>320</v>
      </c>
      <c r="AD12" s="93"/>
      <c r="AE12" s="490" t="s">
        <v>423</v>
      </c>
      <c r="AF12" s="93"/>
      <c r="AG12" s="93"/>
      <c r="AH12" s="93"/>
      <c r="AI12" s="93"/>
      <c r="AJ12" s="96" t="s">
        <v>977</v>
      </c>
      <c r="AK12" s="93" t="s">
        <v>978</v>
      </c>
      <c r="AL12" s="96" t="s">
        <v>979</v>
      </c>
      <c r="AM12" s="96" t="s">
        <v>980</v>
      </c>
      <c r="AN12" s="96" t="s">
        <v>981</v>
      </c>
      <c r="AO12" s="93"/>
    </row>
    <row r="13" spans="1:41" ht="36">
      <c r="A13" s="93">
        <v>12</v>
      </c>
      <c r="B13" s="93" t="s">
        <v>302</v>
      </c>
      <c r="C13" s="171" t="s">
        <v>895</v>
      </c>
      <c r="D13" s="171">
        <v>46077</v>
      </c>
      <c r="E13" s="96" t="s">
        <v>896</v>
      </c>
      <c r="F13" s="93" t="s">
        <v>313</v>
      </c>
      <c r="G13" s="93" t="s">
        <v>982</v>
      </c>
      <c r="H13" s="96" t="s">
        <v>983</v>
      </c>
      <c r="I13" s="490" t="s">
        <v>376</v>
      </c>
      <c r="J13" s="93">
        <v>0</v>
      </c>
      <c r="K13" s="93">
        <v>1</v>
      </c>
      <c r="L13" s="93">
        <v>4</v>
      </c>
      <c r="M13" s="171">
        <v>46071</v>
      </c>
      <c r="N13" s="171">
        <v>46071</v>
      </c>
      <c r="O13" s="96" t="s">
        <v>320</v>
      </c>
      <c r="P13" s="96" t="s">
        <v>320</v>
      </c>
      <c r="Q13" s="96" t="s">
        <v>320</v>
      </c>
      <c r="R13" s="96" t="s">
        <v>320</v>
      </c>
      <c r="S13" s="96" t="s">
        <v>320</v>
      </c>
      <c r="T13" s="96" t="s">
        <v>320</v>
      </c>
      <c r="U13" s="96" t="s">
        <v>320</v>
      </c>
      <c r="V13" s="96" t="s">
        <v>320</v>
      </c>
      <c r="W13" s="96" t="s">
        <v>320</v>
      </c>
      <c r="X13" s="96" t="s">
        <v>320</v>
      </c>
      <c r="Y13" s="96" t="s">
        <v>320</v>
      </c>
      <c r="Z13" s="96" t="s">
        <v>320</v>
      </c>
      <c r="AA13" s="96" t="s">
        <v>320</v>
      </c>
      <c r="AB13" s="96" t="s">
        <v>320</v>
      </c>
      <c r="AC13" s="96" t="s">
        <v>320</v>
      </c>
      <c r="AD13" s="96" t="s">
        <v>837</v>
      </c>
      <c r="AE13" s="490" t="s">
        <v>423</v>
      </c>
      <c r="AF13" s="93"/>
      <c r="AG13" s="93"/>
      <c r="AH13" s="93"/>
      <c r="AI13" s="93"/>
      <c r="AJ13" s="93"/>
      <c r="AK13" s="93" t="s">
        <v>984</v>
      </c>
      <c r="AL13" s="96" t="s">
        <v>985</v>
      </c>
      <c r="AM13" s="96" t="s">
        <v>985</v>
      </c>
      <c r="AN13" s="96" t="s">
        <v>986</v>
      </c>
      <c r="AO13" s="93"/>
    </row>
    <row r="14" spans="1:41" ht="36">
      <c r="A14" s="93">
        <v>13</v>
      </c>
      <c r="B14" s="93" t="s">
        <v>302</v>
      </c>
      <c r="C14" s="171" t="s">
        <v>895</v>
      </c>
      <c r="D14" s="171">
        <v>46077</v>
      </c>
      <c r="E14" s="96" t="s">
        <v>946</v>
      </c>
      <c r="F14" s="93" t="s">
        <v>315</v>
      </c>
      <c r="G14" s="129">
        <v>49951</v>
      </c>
      <c r="H14" s="96" t="s">
        <v>987</v>
      </c>
      <c r="I14" s="490" t="s">
        <v>338</v>
      </c>
      <c r="J14" s="93">
        <v>3</v>
      </c>
      <c r="K14" s="93">
        <v>4.12</v>
      </c>
      <c r="L14" s="93">
        <v>16.5</v>
      </c>
      <c r="M14" s="171">
        <v>46071</v>
      </c>
      <c r="N14" s="171">
        <v>46073</v>
      </c>
      <c r="O14" s="96" t="s">
        <v>12</v>
      </c>
      <c r="P14" s="93" t="s">
        <v>313</v>
      </c>
      <c r="Q14" s="96" t="s">
        <v>316</v>
      </c>
      <c r="R14" s="93" t="s">
        <v>320</v>
      </c>
      <c r="S14" s="93" t="s">
        <v>320</v>
      </c>
      <c r="T14" s="93" t="s">
        <v>320</v>
      </c>
      <c r="U14" s="93" t="s">
        <v>320</v>
      </c>
      <c r="V14" s="93" t="s">
        <v>320</v>
      </c>
      <c r="W14" s="93" t="s">
        <v>320</v>
      </c>
      <c r="X14" s="93" t="s">
        <v>320</v>
      </c>
      <c r="Y14" s="93" t="s">
        <v>320</v>
      </c>
      <c r="Z14" s="93" t="s">
        <v>320</v>
      </c>
      <c r="AA14" s="93" t="s">
        <v>320</v>
      </c>
      <c r="AB14" s="93" t="s">
        <v>320</v>
      </c>
      <c r="AC14" s="93" t="s">
        <v>320</v>
      </c>
      <c r="AD14" s="96" t="s">
        <v>988</v>
      </c>
      <c r="AE14" s="490" t="s">
        <v>423</v>
      </c>
      <c r="AF14" s="93"/>
      <c r="AG14" s="93"/>
      <c r="AH14" s="93"/>
      <c r="AI14" s="93"/>
      <c r="AJ14" s="93"/>
      <c r="AK14" s="96" t="s">
        <v>989</v>
      </c>
      <c r="AL14" s="93" t="s">
        <v>990</v>
      </c>
      <c r="AM14" s="96"/>
      <c r="AN14" s="96" t="s">
        <v>991</v>
      </c>
      <c r="AO14" s="93"/>
    </row>
    <row r="15" spans="1:41" ht="48">
      <c r="A15" s="93">
        <v>14</v>
      </c>
      <c r="B15" s="93" t="s">
        <v>302</v>
      </c>
      <c r="C15" s="171" t="s">
        <v>895</v>
      </c>
      <c r="D15" s="171">
        <v>46077</v>
      </c>
      <c r="E15" s="96" t="s">
        <v>946</v>
      </c>
      <c r="F15" s="93" t="s">
        <v>315</v>
      </c>
      <c r="G15" s="93">
        <v>51861</v>
      </c>
      <c r="H15" s="96" t="s">
        <v>728</v>
      </c>
      <c r="I15" s="490" t="s">
        <v>399</v>
      </c>
      <c r="J15" s="93">
        <v>3</v>
      </c>
      <c r="K15" s="93">
        <v>2.25</v>
      </c>
      <c r="L15" s="93">
        <v>9</v>
      </c>
      <c r="M15" s="171">
        <v>46073</v>
      </c>
      <c r="N15" s="93" t="s">
        <v>320</v>
      </c>
      <c r="O15" s="93" t="s">
        <v>320</v>
      </c>
      <c r="P15" s="93" t="s">
        <v>320</v>
      </c>
      <c r="Q15" s="93" t="s">
        <v>320</v>
      </c>
      <c r="R15" s="93" t="s">
        <v>320</v>
      </c>
      <c r="S15" s="93" t="s">
        <v>320</v>
      </c>
      <c r="T15" s="93" t="s">
        <v>320</v>
      </c>
      <c r="U15" s="93" t="s">
        <v>320</v>
      </c>
      <c r="V15" s="93" t="s">
        <v>320</v>
      </c>
      <c r="W15" s="93" t="s">
        <v>320</v>
      </c>
      <c r="X15" s="93" t="s">
        <v>320</v>
      </c>
      <c r="Y15" s="93" t="s">
        <v>320</v>
      </c>
      <c r="Z15" s="93" t="s">
        <v>320</v>
      </c>
      <c r="AA15" s="93" t="s">
        <v>320</v>
      </c>
      <c r="AB15" s="93" t="s">
        <v>320</v>
      </c>
      <c r="AC15" s="93" t="s">
        <v>320</v>
      </c>
      <c r="AD15" s="93" t="s">
        <v>992</v>
      </c>
      <c r="AE15" s="490" t="s">
        <v>423</v>
      </c>
      <c r="AF15" s="93"/>
      <c r="AG15" s="93"/>
      <c r="AH15" s="93"/>
      <c r="AI15" s="93"/>
      <c r="AJ15" s="93"/>
      <c r="AK15" s="93"/>
      <c r="AL15" s="93" t="s">
        <v>993</v>
      </c>
      <c r="AM15" s="93"/>
      <c r="AN15" s="96" t="s">
        <v>994</v>
      </c>
      <c r="AO15" s="93"/>
    </row>
    <row r="16" spans="1:41" ht="48">
      <c r="A16" s="93">
        <v>15</v>
      </c>
      <c r="B16" s="93" t="s">
        <v>302</v>
      </c>
      <c r="C16" s="171" t="s">
        <v>895</v>
      </c>
      <c r="D16" s="171">
        <v>46077</v>
      </c>
      <c r="E16" s="96" t="s">
        <v>946</v>
      </c>
      <c r="F16" s="93" t="s">
        <v>317</v>
      </c>
      <c r="G16" s="93">
        <v>26818</v>
      </c>
      <c r="H16" s="96" t="s">
        <v>995</v>
      </c>
      <c r="I16" s="490" t="s">
        <v>399</v>
      </c>
      <c r="J16" s="93">
        <v>5</v>
      </c>
      <c r="K16" s="93">
        <v>2.37</v>
      </c>
      <c r="L16" s="93">
        <v>9.5</v>
      </c>
      <c r="M16" s="171">
        <v>46072</v>
      </c>
      <c r="N16" s="93" t="s">
        <v>320</v>
      </c>
      <c r="O16" s="93" t="s">
        <v>320</v>
      </c>
      <c r="P16" s="93" t="s">
        <v>320</v>
      </c>
      <c r="Q16" s="93" t="s">
        <v>320</v>
      </c>
      <c r="R16" s="93" t="s">
        <v>320</v>
      </c>
      <c r="S16" s="93" t="s">
        <v>320</v>
      </c>
      <c r="T16" s="93" t="s">
        <v>320</v>
      </c>
      <c r="U16" s="93" t="s">
        <v>320</v>
      </c>
      <c r="V16" s="93" t="s">
        <v>320</v>
      </c>
      <c r="W16" s="93" t="s">
        <v>320</v>
      </c>
      <c r="X16" s="93" t="s">
        <v>320</v>
      </c>
      <c r="Y16" s="93" t="s">
        <v>320</v>
      </c>
      <c r="Z16" s="93" t="s">
        <v>320</v>
      </c>
      <c r="AA16" s="93" t="s">
        <v>320</v>
      </c>
      <c r="AB16" s="93" t="s">
        <v>320</v>
      </c>
      <c r="AC16" s="93" t="s">
        <v>320</v>
      </c>
      <c r="AD16" s="93"/>
      <c r="AE16" s="490" t="s">
        <v>423</v>
      </c>
      <c r="AF16" s="93"/>
      <c r="AG16" s="93"/>
      <c r="AH16" s="93"/>
      <c r="AI16" s="93"/>
      <c r="AJ16" s="93"/>
      <c r="AK16" s="93"/>
      <c r="AL16" s="93" t="s">
        <v>996</v>
      </c>
      <c r="AM16" s="93"/>
      <c r="AN16" s="93" t="s">
        <v>997</v>
      </c>
      <c r="AO16" s="93"/>
    </row>
  </sheetData>
  <conditionalFormatting sqref="J1">
    <cfRule type="containsText" dxfId="827" priority="25" operator="containsText" text="Closed">
      <formula>NOT(ISERROR(SEARCH("Closed",J1)))</formula>
    </cfRule>
    <cfRule type="containsText" dxfId="826" priority="26" operator="containsText" text="Open">
      <formula>NOT(ISERROR(SEARCH("Open",J1)))</formula>
    </cfRule>
    <cfRule type="containsText" dxfId="825" priority="27" operator="containsText" text="Inprogress">
      <formula>NOT(ISERROR(SEARCH("Inprogress",J1)))</formula>
    </cfRule>
  </conditionalFormatting>
  <conditionalFormatting sqref="I2">
    <cfRule type="containsText" dxfId="824" priority="22" operator="containsText" text="Closed">
      <formula>NOT(ISERROR(SEARCH("Closed",I2)))</formula>
    </cfRule>
    <cfRule type="containsText" dxfId="823" priority="23" operator="containsText" text="Open">
      <formula>NOT(ISERROR(SEARCH("Open",I2)))</formula>
    </cfRule>
    <cfRule type="containsText" dxfId="822" priority="24" operator="containsText" text="Inprogress">
      <formula>NOT(ISERROR(SEARCH("Inprogress",I2)))</formula>
    </cfRule>
  </conditionalFormatting>
  <conditionalFormatting sqref="I3:I6">
    <cfRule type="containsText" dxfId="821" priority="19" operator="containsText" text="Closed">
      <formula>NOT(ISERROR(SEARCH("Closed",I3)))</formula>
    </cfRule>
    <cfRule type="containsText" dxfId="820" priority="20" operator="containsText" text="Open">
      <formula>NOT(ISERROR(SEARCH("Open",I3)))</formula>
    </cfRule>
    <cfRule type="containsText" dxfId="819" priority="21" operator="containsText" text="Inprogress">
      <formula>NOT(ISERROR(SEARCH("Inprogress",I3)))</formula>
    </cfRule>
  </conditionalFormatting>
  <conditionalFormatting sqref="I7:I10">
    <cfRule type="containsText" dxfId="818" priority="16" operator="containsText" text="Closed">
      <formula>NOT(ISERROR(SEARCH("Closed",I7)))</formula>
    </cfRule>
    <cfRule type="containsText" dxfId="817" priority="17" operator="containsText" text="Open">
      <formula>NOT(ISERROR(SEARCH("Open",I7)))</formula>
    </cfRule>
    <cfRule type="containsText" dxfId="816" priority="18" operator="containsText" text="Inprogress">
      <formula>NOT(ISERROR(SEARCH("Inprogress",I7)))</formula>
    </cfRule>
  </conditionalFormatting>
  <conditionalFormatting sqref="I11">
    <cfRule type="containsText" dxfId="815" priority="13" operator="containsText" text="Closed">
      <formula>NOT(ISERROR(SEARCH("Closed",I11)))</formula>
    </cfRule>
    <cfRule type="containsText" dxfId="814" priority="14" operator="containsText" text="Open">
      <formula>NOT(ISERROR(SEARCH("Open",I11)))</formula>
    </cfRule>
    <cfRule type="containsText" dxfId="813" priority="15" operator="containsText" text="Inprogress">
      <formula>NOT(ISERROR(SEARCH("Inprogress",I11)))</formula>
    </cfRule>
  </conditionalFormatting>
  <conditionalFormatting sqref="I12">
    <cfRule type="containsText" dxfId="812" priority="10" operator="containsText" text="Closed">
      <formula>NOT(ISERROR(SEARCH("Closed",I12)))</formula>
    </cfRule>
    <cfRule type="containsText" dxfId="811" priority="11" operator="containsText" text="Open">
      <formula>NOT(ISERROR(SEARCH("Open",I12)))</formula>
    </cfRule>
    <cfRule type="containsText" dxfId="810" priority="12" operator="containsText" text="Inprogress">
      <formula>NOT(ISERROR(SEARCH("Inprogress",I12)))</formula>
    </cfRule>
  </conditionalFormatting>
  <conditionalFormatting sqref="I13">
    <cfRule type="containsText" dxfId="809" priority="7" operator="containsText" text="Closed">
      <formula>NOT(ISERROR(SEARCH("Closed",I13)))</formula>
    </cfRule>
    <cfRule type="containsText" dxfId="808" priority="8" operator="containsText" text="Open">
      <formula>NOT(ISERROR(SEARCH("Open",I13)))</formula>
    </cfRule>
    <cfRule type="containsText" dxfId="807" priority="9" operator="containsText" text="Inprogress">
      <formula>NOT(ISERROR(SEARCH("Inprogress",I13)))</formula>
    </cfRule>
  </conditionalFormatting>
  <conditionalFormatting sqref="I14:I16">
    <cfRule type="containsText" dxfId="806" priority="4" operator="containsText" text="Closed">
      <formula>NOT(ISERROR(SEARCH("Closed",I14)))</formula>
    </cfRule>
    <cfRule type="containsText" dxfId="805" priority="5" operator="containsText" text="Open">
      <formula>NOT(ISERROR(SEARCH("Open",I14)))</formula>
    </cfRule>
    <cfRule type="containsText" dxfId="804" priority="6" operator="containsText" text="Inprogress">
      <formula>NOT(ISERROR(SEARCH("Inprogress",I14)))</formula>
    </cfRule>
  </conditionalFormatting>
  <conditionalFormatting sqref="AD11">
    <cfRule type="containsText" dxfId="803" priority="1" operator="containsText" text="Closed">
      <formula>NOT(ISERROR(SEARCH("Closed",AD11)))</formula>
    </cfRule>
    <cfRule type="containsText" dxfId="802" priority="2" operator="containsText" text="Open">
      <formula>NOT(ISERROR(SEARCH("Open",AD11)))</formula>
    </cfRule>
    <cfRule type="containsText" dxfId="801" priority="3" operator="containsText" text="Inprogress">
      <formula>NOT(ISERROR(SEARCH("Inprogress",AD11)))</formula>
    </cfRule>
  </conditionalFormatting>
  <dataValidations count="11">
    <dataValidation type="list" showErrorMessage="1" sqref="P1" xr:uid="{1C2B3573-BEF9-4C82-9637-17BF4F067D79}">
      <formula1>"Qadir,Rijo,Karthik,Sushmitha,None,TBD"</formula1>
    </dataValidation>
    <dataValidation type="list" showErrorMessage="1" sqref="R1" xr:uid="{5DABBCA3-53EE-48B6-A827-C3B80168D1CA}">
      <formula1>"Qadir,Rijo,Karthik,None,TBD"</formula1>
    </dataValidation>
    <dataValidation type="list" showErrorMessage="1" sqref="Q1" xr:uid="{6FF4D934-2755-47C4-BE53-41B69382CD7B}">
      <formula1>"Pass,Fail(BacktoDev),DB Script tests in QA DB,TBD"</formula1>
    </dataValidation>
    <dataValidation type="list" showErrorMessage="1" sqref="AC1" xr:uid="{B25010B2-6541-4012-9145-A76A1FD11DA9}">
      <formula1>"Pending-Waiting for Customer confirmation, Approved-Satisified AC,Not Approved-New minor changes requested(Back to Dev),NA,TBD"</formula1>
    </dataValidation>
    <dataValidation type="list" showErrorMessage="1" sqref="AB1" xr:uid="{DDC03A66-8B13-4816-A405-D21927F87365}">
      <formula1>"Approved-Satisified AC,Not Approved(Back to Dev),NA,TBD"</formula1>
    </dataValidation>
    <dataValidation type="list" showErrorMessage="1" sqref="S1:T1 X1 AA1" xr:uid="{45B089EE-E69B-4386-8353-C4ED9B777F73}">
      <formula1>"No issues found,Issues observed(BacktoDev),DB Script tests in QA DB,NA,TBD"</formula1>
    </dataValidation>
    <dataValidation type="list" showErrorMessage="1" sqref="Y1:Z1 W1 O1" xr:uid="{B17499D8-658B-4289-A883-CAF8A9FCBA83}">
      <formula1>"Open,Inprogress,Completed,TBD,NA"</formula1>
    </dataValidation>
    <dataValidation allowBlank="1" showInputMessage="1" showErrorMessage="1" sqref="AD1:AE1" xr:uid="{E0A77BE3-9CEA-4E20-BD76-88EE643B0ACE}"/>
    <dataValidation showErrorMessage="1" sqref="I1" xr:uid="{6D69BFF4-8D47-46B9-829A-FF512B1FB6D3}"/>
    <dataValidation type="list" allowBlank="1" showErrorMessage="1" sqref="J1" xr:uid="{62EE0218-C276-43E2-8CC3-677658BEB6F7}">
      <formula1>"Open,Inprogress,Closed"</formula1>
    </dataValidation>
    <dataValidation type="list" allowBlank="1" showInputMessage="1" showErrorMessage="1" sqref="AE2:AE16" xr:uid="{0A8DBD7B-5D02-4A3A-A7F5-E204772B71CB}">
      <formula1>"Exceeds Expectation,Meets Expectation,Needs improvements"</formula1>
    </dataValidation>
  </dataValidations>
  <hyperlinks>
    <hyperlink ref="T4" r:id="rId1" xr:uid="{16029A27-BF98-4411-B02C-9172303BBE9C}"/>
    <hyperlink ref="T8" r:id="rId2" xr:uid="{F62CD137-FC17-406F-9EBA-8D80C1EC7A5F}"/>
    <hyperlink ref="T5" r:id="rId3" xr:uid="{3AD89716-489E-4E03-9ED7-4B03CF018F45}"/>
    <hyperlink ref="T10" r:id="rId4" xr:uid="{D97ADB46-556F-430E-B355-99C20DDB8339}"/>
    <hyperlink ref="T6" r:id="rId5" xr:uid="{47E9CCC9-4F7D-45AA-A2F5-836BC333EFF9}"/>
    <hyperlink ref="T11" r:id="rId6" xr:uid="{8F13E690-D5FB-4EE7-8AAF-CE58869407DE}"/>
    <hyperlink ref="T2" r:id="rId7" xr:uid="{DE564042-82AD-4502-A2A0-4A7C4A1B30B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4235F2E-776F-4178-970D-2249C66CE019}">
          <x14:formula1>
            <xm:f>Settings!$C$3:$C$20</xm:f>
          </x14:formula1>
          <xm:sqref>I2:I16 AD11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00408-54E9-4224-8AE6-77EEE705BC2A}">
  <dimension ref="A1:AO17"/>
  <sheetViews>
    <sheetView topLeftCell="D17" workbookViewId="0">
      <selection activeCell="O13" sqref="O13"/>
    </sheetView>
  </sheetViews>
  <sheetFormatPr defaultRowHeight="12.75"/>
  <cols>
    <col min="2" max="2" width="15" customWidth="1"/>
    <col min="3" max="4" width="9.42578125" bestFit="1" customWidth="1"/>
    <col min="5" max="5" width="18.140625" customWidth="1"/>
    <col min="6" max="6" width="12.7109375" customWidth="1"/>
    <col min="7" max="7" width="13.28515625" customWidth="1"/>
    <col min="8" max="8" width="36.42578125" customWidth="1"/>
    <col min="9" max="9" width="23.5703125" customWidth="1"/>
    <col min="13" max="14" width="9.42578125" bestFit="1" customWidth="1"/>
    <col min="15" max="15" width="13.7109375" customWidth="1"/>
    <col min="17" max="17" width="22.42578125" customWidth="1"/>
    <col min="19" max="19" width="23.42578125" customWidth="1"/>
    <col min="20" max="20" width="22" customWidth="1"/>
    <col min="21" max="22" width="9.42578125" bestFit="1" customWidth="1"/>
    <col min="30" max="30" width="26.42578125" customWidth="1"/>
    <col min="31" max="31" width="12.85546875" customWidth="1"/>
    <col min="32" max="32" width="21.28515625" customWidth="1"/>
    <col min="33" max="33" width="24.140625" customWidth="1"/>
    <col min="34" max="34" width="25.28515625" customWidth="1"/>
    <col min="35" max="35" width="16.42578125" customWidth="1"/>
    <col min="36" max="36" width="22.28515625" customWidth="1"/>
    <col min="37" max="37" width="22.140625" customWidth="1"/>
    <col min="38" max="38" width="32.140625" customWidth="1"/>
    <col min="39" max="39" width="33.28515625" customWidth="1"/>
    <col min="40" max="40" width="18.140625" customWidth="1"/>
    <col min="41" max="41" width="11" customWidth="1"/>
  </cols>
  <sheetData>
    <row r="1" spans="1:41" ht="67.5">
      <c r="A1" s="247" t="s">
        <v>266</v>
      </c>
      <c r="B1" s="247" t="s">
        <v>4</v>
      </c>
      <c r="C1" s="247" t="s">
        <v>2</v>
      </c>
      <c r="D1" s="247" t="s">
        <v>3</v>
      </c>
      <c r="E1" s="247" t="s">
        <v>278</v>
      </c>
      <c r="F1" s="247" t="s">
        <v>269</v>
      </c>
      <c r="G1" s="247" t="s">
        <v>279</v>
      </c>
      <c r="H1" s="543"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46078</v>
      </c>
      <c r="AG1" s="518">
        <v>46079</v>
      </c>
      <c r="AH1" s="518">
        <v>46080</v>
      </c>
      <c r="AI1" s="518">
        <v>46083</v>
      </c>
      <c r="AJ1" s="518">
        <v>46084</v>
      </c>
      <c r="AK1" s="518">
        <v>46085</v>
      </c>
      <c r="AL1" s="518">
        <v>46086</v>
      </c>
      <c r="AM1" s="519">
        <v>46087</v>
      </c>
      <c r="AN1" s="518">
        <v>46090</v>
      </c>
      <c r="AO1" s="518">
        <v>46091</v>
      </c>
    </row>
    <row r="2" spans="1:41" ht="69.75" customHeight="1">
      <c r="A2" s="93">
        <v>1</v>
      </c>
      <c r="B2" s="93" t="s">
        <v>302</v>
      </c>
      <c r="C2" s="171">
        <v>46078</v>
      </c>
      <c r="D2" s="171">
        <v>46091</v>
      </c>
      <c r="E2" s="96" t="s">
        <v>998</v>
      </c>
      <c r="F2" s="93" t="s">
        <v>315</v>
      </c>
      <c r="G2" s="93" t="s">
        <v>971</v>
      </c>
      <c r="H2" s="96" t="s">
        <v>972</v>
      </c>
      <c r="I2" s="490" t="s">
        <v>376</v>
      </c>
      <c r="J2" s="93">
        <v>2</v>
      </c>
      <c r="K2" s="93">
        <v>1.5</v>
      </c>
      <c r="L2" s="93">
        <v>6</v>
      </c>
      <c r="M2" s="93" t="s">
        <v>320</v>
      </c>
      <c r="N2" s="93" t="s">
        <v>320</v>
      </c>
      <c r="O2" s="93" t="s">
        <v>320</v>
      </c>
      <c r="P2" s="93" t="s">
        <v>320</v>
      </c>
      <c r="Q2" s="93" t="s">
        <v>320</v>
      </c>
      <c r="R2" s="93" t="s">
        <v>320</v>
      </c>
      <c r="S2" s="93" t="s">
        <v>320</v>
      </c>
      <c r="T2" s="93" t="s">
        <v>320</v>
      </c>
      <c r="U2" s="93" t="s">
        <v>320</v>
      </c>
      <c r="V2" s="93" t="s">
        <v>320</v>
      </c>
      <c r="W2" s="93" t="s">
        <v>320</v>
      </c>
      <c r="X2" s="93" t="s">
        <v>320</v>
      </c>
      <c r="Y2" s="93" t="s">
        <v>320</v>
      </c>
      <c r="Z2" s="93" t="s">
        <v>320</v>
      </c>
      <c r="AA2" s="93" t="s">
        <v>320</v>
      </c>
      <c r="AB2" s="93" t="s">
        <v>320</v>
      </c>
      <c r="AC2" s="93" t="s">
        <v>320</v>
      </c>
      <c r="AD2" s="96" t="s">
        <v>999</v>
      </c>
      <c r="AE2" s="490" t="s">
        <v>423</v>
      </c>
      <c r="AF2" s="96" t="s">
        <v>1000</v>
      </c>
      <c r="AG2" s="93" t="s">
        <v>434</v>
      </c>
      <c r="AH2" s="93" t="s">
        <v>434</v>
      </c>
      <c r="AI2" s="93" t="s">
        <v>434</v>
      </c>
      <c r="AJ2" s="93" t="s">
        <v>434</v>
      </c>
      <c r="AK2" s="93" t="s">
        <v>434</v>
      </c>
      <c r="AL2" s="93" t="s">
        <v>434</v>
      </c>
      <c r="AM2" s="93" t="s">
        <v>434</v>
      </c>
      <c r="AN2" s="93" t="s">
        <v>434</v>
      </c>
      <c r="AO2" s="93"/>
    </row>
    <row r="3" spans="1:41" ht="72">
      <c r="A3" s="93">
        <v>2</v>
      </c>
      <c r="B3" s="93" t="s">
        <v>302</v>
      </c>
      <c r="C3" s="171">
        <v>46078</v>
      </c>
      <c r="D3" s="171">
        <v>46091</v>
      </c>
      <c r="E3" s="96" t="s">
        <v>998</v>
      </c>
      <c r="F3" s="93" t="s">
        <v>315</v>
      </c>
      <c r="G3" s="93">
        <v>51861</v>
      </c>
      <c r="H3" s="96" t="s">
        <v>728</v>
      </c>
      <c r="I3" s="490" t="s">
        <v>380</v>
      </c>
      <c r="J3" s="93">
        <v>3</v>
      </c>
      <c r="K3" s="93">
        <v>5</v>
      </c>
      <c r="L3" s="93">
        <v>20</v>
      </c>
      <c r="M3" s="171">
        <v>46078</v>
      </c>
      <c r="N3" s="171">
        <v>46080</v>
      </c>
      <c r="O3" s="96" t="s">
        <v>12</v>
      </c>
      <c r="P3" s="93" t="s">
        <v>320</v>
      </c>
      <c r="Q3" s="93" t="s">
        <v>320</v>
      </c>
      <c r="R3" s="93" t="s">
        <v>320</v>
      </c>
      <c r="S3" s="93" t="s">
        <v>320</v>
      </c>
      <c r="T3" s="93" t="s">
        <v>320</v>
      </c>
      <c r="U3" s="93" t="s">
        <v>320</v>
      </c>
      <c r="V3" s="93" t="s">
        <v>320</v>
      </c>
      <c r="W3" s="93" t="s">
        <v>320</v>
      </c>
      <c r="X3" s="93" t="s">
        <v>320</v>
      </c>
      <c r="Y3" s="93" t="s">
        <v>320</v>
      </c>
      <c r="Z3" s="93" t="s">
        <v>320</v>
      </c>
      <c r="AA3" s="93" t="s">
        <v>320</v>
      </c>
      <c r="AB3" s="93" t="s">
        <v>320</v>
      </c>
      <c r="AC3" s="93" t="s">
        <v>320</v>
      </c>
      <c r="AD3" s="96" t="s">
        <v>1001</v>
      </c>
      <c r="AE3" s="490" t="s">
        <v>423</v>
      </c>
      <c r="AF3" s="96" t="s">
        <v>1002</v>
      </c>
      <c r="AG3" s="93" t="s">
        <v>1003</v>
      </c>
      <c r="AH3" s="96" t="s">
        <v>1004</v>
      </c>
      <c r="AI3" s="96" t="s">
        <v>1005</v>
      </c>
      <c r="AJ3" s="93" t="s">
        <v>1006</v>
      </c>
      <c r="AK3" s="96" t="s">
        <v>1007</v>
      </c>
      <c r="AL3" s="93" t="s">
        <v>1008</v>
      </c>
      <c r="AM3" s="93" t="s">
        <v>1008</v>
      </c>
      <c r="AN3" s="96" t="s">
        <v>1009</v>
      </c>
      <c r="AO3" s="93"/>
    </row>
    <row r="4" spans="1:41" ht="101.25" customHeight="1">
      <c r="A4" s="93">
        <v>3</v>
      </c>
      <c r="B4" s="93" t="s">
        <v>302</v>
      </c>
      <c r="C4" s="171">
        <v>46078</v>
      </c>
      <c r="D4" s="171">
        <v>46091</v>
      </c>
      <c r="E4" s="96" t="s">
        <v>998</v>
      </c>
      <c r="F4" s="93" t="s">
        <v>304</v>
      </c>
      <c r="G4" s="93">
        <v>51856</v>
      </c>
      <c r="H4" s="96" t="s">
        <v>1010</v>
      </c>
      <c r="I4" s="490" t="s">
        <v>306</v>
      </c>
      <c r="J4" s="93">
        <v>1</v>
      </c>
      <c r="K4" s="93">
        <v>2.25</v>
      </c>
      <c r="L4" s="93">
        <v>9</v>
      </c>
      <c r="M4" s="93" t="s">
        <v>320</v>
      </c>
      <c r="N4" s="93" t="s">
        <v>320</v>
      </c>
      <c r="O4" s="93" t="s">
        <v>320</v>
      </c>
      <c r="P4" s="93" t="s">
        <v>320</v>
      </c>
      <c r="Q4" s="93" t="s">
        <v>320</v>
      </c>
      <c r="R4" s="93" t="s">
        <v>320</v>
      </c>
      <c r="S4" s="93" t="s">
        <v>320</v>
      </c>
      <c r="T4" s="93" t="s">
        <v>320</v>
      </c>
      <c r="U4" s="93" t="s">
        <v>320</v>
      </c>
      <c r="V4" s="93" t="s">
        <v>320</v>
      </c>
      <c r="W4" s="93" t="s">
        <v>320</v>
      </c>
      <c r="X4" s="93" t="s">
        <v>320</v>
      </c>
      <c r="Y4" s="93" t="s">
        <v>320</v>
      </c>
      <c r="Z4" s="93" t="s">
        <v>320</v>
      </c>
      <c r="AA4" s="93" t="s">
        <v>320</v>
      </c>
      <c r="AB4" s="93" t="s">
        <v>320</v>
      </c>
      <c r="AC4" s="93" t="s">
        <v>320</v>
      </c>
      <c r="AD4" s="96" t="s">
        <v>1011</v>
      </c>
      <c r="AE4" s="490" t="s">
        <v>423</v>
      </c>
      <c r="AF4" s="96" t="s">
        <v>1012</v>
      </c>
      <c r="AG4" s="93"/>
      <c r="AH4" s="96" t="s">
        <v>1013</v>
      </c>
      <c r="AI4" s="96" t="s">
        <v>1014</v>
      </c>
      <c r="AJ4" s="96" t="s">
        <v>1015</v>
      </c>
      <c r="AK4" s="96" t="s">
        <v>1016</v>
      </c>
      <c r="AL4" s="96" t="s">
        <v>1017</v>
      </c>
      <c r="AM4" s="93" t="s">
        <v>434</v>
      </c>
      <c r="AN4" s="93" t="s">
        <v>434</v>
      </c>
      <c r="AO4" s="93"/>
    </row>
    <row r="5" spans="1:41" ht="36">
      <c r="A5" s="93">
        <v>4</v>
      </c>
      <c r="B5" s="93" t="s">
        <v>302</v>
      </c>
      <c r="C5" s="171">
        <v>46078</v>
      </c>
      <c r="D5" s="171">
        <v>46091</v>
      </c>
      <c r="E5" s="96" t="s">
        <v>998</v>
      </c>
      <c r="F5" s="93" t="s">
        <v>315</v>
      </c>
      <c r="G5" s="93">
        <v>49951</v>
      </c>
      <c r="H5" s="96" t="s">
        <v>1018</v>
      </c>
      <c r="I5" s="490" t="s">
        <v>306</v>
      </c>
      <c r="J5" s="93">
        <v>2</v>
      </c>
      <c r="K5" s="93">
        <v>1.31</v>
      </c>
      <c r="L5" s="93">
        <v>5.25</v>
      </c>
      <c r="M5" s="93" t="s">
        <v>320</v>
      </c>
      <c r="N5" s="93" t="s">
        <v>320</v>
      </c>
      <c r="O5" s="93" t="s">
        <v>320</v>
      </c>
      <c r="P5" s="93" t="s">
        <v>320</v>
      </c>
      <c r="Q5" s="93" t="s">
        <v>320</v>
      </c>
      <c r="R5" s="93" t="s">
        <v>320</v>
      </c>
      <c r="S5" s="93" t="s">
        <v>320</v>
      </c>
      <c r="T5" s="93" t="s">
        <v>320</v>
      </c>
      <c r="U5" s="93" t="s">
        <v>320</v>
      </c>
      <c r="V5" s="93" t="s">
        <v>320</v>
      </c>
      <c r="W5" s="93" t="s">
        <v>320</v>
      </c>
      <c r="X5" s="93" t="s">
        <v>320</v>
      </c>
      <c r="Y5" s="93" t="s">
        <v>320</v>
      </c>
      <c r="Z5" s="93" t="s">
        <v>320</v>
      </c>
      <c r="AA5" s="93" t="s">
        <v>320</v>
      </c>
      <c r="AB5" s="93" t="s">
        <v>320</v>
      </c>
      <c r="AC5" s="93" t="s">
        <v>320</v>
      </c>
      <c r="AD5" s="96" t="s">
        <v>1019</v>
      </c>
      <c r="AE5" s="490" t="s">
        <v>423</v>
      </c>
      <c r="AF5" s="93"/>
      <c r="AG5" s="96" t="s">
        <v>1020</v>
      </c>
      <c r="AH5" s="93" t="s">
        <v>12</v>
      </c>
      <c r="AI5" s="93" t="s">
        <v>434</v>
      </c>
      <c r="AJ5" s="93" t="s">
        <v>434</v>
      </c>
      <c r="AK5" s="93" t="s">
        <v>434</v>
      </c>
      <c r="AL5" s="93" t="s">
        <v>434</v>
      </c>
      <c r="AM5" s="93" t="s">
        <v>434</v>
      </c>
      <c r="AN5" s="93" t="s">
        <v>434</v>
      </c>
      <c r="AO5" s="93"/>
    </row>
    <row r="6" spans="1:41" ht="106.5" customHeight="1">
      <c r="A6" s="93">
        <v>5</v>
      </c>
      <c r="B6" s="93" t="s">
        <v>302</v>
      </c>
      <c r="C6" s="171">
        <v>46078</v>
      </c>
      <c r="D6" s="171">
        <v>46091</v>
      </c>
      <c r="E6" s="96" t="s">
        <v>998</v>
      </c>
      <c r="F6" s="93" t="s">
        <v>465</v>
      </c>
      <c r="G6" s="93">
        <v>51706</v>
      </c>
      <c r="H6" s="96" t="s">
        <v>897</v>
      </c>
      <c r="I6" s="490" t="s">
        <v>306</v>
      </c>
      <c r="J6" s="93">
        <v>1</v>
      </c>
      <c r="K6" s="93">
        <v>0.25</v>
      </c>
      <c r="L6" s="93">
        <v>1</v>
      </c>
      <c r="M6" s="93" t="s">
        <v>320</v>
      </c>
      <c r="N6" s="93" t="s">
        <v>320</v>
      </c>
      <c r="O6" s="93" t="s">
        <v>320</v>
      </c>
      <c r="P6" s="93" t="s">
        <v>320</v>
      </c>
      <c r="Q6" s="93" t="s">
        <v>320</v>
      </c>
      <c r="R6" s="93" t="s">
        <v>320</v>
      </c>
      <c r="S6" s="93" t="s">
        <v>320</v>
      </c>
      <c r="T6" s="93" t="s">
        <v>320</v>
      </c>
      <c r="U6" s="93" t="s">
        <v>320</v>
      </c>
      <c r="V6" s="93" t="s">
        <v>320</v>
      </c>
      <c r="W6" s="93" t="s">
        <v>320</v>
      </c>
      <c r="X6" s="93" t="s">
        <v>320</v>
      </c>
      <c r="Y6" s="93" t="s">
        <v>320</v>
      </c>
      <c r="Z6" s="93" t="s">
        <v>320</v>
      </c>
      <c r="AA6" s="93" t="s">
        <v>320</v>
      </c>
      <c r="AB6" s="93" t="s">
        <v>320</v>
      </c>
      <c r="AC6" s="93" t="s">
        <v>320</v>
      </c>
      <c r="AD6" s="96" t="s">
        <v>1021</v>
      </c>
      <c r="AE6" s="490" t="s">
        <v>423</v>
      </c>
      <c r="AF6" s="93"/>
      <c r="AG6" s="96" t="s">
        <v>1022</v>
      </c>
      <c r="AH6" s="93" t="s">
        <v>991</v>
      </c>
      <c r="AI6" s="93" t="s">
        <v>12</v>
      </c>
      <c r="AJ6" s="93" t="s">
        <v>434</v>
      </c>
      <c r="AK6" s="93" t="s">
        <v>434</v>
      </c>
      <c r="AL6" s="93" t="s">
        <v>434</v>
      </c>
      <c r="AM6" s="93" t="s">
        <v>434</v>
      </c>
      <c r="AN6" s="93" t="s">
        <v>434</v>
      </c>
      <c r="AO6" s="93"/>
    </row>
    <row r="7" spans="1:41" ht="76.5" customHeight="1">
      <c r="A7" s="93">
        <v>6</v>
      </c>
      <c r="B7" s="93" t="s">
        <v>302</v>
      </c>
      <c r="C7" s="171">
        <v>46078</v>
      </c>
      <c r="D7" s="171">
        <v>46091</v>
      </c>
      <c r="E7" s="96" t="s">
        <v>998</v>
      </c>
      <c r="F7" s="93" t="s">
        <v>317</v>
      </c>
      <c r="G7" s="93">
        <v>49703</v>
      </c>
      <c r="H7" s="96" t="s">
        <v>1023</v>
      </c>
      <c r="I7" s="490" t="s">
        <v>306</v>
      </c>
      <c r="J7" s="93">
        <v>2</v>
      </c>
      <c r="K7" s="93">
        <v>8.31</v>
      </c>
      <c r="L7" s="93">
        <v>33.25</v>
      </c>
      <c r="M7" s="171">
        <v>46078</v>
      </c>
      <c r="N7" s="171">
        <v>46080</v>
      </c>
      <c r="O7" s="96" t="s">
        <v>12</v>
      </c>
      <c r="P7" s="96" t="s">
        <v>315</v>
      </c>
      <c r="Q7" s="96" t="s">
        <v>1024</v>
      </c>
      <c r="R7" s="96" t="s">
        <v>315</v>
      </c>
      <c r="S7" s="96" t="s">
        <v>1025</v>
      </c>
      <c r="T7" s="130" t="s">
        <v>1026</v>
      </c>
      <c r="U7" s="171">
        <v>46085</v>
      </c>
      <c r="V7" s="171">
        <v>46085</v>
      </c>
      <c r="W7" s="96" t="s">
        <v>319</v>
      </c>
      <c r="X7" s="96" t="s">
        <v>316</v>
      </c>
      <c r="Y7" s="96" t="s">
        <v>319</v>
      </c>
      <c r="Z7" s="96" t="s">
        <v>320</v>
      </c>
      <c r="AA7" s="96" t="s">
        <v>316</v>
      </c>
      <c r="AB7" s="96" t="s">
        <v>316</v>
      </c>
      <c r="AC7" s="96" t="s">
        <v>316</v>
      </c>
      <c r="AD7" s="93"/>
      <c r="AE7" s="490" t="s">
        <v>423</v>
      </c>
      <c r="AF7" s="93"/>
      <c r="AG7" s="96" t="s">
        <v>1027</v>
      </c>
      <c r="AH7" s="96" t="s">
        <v>1028</v>
      </c>
      <c r="AI7" s="93"/>
      <c r="AJ7" s="93"/>
      <c r="AK7" s="96" t="s">
        <v>1029</v>
      </c>
      <c r="AL7" s="100" t="s">
        <v>1030</v>
      </c>
      <c r="AM7" s="96" t="s">
        <v>1031</v>
      </c>
      <c r="AN7" s="93"/>
      <c r="AO7" s="93"/>
    </row>
    <row r="8" spans="1:41" ht="72">
      <c r="A8" s="93">
        <v>7</v>
      </c>
      <c r="B8" s="93" t="s">
        <v>302</v>
      </c>
      <c r="C8" s="171">
        <v>46078</v>
      </c>
      <c r="D8" s="171">
        <v>46091</v>
      </c>
      <c r="E8" s="96" t="s">
        <v>998</v>
      </c>
      <c r="F8" s="93" t="s">
        <v>317</v>
      </c>
      <c r="G8" s="93">
        <v>26818</v>
      </c>
      <c r="H8" s="96" t="s">
        <v>1032</v>
      </c>
      <c r="I8" s="490" t="s">
        <v>376</v>
      </c>
      <c r="J8" s="93">
        <v>3</v>
      </c>
      <c r="K8" s="93">
        <v>1.75</v>
      </c>
      <c r="L8" s="93">
        <v>7</v>
      </c>
      <c r="M8" s="171">
        <v>46078</v>
      </c>
      <c r="N8" s="171">
        <v>46079</v>
      </c>
      <c r="O8" s="96" t="s">
        <v>12</v>
      </c>
      <c r="P8" s="96" t="s">
        <v>315</v>
      </c>
      <c r="Q8" s="96" t="s">
        <v>316</v>
      </c>
      <c r="R8" s="96" t="s">
        <v>315</v>
      </c>
      <c r="S8" s="96" t="s">
        <v>316</v>
      </c>
      <c r="T8" s="130" t="s">
        <v>1033</v>
      </c>
      <c r="U8" s="171">
        <v>46079</v>
      </c>
      <c r="V8" s="171">
        <v>46079</v>
      </c>
      <c r="W8" s="96" t="s">
        <v>319</v>
      </c>
      <c r="X8" s="96" t="s">
        <v>316</v>
      </c>
      <c r="Y8" s="96" t="s">
        <v>319</v>
      </c>
      <c r="Z8" s="96" t="s">
        <v>320</v>
      </c>
      <c r="AA8" s="96" t="s">
        <v>316</v>
      </c>
      <c r="AB8" s="96" t="s">
        <v>316</v>
      </c>
      <c r="AC8" s="96" t="s">
        <v>316</v>
      </c>
      <c r="AD8" s="93"/>
      <c r="AE8" s="490" t="s">
        <v>423</v>
      </c>
      <c r="AF8" s="93"/>
      <c r="AG8" s="96" t="s">
        <v>1034</v>
      </c>
      <c r="AH8" s="96" t="s">
        <v>1035</v>
      </c>
      <c r="AI8" s="93" t="s">
        <v>434</v>
      </c>
      <c r="AJ8" s="93" t="s">
        <v>434</v>
      </c>
      <c r="AK8" s="93" t="s">
        <v>434</v>
      </c>
      <c r="AL8" s="93" t="s">
        <v>434</v>
      </c>
      <c r="AM8" s="93" t="s">
        <v>434</v>
      </c>
      <c r="AN8" s="93" t="s">
        <v>434</v>
      </c>
      <c r="AO8" s="93"/>
    </row>
    <row r="9" spans="1:41" ht="96">
      <c r="A9" s="93">
        <v>8</v>
      </c>
      <c r="B9" s="93" t="s">
        <v>302</v>
      </c>
      <c r="C9" s="171">
        <v>46078</v>
      </c>
      <c r="D9" s="171">
        <v>46091</v>
      </c>
      <c r="E9" s="96" t="s">
        <v>998</v>
      </c>
      <c r="F9" s="93" t="s">
        <v>304</v>
      </c>
      <c r="G9" s="93">
        <v>51860</v>
      </c>
      <c r="H9" s="96" t="s">
        <v>816</v>
      </c>
      <c r="I9" s="490" t="s">
        <v>503</v>
      </c>
      <c r="J9" s="93">
        <v>2</v>
      </c>
      <c r="K9" s="93">
        <v>1.1200000000000001</v>
      </c>
      <c r="L9" s="93">
        <v>4.5</v>
      </c>
      <c r="M9" s="93" t="s">
        <v>320</v>
      </c>
      <c r="N9" s="93" t="s">
        <v>320</v>
      </c>
      <c r="O9" s="93" t="s">
        <v>320</v>
      </c>
      <c r="P9" s="93" t="s">
        <v>320</v>
      </c>
      <c r="Q9" s="93" t="s">
        <v>320</v>
      </c>
      <c r="R9" s="93" t="s">
        <v>320</v>
      </c>
      <c r="S9" s="93" t="s">
        <v>320</v>
      </c>
      <c r="T9" s="93" t="s">
        <v>320</v>
      </c>
      <c r="U9" s="93" t="s">
        <v>320</v>
      </c>
      <c r="V9" s="93" t="s">
        <v>320</v>
      </c>
      <c r="W9" s="93" t="s">
        <v>320</v>
      </c>
      <c r="X9" s="93" t="s">
        <v>320</v>
      </c>
      <c r="Y9" s="93" t="s">
        <v>320</v>
      </c>
      <c r="Z9" s="93" t="s">
        <v>320</v>
      </c>
      <c r="AA9" s="93" t="s">
        <v>320</v>
      </c>
      <c r="AB9" s="93" t="s">
        <v>320</v>
      </c>
      <c r="AC9" s="93" t="s">
        <v>320</v>
      </c>
      <c r="AD9" s="96" t="s">
        <v>1011</v>
      </c>
      <c r="AE9" s="490" t="s">
        <v>423</v>
      </c>
      <c r="AF9" s="93"/>
      <c r="AG9" s="93"/>
      <c r="AH9" s="96" t="s">
        <v>1036</v>
      </c>
      <c r="AI9" s="96" t="s">
        <v>1037</v>
      </c>
      <c r="AJ9" s="93" t="s">
        <v>1038</v>
      </c>
      <c r="AK9" s="96" t="s">
        <v>1039</v>
      </c>
      <c r="AL9" s="93" t="s">
        <v>434</v>
      </c>
      <c r="AM9" s="93" t="s">
        <v>434</v>
      </c>
      <c r="AN9" s="93" t="s">
        <v>1040</v>
      </c>
      <c r="AO9" s="96" t="s">
        <v>1041</v>
      </c>
    </row>
    <row r="10" spans="1:41" ht="72">
      <c r="A10" s="93">
        <v>9</v>
      </c>
      <c r="B10" s="93" t="s">
        <v>302</v>
      </c>
      <c r="C10" s="171">
        <v>46078</v>
      </c>
      <c r="D10" s="171">
        <v>46091</v>
      </c>
      <c r="E10" s="96" t="s">
        <v>998</v>
      </c>
      <c r="F10" s="93" t="s">
        <v>315</v>
      </c>
      <c r="G10" s="129">
        <v>26207</v>
      </c>
      <c r="H10" s="96" t="s">
        <v>1042</v>
      </c>
      <c r="I10" s="490" t="s">
        <v>376</v>
      </c>
      <c r="J10" s="93">
        <v>3</v>
      </c>
      <c r="K10" s="93">
        <v>4.5</v>
      </c>
      <c r="L10" s="93">
        <v>18</v>
      </c>
      <c r="M10" s="171">
        <v>46083</v>
      </c>
      <c r="N10" s="171">
        <v>46084</v>
      </c>
      <c r="O10" s="96" t="s">
        <v>12</v>
      </c>
      <c r="P10" s="96" t="s">
        <v>317</v>
      </c>
      <c r="Q10" s="96" t="s">
        <v>316</v>
      </c>
      <c r="R10" s="96" t="s">
        <v>317</v>
      </c>
      <c r="S10" s="96" t="s">
        <v>316</v>
      </c>
      <c r="T10" s="130" t="s">
        <v>1043</v>
      </c>
      <c r="U10" s="171">
        <v>46085</v>
      </c>
      <c r="V10" s="171">
        <v>46085</v>
      </c>
      <c r="W10" s="96" t="s">
        <v>319</v>
      </c>
      <c r="X10" s="96" t="s">
        <v>316</v>
      </c>
      <c r="Y10" s="96" t="s">
        <v>319</v>
      </c>
      <c r="Z10" s="96" t="s">
        <v>320</v>
      </c>
      <c r="AA10" s="96" t="s">
        <v>316</v>
      </c>
      <c r="AB10" s="96" t="s">
        <v>316</v>
      </c>
      <c r="AC10" s="96" t="s">
        <v>316</v>
      </c>
      <c r="AD10" s="96"/>
      <c r="AE10" s="490" t="s">
        <v>423</v>
      </c>
      <c r="AF10" s="93"/>
      <c r="AG10" s="93"/>
      <c r="AH10" s="93"/>
      <c r="AI10" s="96" t="s">
        <v>1044</v>
      </c>
      <c r="AJ10" s="96" t="s">
        <v>1045</v>
      </c>
      <c r="AK10" s="96" t="s">
        <v>1046</v>
      </c>
      <c r="AL10" s="96" t="s">
        <v>1047</v>
      </c>
      <c r="AM10" s="93" t="s">
        <v>945</v>
      </c>
      <c r="AN10" s="93" t="s">
        <v>434</v>
      </c>
      <c r="AO10" s="93"/>
    </row>
    <row r="11" spans="1:41" ht="111" customHeight="1">
      <c r="A11" s="93">
        <v>10</v>
      </c>
      <c r="B11" s="93" t="s">
        <v>302</v>
      </c>
      <c r="C11" s="171">
        <v>46078</v>
      </c>
      <c r="D11" s="171">
        <v>46091</v>
      </c>
      <c r="E11" s="96" t="s">
        <v>998</v>
      </c>
      <c r="F11" s="93" t="s">
        <v>304</v>
      </c>
      <c r="G11" s="93">
        <v>51857</v>
      </c>
      <c r="H11" s="96" t="s">
        <v>861</v>
      </c>
      <c r="I11" s="490" t="s">
        <v>399</v>
      </c>
      <c r="J11" s="93">
        <v>2</v>
      </c>
      <c r="K11" s="93">
        <v>1</v>
      </c>
      <c r="L11" s="93">
        <v>4</v>
      </c>
      <c r="M11" s="93" t="s">
        <v>320</v>
      </c>
      <c r="N11" s="93" t="s">
        <v>320</v>
      </c>
      <c r="O11" s="93" t="s">
        <v>320</v>
      </c>
      <c r="P11" s="93" t="s">
        <v>320</v>
      </c>
      <c r="Q11" s="93" t="s">
        <v>320</v>
      </c>
      <c r="R11" s="93" t="s">
        <v>320</v>
      </c>
      <c r="S11" s="93" t="s">
        <v>320</v>
      </c>
      <c r="T11" s="93" t="s">
        <v>320</v>
      </c>
      <c r="U11" s="93" t="s">
        <v>320</v>
      </c>
      <c r="V11" s="93" t="s">
        <v>320</v>
      </c>
      <c r="W11" s="93" t="s">
        <v>320</v>
      </c>
      <c r="X11" s="93" t="s">
        <v>320</v>
      </c>
      <c r="Y11" s="93" t="s">
        <v>320</v>
      </c>
      <c r="Z11" s="93" t="s">
        <v>320</v>
      </c>
      <c r="AA11" s="93" t="s">
        <v>320</v>
      </c>
      <c r="AB11" s="93" t="s">
        <v>320</v>
      </c>
      <c r="AC11" s="93" t="s">
        <v>320</v>
      </c>
      <c r="AD11" s="96" t="s">
        <v>1011</v>
      </c>
      <c r="AE11" s="490" t="s">
        <v>423</v>
      </c>
      <c r="AF11" s="93"/>
      <c r="AG11" s="93"/>
      <c r="AH11" s="93"/>
      <c r="AI11" s="93"/>
      <c r="AJ11" s="96" t="s">
        <v>1048</v>
      </c>
      <c r="AK11" s="96" t="s">
        <v>1049</v>
      </c>
      <c r="AL11" s="93" t="s">
        <v>1050</v>
      </c>
      <c r="AM11" s="93" t="s">
        <v>1050</v>
      </c>
      <c r="AN11" s="93"/>
      <c r="AO11" s="93"/>
    </row>
    <row r="12" spans="1:41" ht="60">
      <c r="A12" s="118">
        <v>11</v>
      </c>
      <c r="B12" s="118" t="s">
        <v>302</v>
      </c>
      <c r="C12" s="649">
        <v>46078</v>
      </c>
      <c r="D12" s="649">
        <v>46091</v>
      </c>
      <c r="E12" s="119" t="s">
        <v>1051</v>
      </c>
      <c r="F12" s="118" t="s">
        <v>315</v>
      </c>
      <c r="G12" s="134">
        <v>51841</v>
      </c>
      <c r="H12" s="119" t="s">
        <v>745</v>
      </c>
      <c r="I12" s="490" t="s">
        <v>380</v>
      </c>
      <c r="J12" s="118">
        <v>5</v>
      </c>
      <c r="K12" s="118">
        <v>5</v>
      </c>
      <c r="L12" s="118">
        <v>20</v>
      </c>
      <c r="M12" s="649">
        <v>46084</v>
      </c>
      <c r="N12" s="649">
        <v>46090</v>
      </c>
      <c r="O12" s="96" t="s">
        <v>12</v>
      </c>
      <c r="P12" s="93" t="s">
        <v>320</v>
      </c>
      <c r="Q12" s="93" t="s">
        <v>320</v>
      </c>
      <c r="R12" s="93" t="s">
        <v>320</v>
      </c>
      <c r="S12" s="93" t="s">
        <v>320</v>
      </c>
      <c r="T12" s="93" t="s">
        <v>320</v>
      </c>
      <c r="U12" s="93" t="s">
        <v>320</v>
      </c>
      <c r="V12" s="93" t="s">
        <v>320</v>
      </c>
      <c r="W12" s="93" t="s">
        <v>320</v>
      </c>
      <c r="X12" s="93" t="s">
        <v>320</v>
      </c>
      <c r="Y12" s="93" t="s">
        <v>320</v>
      </c>
      <c r="Z12" s="93" t="s">
        <v>320</v>
      </c>
      <c r="AA12" s="93" t="s">
        <v>320</v>
      </c>
      <c r="AB12" s="93" t="s">
        <v>320</v>
      </c>
      <c r="AC12" s="93" t="s">
        <v>320</v>
      </c>
      <c r="AD12" s="119" t="s">
        <v>1052</v>
      </c>
      <c r="AE12" s="490" t="s">
        <v>423</v>
      </c>
      <c r="AF12" s="118"/>
      <c r="AG12" s="118"/>
      <c r="AH12" s="118"/>
      <c r="AI12" s="118"/>
      <c r="AJ12" s="118"/>
      <c r="AK12" s="119" t="s">
        <v>1053</v>
      </c>
      <c r="AL12" s="118"/>
      <c r="AM12" s="118" t="s">
        <v>1054</v>
      </c>
      <c r="AN12" s="118" t="s">
        <v>1055</v>
      </c>
      <c r="AO12" s="118"/>
    </row>
    <row r="13" spans="1:41" ht="84" customHeight="1">
      <c r="A13" s="93">
        <v>12</v>
      </c>
      <c r="B13" s="93" t="s">
        <v>302</v>
      </c>
      <c r="C13" s="171">
        <v>46078</v>
      </c>
      <c r="D13" s="171">
        <v>46091</v>
      </c>
      <c r="E13" s="96" t="s">
        <v>998</v>
      </c>
      <c r="F13" s="93" t="s">
        <v>313</v>
      </c>
      <c r="G13" s="93" t="s">
        <v>1056</v>
      </c>
      <c r="H13" s="96" t="s">
        <v>1057</v>
      </c>
      <c r="I13" s="490" t="s">
        <v>376</v>
      </c>
      <c r="J13" s="93">
        <v>0</v>
      </c>
      <c r="K13" s="93">
        <v>1.75</v>
      </c>
      <c r="L13" s="93">
        <v>6.5</v>
      </c>
      <c r="M13" s="171">
        <v>46086</v>
      </c>
      <c r="N13" s="171">
        <v>46086</v>
      </c>
      <c r="O13" s="96" t="s">
        <v>320</v>
      </c>
      <c r="P13" s="96" t="s">
        <v>320</v>
      </c>
      <c r="Q13" s="96" t="s">
        <v>320</v>
      </c>
      <c r="R13" s="96" t="s">
        <v>320</v>
      </c>
      <c r="S13" s="96" t="s">
        <v>320</v>
      </c>
      <c r="T13" s="96" t="s">
        <v>320</v>
      </c>
      <c r="U13" s="96" t="s">
        <v>320</v>
      </c>
      <c r="V13" s="96" t="s">
        <v>320</v>
      </c>
      <c r="W13" s="96" t="s">
        <v>320</v>
      </c>
      <c r="X13" s="96" t="s">
        <v>320</v>
      </c>
      <c r="Y13" s="96" t="s">
        <v>320</v>
      </c>
      <c r="Z13" s="96" t="s">
        <v>320</v>
      </c>
      <c r="AA13" s="96" t="s">
        <v>320</v>
      </c>
      <c r="AB13" s="96" t="s">
        <v>320</v>
      </c>
      <c r="AC13" s="96" t="s">
        <v>320</v>
      </c>
      <c r="AD13" s="96" t="s">
        <v>837</v>
      </c>
      <c r="AE13" s="490" t="s">
        <v>423</v>
      </c>
      <c r="AF13" s="93"/>
      <c r="AG13" s="93"/>
      <c r="AH13" s="93"/>
      <c r="AI13" s="93"/>
      <c r="AJ13" s="93"/>
      <c r="AK13" s="93"/>
      <c r="AL13" s="96" t="s">
        <v>1058</v>
      </c>
      <c r="AM13" s="93" t="s">
        <v>1059</v>
      </c>
      <c r="AN13" s="93" t="s">
        <v>1060</v>
      </c>
      <c r="AO13" s="93"/>
    </row>
    <row r="14" spans="1:41" ht="31.5" customHeight="1">
      <c r="A14" s="93">
        <v>13</v>
      </c>
      <c r="B14" s="93" t="s">
        <v>302</v>
      </c>
      <c r="C14" s="171">
        <v>46078</v>
      </c>
      <c r="D14" s="171">
        <v>46091</v>
      </c>
      <c r="E14" s="96" t="s">
        <v>998</v>
      </c>
      <c r="F14" s="93" t="s">
        <v>317</v>
      </c>
      <c r="G14" s="93">
        <v>44176</v>
      </c>
      <c r="H14" s="96" t="s">
        <v>976</v>
      </c>
      <c r="I14" s="490" t="s">
        <v>503</v>
      </c>
      <c r="J14" s="93">
        <v>3</v>
      </c>
      <c r="K14" s="93">
        <v>4.12</v>
      </c>
      <c r="L14" s="93">
        <v>16.5</v>
      </c>
      <c r="M14" s="171">
        <v>46080</v>
      </c>
      <c r="N14" s="649">
        <v>46085</v>
      </c>
      <c r="O14" s="96" t="s">
        <v>320</v>
      </c>
      <c r="P14" s="96" t="s">
        <v>320</v>
      </c>
      <c r="Q14" s="96" t="s">
        <v>320</v>
      </c>
      <c r="R14" s="96" t="s">
        <v>320</v>
      </c>
      <c r="S14" s="96" t="s">
        <v>320</v>
      </c>
      <c r="T14" s="96" t="s">
        <v>320</v>
      </c>
      <c r="U14" s="96" t="s">
        <v>320</v>
      </c>
      <c r="V14" s="96" t="s">
        <v>320</v>
      </c>
      <c r="W14" s="96" t="s">
        <v>320</v>
      </c>
      <c r="X14" s="96" t="s">
        <v>320</v>
      </c>
      <c r="Y14" s="96" t="s">
        <v>320</v>
      </c>
      <c r="Z14" s="96" t="s">
        <v>320</v>
      </c>
      <c r="AA14" s="96" t="s">
        <v>320</v>
      </c>
      <c r="AB14" s="96" t="s">
        <v>320</v>
      </c>
      <c r="AC14" s="96" t="s">
        <v>320</v>
      </c>
      <c r="AD14" s="93"/>
      <c r="AE14" s="490" t="s">
        <v>423</v>
      </c>
      <c r="AF14" s="93"/>
      <c r="AG14" s="93"/>
      <c r="AH14" s="93"/>
      <c r="AI14" s="93"/>
      <c r="AJ14" s="93"/>
      <c r="AK14" s="93"/>
      <c r="AL14" s="93"/>
      <c r="AM14" s="93" t="s">
        <v>1061</v>
      </c>
      <c r="AN14" s="93" t="s">
        <v>1062</v>
      </c>
      <c r="AO14" s="93"/>
    </row>
    <row r="15" spans="1:41" ht="72">
      <c r="A15" s="118">
        <v>14</v>
      </c>
      <c r="B15" s="118" t="s">
        <v>302</v>
      </c>
      <c r="C15" s="649">
        <v>46078</v>
      </c>
      <c r="D15" s="649">
        <v>46091</v>
      </c>
      <c r="E15" s="119" t="s">
        <v>1051</v>
      </c>
      <c r="F15" s="118" t="s">
        <v>313</v>
      </c>
      <c r="G15" s="118">
        <v>26889</v>
      </c>
      <c r="H15" s="119" t="s">
        <v>831</v>
      </c>
      <c r="I15" s="561" t="s">
        <v>329</v>
      </c>
      <c r="J15" s="118">
        <v>2</v>
      </c>
      <c r="K15" s="118">
        <v>1.56</v>
      </c>
      <c r="L15" s="118">
        <v>6.25</v>
      </c>
      <c r="M15" s="649">
        <v>46087</v>
      </c>
      <c r="N15" s="649">
        <v>46090</v>
      </c>
      <c r="O15" s="96" t="s">
        <v>12</v>
      </c>
      <c r="P15" s="96" t="s">
        <v>315</v>
      </c>
      <c r="Q15" s="96" t="s">
        <v>316</v>
      </c>
      <c r="R15" s="96" t="s">
        <v>317</v>
      </c>
      <c r="S15" s="96" t="s">
        <v>316</v>
      </c>
      <c r="T15" s="170" t="s">
        <v>832</v>
      </c>
      <c r="U15" s="171">
        <v>46091</v>
      </c>
      <c r="V15" s="171">
        <v>46091</v>
      </c>
      <c r="W15" s="96" t="s">
        <v>319</v>
      </c>
      <c r="X15" s="96" t="s">
        <v>316</v>
      </c>
      <c r="Y15" s="96" t="s">
        <v>319</v>
      </c>
      <c r="Z15" s="96" t="s">
        <v>320</v>
      </c>
      <c r="AA15" s="96" t="s">
        <v>316</v>
      </c>
      <c r="AB15" s="96" t="s">
        <v>316</v>
      </c>
      <c r="AC15" s="96" t="s">
        <v>316</v>
      </c>
      <c r="AD15" s="118"/>
      <c r="AE15" s="490" t="s">
        <v>423</v>
      </c>
      <c r="AF15" s="118"/>
      <c r="AG15" s="118"/>
      <c r="AH15" s="118"/>
      <c r="AI15" s="118"/>
      <c r="AJ15" s="118"/>
      <c r="AK15" s="118"/>
      <c r="AL15" s="118"/>
      <c r="AM15" s="118" t="s">
        <v>1063</v>
      </c>
      <c r="AN15" s="118" t="s">
        <v>1064</v>
      </c>
      <c r="AO15" s="118"/>
    </row>
    <row r="16" spans="1:41" ht="48">
      <c r="A16" s="93">
        <v>15</v>
      </c>
      <c r="B16" s="93" t="s">
        <v>302</v>
      </c>
      <c r="C16" s="171">
        <v>46078</v>
      </c>
      <c r="D16" s="171">
        <v>46091</v>
      </c>
      <c r="E16" s="96" t="s">
        <v>1051</v>
      </c>
      <c r="F16" s="93" t="s">
        <v>313</v>
      </c>
      <c r="G16" s="93">
        <v>52245</v>
      </c>
      <c r="H16" s="93" t="s">
        <v>1065</v>
      </c>
      <c r="I16" s="490" t="s">
        <v>306</v>
      </c>
      <c r="J16" s="93">
        <v>1</v>
      </c>
      <c r="K16" s="93">
        <v>0.5</v>
      </c>
      <c r="L16" s="93">
        <v>2.25</v>
      </c>
      <c r="M16" s="171">
        <v>46090</v>
      </c>
      <c r="N16" s="171">
        <v>46090</v>
      </c>
      <c r="O16" s="96" t="s">
        <v>12</v>
      </c>
      <c r="P16" s="96" t="s">
        <v>315</v>
      </c>
      <c r="Q16" s="96" t="s">
        <v>316</v>
      </c>
      <c r="R16" s="96" t="s">
        <v>317</v>
      </c>
      <c r="S16" s="96" t="s">
        <v>316</v>
      </c>
      <c r="T16" s="130" t="s">
        <v>1066</v>
      </c>
      <c r="U16" s="171">
        <v>46090</v>
      </c>
      <c r="V16" s="171">
        <v>46090</v>
      </c>
      <c r="W16" s="96" t="s">
        <v>319</v>
      </c>
      <c r="X16" s="96" t="s">
        <v>316</v>
      </c>
      <c r="Y16" s="96" t="s">
        <v>319</v>
      </c>
      <c r="Z16" s="96" t="s">
        <v>320</v>
      </c>
      <c r="AA16" s="96" t="s">
        <v>316</v>
      </c>
      <c r="AB16" s="96" t="s">
        <v>316</v>
      </c>
      <c r="AC16" s="96" t="s">
        <v>316</v>
      </c>
      <c r="AD16" s="93"/>
      <c r="AE16" s="490" t="s">
        <v>423</v>
      </c>
      <c r="AF16" s="93"/>
      <c r="AG16" s="93"/>
      <c r="AH16" s="93"/>
      <c r="AI16" s="93"/>
      <c r="AJ16" s="93"/>
      <c r="AK16" s="93"/>
      <c r="AL16" s="93"/>
      <c r="AM16" s="93"/>
      <c r="AN16" s="93" t="s">
        <v>1067</v>
      </c>
      <c r="AO16" s="93"/>
    </row>
    <row r="17" spans="1:41" ht="69.75" customHeight="1">
      <c r="A17" s="93">
        <v>16</v>
      </c>
      <c r="B17" s="93" t="s">
        <v>302</v>
      </c>
      <c r="C17" s="171">
        <v>46078</v>
      </c>
      <c r="D17" s="171">
        <v>46091</v>
      </c>
      <c r="E17" s="96" t="s">
        <v>1051</v>
      </c>
      <c r="F17" s="93" t="s">
        <v>313</v>
      </c>
      <c r="G17" s="93">
        <v>26211</v>
      </c>
      <c r="H17" s="96" t="s">
        <v>820</v>
      </c>
      <c r="I17" s="490" t="s">
        <v>1068</v>
      </c>
      <c r="J17" s="93">
        <v>3</v>
      </c>
      <c r="K17" s="93">
        <v>1</v>
      </c>
      <c r="L17" s="93">
        <v>4</v>
      </c>
      <c r="M17" s="96" t="s">
        <v>320</v>
      </c>
      <c r="N17" s="96" t="s">
        <v>320</v>
      </c>
      <c r="O17" s="96" t="s">
        <v>320</v>
      </c>
      <c r="P17" s="96" t="s">
        <v>320</v>
      </c>
      <c r="Q17" s="96" t="s">
        <v>320</v>
      </c>
      <c r="R17" s="96" t="s">
        <v>320</v>
      </c>
      <c r="S17" s="96" t="s">
        <v>320</v>
      </c>
      <c r="T17" s="96" t="s">
        <v>320</v>
      </c>
      <c r="U17" s="96" t="s">
        <v>320</v>
      </c>
      <c r="V17" s="96" t="s">
        <v>320</v>
      </c>
      <c r="W17" s="96" t="s">
        <v>320</v>
      </c>
      <c r="X17" s="96" t="s">
        <v>320</v>
      </c>
      <c r="Y17" s="96" t="s">
        <v>320</v>
      </c>
      <c r="Z17" s="96" t="s">
        <v>320</v>
      </c>
      <c r="AA17" s="96" t="s">
        <v>320</v>
      </c>
      <c r="AB17" s="96" t="s">
        <v>320</v>
      </c>
      <c r="AC17" s="96" t="s">
        <v>320</v>
      </c>
      <c r="AD17" s="96" t="s">
        <v>821</v>
      </c>
      <c r="AE17" s="490" t="s">
        <v>423</v>
      </c>
      <c r="AF17" s="93"/>
      <c r="AG17" s="93"/>
      <c r="AH17" s="93"/>
      <c r="AI17" s="93"/>
      <c r="AJ17" s="93"/>
      <c r="AK17" s="93"/>
      <c r="AL17" s="93"/>
      <c r="AN17" s="93" t="s">
        <v>1069</v>
      </c>
      <c r="AO17" s="93"/>
    </row>
  </sheetData>
  <conditionalFormatting sqref="J1">
    <cfRule type="containsText" dxfId="800" priority="19" operator="containsText" text="Closed">
      <formula>NOT(ISERROR(SEARCH("Closed",J1)))</formula>
    </cfRule>
    <cfRule type="containsText" dxfId="799" priority="20" operator="containsText" text="Open">
      <formula>NOT(ISERROR(SEARCH("Open",J1)))</formula>
    </cfRule>
    <cfRule type="containsText" dxfId="798" priority="21" operator="containsText" text="Inprogress">
      <formula>NOT(ISERROR(SEARCH("Inprogress",J1)))</formula>
    </cfRule>
  </conditionalFormatting>
  <conditionalFormatting sqref="I2:I8">
    <cfRule type="containsText" dxfId="797" priority="16" operator="containsText" text="Closed">
      <formula>NOT(ISERROR(SEARCH("Closed",I2)))</formula>
    </cfRule>
    <cfRule type="containsText" dxfId="796" priority="17" operator="containsText" text="Open">
      <formula>NOT(ISERROR(SEARCH("Open",I2)))</formula>
    </cfRule>
    <cfRule type="containsText" dxfId="795" priority="18" operator="containsText" text="Inprogress">
      <formula>NOT(ISERROR(SEARCH("Inprogress",I2)))</formula>
    </cfRule>
  </conditionalFormatting>
  <conditionalFormatting sqref="I9">
    <cfRule type="containsText" dxfId="794" priority="13" operator="containsText" text="Closed">
      <formula>NOT(ISERROR(SEARCH("Closed",I9)))</formula>
    </cfRule>
    <cfRule type="containsText" dxfId="793" priority="14" operator="containsText" text="Open">
      <formula>NOT(ISERROR(SEARCH("Open",I9)))</formula>
    </cfRule>
    <cfRule type="containsText" dxfId="792" priority="15" operator="containsText" text="Inprogress">
      <formula>NOT(ISERROR(SEARCH("Inprogress",I9)))</formula>
    </cfRule>
  </conditionalFormatting>
  <conditionalFormatting sqref="I11:I12">
    <cfRule type="containsText" dxfId="791" priority="7" operator="containsText" text="Closed">
      <formula>NOT(ISERROR(SEARCH("Closed",I11)))</formula>
    </cfRule>
    <cfRule type="containsText" dxfId="790" priority="8" operator="containsText" text="Open">
      <formula>NOT(ISERROR(SEARCH("Open",I11)))</formula>
    </cfRule>
    <cfRule type="containsText" dxfId="789" priority="9" operator="containsText" text="Inprogress">
      <formula>NOT(ISERROR(SEARCH("Inprogress",I11)))</formula>
    </cfRule>
  </conditionalFormatting>
  <conditionalFormatting sqref="I13:I17">
    <cfRule type="containsText" dxfId="788" priority="4" operator="containsText" text="Closed">
      <formula>NOT(ISERROR(SEARCH("Closed",I13)))</formula>
    </cfRule>
    <cfRule type="containsText" dxfId="787" priority="5" operator="containsText" text="Open">
      <formula>NOT(ISERROR(SEARCH("Open",I13)))</formula>
    </cfRule>
    <cfRule type="containsText" dxfId="786" priority="6" operator="containsText" text="Inprogress">
      <formula>NOT(ISERROR(SEARCH("Inprogress",I13)))</formula>
    </cfRule>
  </conditionalFormatting>
  <conditionalFormatting sqref="I10">
    <cfRule type="containsText" dxfId="785" priority="1" operator="containsText" text="Closed">
      <formula>NOT(ISERROR(SEARCH("Closed",I10)))</formula>
    </cfRule>
    <cfRule type="containsText" dxfId="784" priority="2" operator="containsText" text="Open">
      <formula>NOT(ISERROR(SEARCH("Open",I10)))</formula>
    </cfRule>
    <cfRule type="containsText" dxfId="783" priority="3" operator="containsText" text="Inprogress">
      <formula>NOT(ISERROR(SEARCH("Inprogress",I10)))</formula>
    </cfRule>
  </conditionalFormatting>
  <dataValidations count="11">
    <dataValidation type="list" showErrorMessage="1" sqref="P1" xr:uid="{672F9640-FB5C-44C3-8312-029FCC7FD327}">
      <formula1>"Qadir,Rijo,Karthik,Sushmitha,None,TBD"</formula1>
    </dataValidation>
    <dataValidation type="list" showErrorMessage="1" sqref="R1" xr:uid="{63B05871-22E9-4D4B-8901-6469FAB73070}">
      <formula1>"Qadir,Rijo,Karthik,None,TBD"</formula1>
    </dataValidation>
    <dataValidation type="list" showErrorMessage="1" sqref="Q1" xr:uid="{990CB419-FBD0-4AE1-BD1E-8FA33C71809A}">
      <formula1>"Pass,Fail(BacktoDev),DB Script tests in QA DB,TBD"</formula1>
    </dataValidation>
    <dataValidation type="list" showErrorMessage="1" sqref="AC1" xr:uid="{CBBC8782-9C28-4824-A05D-A54EF8A3D0ED}">
      <formula1>"Pending-Waiting for Customer confirmation, Approved-Satisified AC,Not Approved-New minor changes requested(Back to Dev),NA,TBD"</formula1>
    </dataValidation>
    <dataValidation type="list" showErrorMessage="1" sqref="AB1" xr:uid="{10EBFD82-464C-441D-9141-A893F15D4E2A}">
      <formula1>"Approved-Satisified AC,Not Approved(Back to Dev),NA,TBD"</formula1>
    </dataValidation>
    <dataValidation type="list" showErrorMessage="1" sqref="S1:T1 X1 AA1" xr:uid="{91BA7213-592D-49F4-B497-1F6DA1447883}">
      <formula1>"No issues found,Issues observed(BacktoDev),DB Script tests in QA DB,NA,TBD"</formula1>
    </dataValidation>
    <dataValidation type="list" showErrorMessage="1" sqref="Y1:Z1 W1 O1" xr:uid="{26EE0FEA-1AC7-4034-A551-454C9A149921}">
      <formula1>"Open,Inprogress,Completed,TBD,NA"</formula1>
    </dataValidation>
    <dataValidation allowBlank="1" showInputMessage="1" showErrorMessage="1" sqref="AD1:AE1" xr:uid="{C350593E-585A-417E-8C6B-61FAD4504CD2}"/>
    <dataValidation showErrorMessage="1" sqref="I1" xr:uid="{3375E3F0-2126-4674-A0C4-4B40CADEBA28}"/>
    <dataValidation type="list" allowBlank="1" showErrorMessage="1" sqref="J1" xr:uid="{7C918A52-356D-4AC6-9B71-5021999B35A7}">
      <formula1>"Open,Inprogress,Closed"</formula1>
    </dataValidation>
    <dataValidation type="list" allowBlank="1" showInputMessage="1" showErrorMessage="1" sqref="AE2:AE17" xr:uid="{C392A770-7970-4915-B546-0C7439AE161A}">
      <formula1>"Exceeds Expectation,Meets Expectation,Needs improvements"</formula1>
    </dataValidation>
  </dataValidations>
  <hyperlinks>
    <hyperlink ref="T10" r:id="rId1" xr:uid="{13D52459-CEA1-47BD-9CF5-9363782FAD78}"/>
    <hyperlink ref="T7" r:id="rId2" xr:uid="{8B1C951C-42BF-49CE-83A6-344ECC7E4727}"/>
    <hyperlink ref="T8" r:id="rId3" xr:uid="{93E9CBC4-1454-425E-AFF3-795E23D2301B}"/>
    <hyperlink ref="T16" r:id="rId4" xr:uid="{C3541813-9953-4218-9E3C-6997E4CCC942}"/>
    <hyperlink ref="T15" r:id="rId5" xr:uid="{608E0205-76EC-4AED-B4CC-F111DBEB51A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8D857B7-1390-40E7-9453-9F7923F54E75}">
          <x14:formula1>
            <xm:f>Settings!$C$3:$C$20</xm:f>
          </x14:formula1>
          <xm:sqref>I2:I17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D9EFE-BF5A-45D2-8D4D-4A3D5DCAE497}">
  <dimension ref="A1:M6"/>
  <sheetViews>
    <sheetView topLeftCell="A2" workbookViewId="0">
      <selection activeCell="M6" sqref="M6"/>
    </sheetView>
  </sheetViews>
  <sheetFormatPr defaultRowHeight="12.75"/>
  <cols>
    <col min="2" max="2" width="14.140625" customWidth="1"/>
    <col min="3" max="3" width="12.5703125" customWidth="1"/>
    <col min="7" max="7" width="44.85546875" customWidth="1"/>
    <col min="9" max="9" width="12.7109375" customWidth="1"/>
    <col min="11" max="12" width="14.42578125" customWidth="1"/>
    <col min="13" max="13" width="39.42578125" customWidth="1"/>
  </cols>
  <sheetData>
    <row r="1" spans="1:13" ht="40.5">
      <c r="A1" s="108" t="s">
        <v>266</v>
      </c>
      <c r="B1" s="108" t="s">
        <v>10</v>
      </c>
      <c r="C1" s="404" t="s">
        <v>267</v>
      </c>
      <c r="D1" s="404" t="s">
        <v>268</v>
      </c>
      <c r="E1" s="108" t="s">
        <v>269</v>
      </c>
      <c r="F1" s="404" t="s">
        <v>270</v>
      </c>
      <c r="G1" s="404" t="s">
        <v>271</v>
      </c>
      <c r="H1" s="108" t="s">
        <v>272</v>
      </c>
      <c r="I1" s="108" t="s">
        <v>273</v>
      </c>
      <c r="J1" s="108" t="s">
        <v>274</v>
      </c>
      <c r="K1" s="108" t="s">
        <v>275</v>
      </c>
      <c r="L1" s="332" t="s">
        <v>276</v>
      </c>
      <c r="M1" s="405" t="s">
        <v>277</v>
      </c>
    </row>
    <row r="2" spans="1:13" ht="74.25" customHeight="1">
      <c r="A2" s="93">
        <v>1</v>
      </c>
      <c r="B2" s="93" t="s">
        <v>302</v>
      </c>
      <c r="C2" s="143" t="s">
        <v>971</v>
      </c>
      <c r="D2" s="93"/>
      <c r="E2" s="93" t="s">
        <v>315</v>
      </c>
      <c r="F2" s="93" t="s">
        <v>522</v>
      </c>
      <c r="G2" s="96" t="s">
        <v>972</v>
      </c>
      <c r="H2" s="93" t="s">
        <v>517</v>
      </c>
      <c r="I2" s="93" t="s">
        <v>518</v>
      </c>
      <c r="J2" s="93" t="s">
        <v>525</v>
      </c>
      <c r="K2" s="490" t="s">
        <v>376</v>
      </c>
      <c r="L2" s="74" t="s">
        <v>529</v>
      </c>
      <c r="M2" s="96" t="s">
        <v>1070</v>
      </c>
    </row>
    <row r="3" spans="1:13" ht="60">
      <c r="A3" s="93">
        <v>2</v>
      </c>
      <c r="B3" s="93" t="s">
        <v>302</v>
      </c>
      <c r="C3" s="143">
        <v>26818</v>
      </c>
      <c r="D3" s="93"/>
      <c r="E3" s="93" t="s">
        <v>317</v>
      </c>
      <c r="F3" s="93" t="s">
        <v>522</v>
      </c>
      <c r="G3" s="96" t="s">
        <v>1032</v>
      </c>
      <c r="H3" s="93" t="s">
        <v>517</v>
      </c>
      <c r="I3" s="93" t="s">
        <v>518</v>
      </c>
      <c r="J3" s="93" t="s">
        <v>525</v>
      </c>
      <c r="K3" s="490" t="s">
        <v>376</v>
      </c>
      <c r="L3" s="74" t="s">
        <v>529</v>
      </c>
      <c r="M3" s="123" t="s">
        <v>1071</v>
      </c>
    </row>
    <row r="4" spans="1:13" ht="36">
      <c r="A4" s="93">
        <v>3</v>
      </c>
      <c r="B4" s="93" t="s">
        <v>302</v>
      </c>
      <c r="C4" s="657">
        <v>26207</v>
      </c>
      <c r="D4" s="93"/>
      <c r="E4" s="93" t="s">
        <v>315</v>
      </c>
      <c r="F4" s="93" t="s">
        <v>522</v>
      </c>
      <c r="G4" s="96" t="s">
        <v>1042</v>
      </c>
      <c r="H4" s="93" t="s">
        <v>517</v>
      </c>
      <c r="I4" s="93" t="s">
        <v>518</v>
      </c>
      <c r="J4" s="93" t="s">
        <v>525</v>
      </c>
      <c r="K4" s="490" t="s">
        <v>376</v>
      </c>
      <c r="L4" s="74" t="s">
        <v>529</v>
      </c>
      <c r="M4" s="96" t="s">
        <v>1072</v>
      </c>
    </row>
    <row r="5" spans="1:13" ht="72.75" customHeight="1">
      <c r="A5" s="93">
        <v>4</v>
      </c>
      <c r="B5" s="93" t="s">
        <v>302</v>
      </c>
      <c r="C5" s="143" t="s">
        <v>1056</v>
      </c>
      <c r="D5" s="93"/>
      <c r="E5" s="93" t="s">
        <v>313</v>
      </c>
      <c r="F5" s="93" t="s">
        <v>522</v>
      </c>
      <c r="G5" s="96" t="s">
        <v>1057</v>
      </c>
      <c r="H5" s="93" t="s">
        <v>517</v>
      </c>
      <c r="I5" s="93" t="s">
        <v>518</v>
      </c>
      <c r="J5" s="93" t="s">
        <v>519</v>
      </c>
      <c r="K5" s="490" t="s">
        <v>376</v>
      </c>
      <c r="L5" s="74" t="s">
        <v>529</v>
      </c>
      <c r="M5" s="96" t="s">
        <v>1073</v>
      </c>
    </row>
    <row r="6" spans="1:13" ht="58.5" customHeight="1">
      <c r="A6" s="93">
        <v>5</v>
      </c>
      <c r="B6" s="93" t="s">
        <v>302</v>
      </c>
      <c r="C6" s="143">
        <v>26211</v>
      </c>
      <c r="D6" s="93"/>
      <c r="E6" s="93" t="s">
        <v>313</v>
      </c>
      <c r="F6" s="93" t="s">
        <v>522</v>
      </c>
      <c r="G6" s="96" t="s">
        <v>820</v>
      </c>
      <c r="H6" s="93" t="s">
        <v>517</v>
      </c>
      <c r="I6" s="93" t="s">
        <v>518</v>
      </c>
      <c r="J6" s="93" t="s">
        <v>525</v>
      </c>
      <c r="K6" s="490" t="s">
        <v>348</v>
      </c>
      <c r="L6" s="74" t="s">
        <v>529</v>
      </c>
      <c r="M6" s="96" t="s">
        <v>821</v>
      </c>
    </row>
  </sheetData>
  <conditionalFormatting sqref="K2:K6">
    <cfRule type="containsText" dxfId="782" priority="1" operator="containsText" text="Closed">
      <formula>NOT(ISERROR(SEARCH("Closed",K2)))</formula>
    </cfRule>
    <cfRule type="containsText" dxfId="781" priority="2" operator="containsText" text="Open">
      <formula>NOT(ISERROR(SEARCH("Open",K2)))</formula>
    </cfRule>
    <cfRule type="containsText" dxfId="780" priority="3" operator="containsText" text="Inprogress">
      <formula>NOT(ISERROR(SEARCH("Inprogress",K2)))</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ED8DAD8D-008D-40F1-B365-7DB98EB61C31}">
          <x14:formula1>
            <xm:f>Settings!$C$3:$C$20</xm:f>
          </x14:formula1>
          <xm:sqref>K2:K6</xm:sqref>
        </x14:dataValidation>
        <x14:dataValidation type="list" allowBlank="1" showErrorMessage="1" xr:uid="{AFBFC1DF-AF65-42EB-BD7A-5D14CF5F2022}">
          <x14:formula1>
            <xm:f>Details!$A$2:$A$10</xm:f>
          </x14:formula1>
          <xm:sqref>L2:L6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7EB6A-B4EF-4BDA-A3B0-32E2A2A28D49}">
  <dimension ref="A1:M9"/>
  <sheetViews>
    <sheetView topLeftCell="C3" workbookViewId="0">
      <selection activeCell="K6" sqref="K6"/>
    </sheetView>
  </sheetViews>
  <sheetFormatPr defaultRowHeight="12.75"/>
  <cols>
    <col min="2" max="2" width="29.5703125" customWidth="1"/>
    <col min="3" max="3" width="12.5703125" customWidth="1"/>
    <col min="4" max="4" width="8.28515625" customWidth="1"/>
    <col min="7" max="7" width="56" customWidth="1"/>
    <col min="10" max="11" width="17.7109375" customWidth="1"/>
    <col min="12" max="12" width="15.42578125" customWidth="1"/>
    <col min="13" max="13" width="48.28515625" customWidth="1"/>
  </cols>
  <sheetData>
    <row r="1" spans="1:13" ht="40.5">
      <c r="A1" s="108" t="s">
        <v>266</v>
      </c>
      <c r="B1" s="108" t="s">
        <v>10</v>
      </c>
      <c r="C1" s="404" t="s">
        <v>267</v>
      </c>
      <c r="D1" s="404" t="s">
        <v>268</v>
      </c>
      <c r="E1" s="108" t="s">
        <v>269</v>
      </c>
      <c r="F1" s="404" t="s">
        <v>270</v>
      </c>
      <c r="G1" s="404" t="s">
        <v>271</v>
      </c>
      <c r="H1" s="108" t="s">
        <v>272</v>
      </c>
      <c r="I1" s="108" t="s">
        <v>273</v>
      </c>
      <c r="J1" s="108" t="s">
        <v>274</v>
      </c>
      <c r="K1" s="108" t="s">
        <v>275</v>
      </c>
      <c r="L1" s="332" t="s">
        <v>276</v>
      </c>
      <c r="M1" s="405" t="s">
        <v>277</v>
      </c>
    </row>
    <row r="2" spans="1:13" ht="42" customHeight="1">
      <c r="A2" s="93">
        <v>1</v>
      </c>
      <c r="B2" s="96" t="s">
        <v>896</v>
      </c>
      <c r="C2" s="123">
        <v>25160</v>
      </c>
      <c r="D2" s="93"/>
      <c r="E2" s="93" t="s">
        <v>315</v>
      </c>
      <c r="F2" s="93" t="s">
        <v>522</v>
      </c>
      <c r="G2" s="93" t="s">
        <v>1074</v>
      </c>
      <c r="H2" s="93" t="s">
        <v>517</v>
      </c>
      <c r="I2" s="93" t="s">
        <v>518</v>
      </c>
      <c r="J2" s="93" t="s">
        <v>525</v>
      </c>
      <c r="K2" s="490" t="s">
        <v>376</v>
      </c>
      <c r="L2" s="74" t="s">
        <v>529</v>
      </c>
      <c r="M2" s="96" t="s">
        <v>1070</v>
      </c>
    </row>
    <row r="3" spans="1:13" ht="42" customHeight="1">
      <c r="A3" s="93">
        <v>2</v>
      </c>
      <c r="B3" s="96" t="s">
        <v>896</v>
      </c>
      <c r="C3" s="143" t="s">
        <v>912</v>
      </c>
      <c r="D3" s="93"/>
      <c r="E3" s="93" t="s">
        <v>315</v>
      </c>
      <c r="F3" s="93" t="s">
        <v>522</v>
      </c>
      <c r="G3" s="96" t="s">
        <v>913</v>
      </c>
      <c r="H3" s="93" t="s">
        <v>517</v>
      </c>
      <c r="I3" s="93" t="s">
        <v>518</v>
      </c>
      <c r="J3" s="93" t="s">
        <v>525</v>
      </c>
      <c r="K3" s="490" t="s">
        <v>509</v>
      </c>
      <c r="L3" s="74" t="s">
        <v>529</v>
      </c>
      <c r="M3" s="412" t="s">
        <v>1075</v>
      </c>
    </row>
    <row r="4" spans="1:13" ht="36">
      <c r="A4" s="93">
        <v>3</v>
      </c>
      <c r="B4" s="96" t="s">
        <v>896</v>
      </c>
      <c r="C4" s="143">
        <v>25287</v>
      </c>
      <c r="D4" s="93"/>
      <c r="E4" s="93" t="s">
        <v>313</v>
      </c>
      <c r="F4" s="93" t="s">
        <v>522</v>
      </c>
      <c r="G4" s="96" t="s">
        <v>917</v>
      </c>
      <c r="H4" s="93" t="s">
        <v>517</v>
      </c>
      <c r="I4" s="93" t="s">
        <v>518</v>
      </c>
      <c r="J4" s="93" t="s">
        <v>525</v>
      </c>
      <c r="K4" s="490" t="s">
        <v>376</v>
      </c>
      <c r="L4" s="74" t="s">
        <v>529</v>
      </c>
      <c r="M4" s="96" t="s">
        <v>1070</v>
      </c>
    </row>
    <row r="5" spans="1:13" ht="51" customHeight="1">
      <c r="A5" s="93">
        <v>4</v>
      </c>
      <c r="B5" s="96" t="s">
        <v>896</v>
      </c>
      <c r="C5" s="143" t="s">
        <v>947</v>
      </c>
      <c r="D5" s="93"/>
      <c r="E5" s="93" t="s">
        <v>315</v>
      </c>
      <c r="F5" s="93" t="s">
        <v>522</v>
      </c>
      <c r="G5" s="96" t="s">
        <v>1076</v>
      </c>
      <c r="H5" s="93" t="s">
        <v>517</v>
      </c>
      <c r="I5" s="93" t="s">
        <v>518</v>
      </c>
      <c r="J5" s="93" t="s">
        <v>525</v>
      </c>
      <c r="K5" s="490" t="s">
        <v>509</v>
      </c>
      <c r="L5" s="74" t="s">
        <v>529</v>
      </c>
      <c r="M5" s="412" t="s">
        <v>1075</v>
      </c>
    </row>
    <row r="6" spans="1:13" ht="39" customHeight="1">
      <c r="A6" s="93">
        <v>5</v>
      </c>
      <c r="B6" s="96" t="s">
        <v>896</v>
      </c>
      <c r="C6" s="657" t="s">
        <v>957</v>
      </c>
      <c r="D6" s="93"/>
      <c r="E6" s="93" t="s">
        <v>315</v>
      </c>
      <c r="F6" s="93" t="s">
        <v>522</v>
      </c>
      <c r="G6" s="96" t="s">
        <v>958</v>
      </c>
      <c r="H6" s="93" t="s">
        <v>517</v>
      </c>
      <c r="I6" s="93" t="s">
        <v>518</v>
      </c>
      <c r="J6" s="93" t="s">
        <v>519</v>
      </c>
      <c r="K6" s="490" t="s">
        <v>376</v>
      </c>
      <c r="L6" s="74" t="s">
        <v>529</v>
      </c>
      <c r="M6" s="96" t="s">
        <v>1077</v>
      </c>
    </row>
    <row r="7" spans="1:13" ht="36">
      <c r="A7" s="93">
        <v>6</v>
      </c>
      <c r="B7" s="96" t="s">
        <v>896</v>
      </c>
      <c r="C7" s="143" t="s">
        <v>971</v>
      </c>
      <c r="D7" s="93"/>
      <c r="E7" s="93" t="s">
        <v>315</v>
      </c>
      <c r="F7" s="93" t="s">
        <v>522</v>
      </c>
      <c r="G7" s="96" t="s">
        <v>972</v>
      </c>
      <c r="H7" s="93" t="s">
        <v>517</v>
      </c>
      <c r="I7" s="93" t="s">
        <v>518</v>
      </c>
      <c r="J7" s="93" t="s">
        <v>525</v>
      </c>
      <c r="K7" s="490" t="s">
        <v>329</v>
      </c>
      <c r="L7" s="74" t="s">
        <v>529</v>
      </c>
      <c r="M7" s="96" t="s">
        <v>1070</v>
      </c>
    </row>
    <row r="8" spans="1:13" ht="36">
      <c r="A8" s="93">
        <v>7</v>
      </c>
      <c r="B8" s="96" t="s">
        <v>896</v>
      </c>
      <c r="C8" s="143">
        <v>25674</v>
      </c>
      <c r="D8" s="93"/>
      <c r="E8" s="93" t="s">
        <v>313</v>
      </c>
      <c r="F8" s="93" t="s">
        <v>522</v>
      </c>
      <c r="G8" s="96" t="s">
        <v>952</v>
      </c>
      <c r="H8" s="93" t="s">
        <v>517</v>
      </c>
      <c r="I8" s="93" t="s">
        <v>518</v>
      </c>
      <c r="J8" s="93" t="s">
        <v>525</v>
      </c>
      <c r="K8" s="490" t="s">
        <v>376</v>
      </c>
      <c r="L8" s="74" t="s">
        <v>529</v>
      </c>
      <c r="M8" s="96" t="s">
        <v>1070</v>
      </c>
    </row>
    <row r="9" spans="1:13" ht="44.25" customHeight="1">
      <c r="A9" s="93">
        <v>8</v>
      </c>
      <c r="B9" s="96" t="s">
        <v>896</v>
      </c>
      <c r="C9" s="143" t="s">
        <v>982</v>
      </c>
      <c r="D9" s="93"/>
      <c r="E9" s="93" t="s">
        <v>313</v>
      </c>
      <c r="F9" s="93" t="s">
        <v>522</v>
      </c>
      <c r="G9" s="96" t="s">
        <v>983</v>
      </c>
      <c r="H9" s="93" t="s">
        <v>517</v>
      </c>
      <c r="I9" s="93" t="s">
        <v>518</v>
      </c>
      <c r="J9" s="93" t="s">
        <v>519</v>
      </c>
      <c r="K9" s="490" t="s">
        <v>376</v>
      </c>
      <c r="L9" s="74" t="s">
        <v>529</v>
      </c>
      <c r="M9" s="96" t="s">
        <v>1078</v>
      </c>
    </row>
  </sheetData>
  <conditionalFormatting sqref="K3">
    <cfRule type="containsText" dxfId="779" priority="25" operator="containsText" text="Closed">
      <formula>NOT(ISERROR(SEARCH("Closed",K3)))</formula>
    </cfRule>
    <cfRule type="containsText" dxfId="778" priority="26" operator="containsText" text="Open">
      <formula>NOT(ISERROR(SEARCH("Open",K3)))</formula>
    </cfRule>
    <cfRule type="containsText" dxfId="777" priority="27" operator="containsText" text="Inprogress">
      <formula>NOT(ISERROR(SEARCH("Inprogress",K3)))</formula>
    </cfRule>
  </conditionalFormatting>
  <conditionalFormatting sqref="K2">
    <cfRule type="containsText" dxfId="776" priority="22" operator="containsText" text="Closed">
      <formula>NOT(ISERROR(SEARCH("Closed",K2)))</formula>
    </cfRule>
    <cfRule type="containsText" dxfId="775" priority="23" operator="containsText" text="Open">
      <formula>NOT(ISERROR(SEARCH("Open",K2)))</formula>
    </cfRule>
    <cfRule type="containsText" dxfId="774" priority="24" operator="containsText" text="Inprogress">
      <formula>NOT(ISERROR(SEARCH("Inprogress",K2)))</formula>
    </cfRule>
  </conditionalFormatting>
  <conditionalFormatting sqref="K4">
    <cfRule type="containsText" dxfId="773" priority="19" operator="containsText" text="Closed">
      <formula>NOT(ISERROR(SEARCH("Closed",K4)))</formula>
    </cfRule>
    <cfRule type="containsText" dxfId="772" priority="20" operator="containsText" text="Open">
      <formula>NOT(ISERROR(SEARCH("Open",K4)))</formula>
    </cfRule>
    <cfRule type="containsText" dxfId="771" priority="21" operator="containsText" text="Inprogress">
      <formula>NOT(ISERROR(SEARCH("Inprogress",K4)))</formula>
    </cfRule>
  </conditionalFormatting>
  <conditionalFormatting sqref="K5">
    <cfRule type="containsText" dxfId="770" priority="13" operator="containsText" text="Closed">
      <formula>NOT(ISERROR(SEARCH("Closed",K5)))</formula>
    </cfRule>
    <cfRule type="containsText" dxfId="769" priority="14" operator="containsText" text="Open">
      <formula>NOT(ISERROR(SEARCH("Open",K5)))</formula>
    </cfRule>
    <cfRule type="containsText" dxfId="768" priority="15" operator="containsText" text="Inprogress">
      <formula>NOT(ISERROR(SEARCH("Inprogress",K5)))</formula>
    </cfRule>
  </conditionalFormatting>
  <conditionalFormatting sqref="K7">
    <cfRule type="containsText" dxfId="767" priority="10" operator="containsText" text="Closed">
      <formula>NOT(ISERROR(SEARCH("Closed",K7)))</formula>
    </cfRule>
    <cfRule type="containsText" dxfId="766" priority="11" operator="containsText" text="Open">
      <formula>NOT(ISERROR(SEARCH("Open",K7)))</formula>
    </cfRule>
    <cfRule type="containsText" dxfId="765" priority="12" operator="containsText" text="Inprogress">
      <formula>NOT(ISERROR(SEARCH("Inprogress",K7)))</formula>
    </cfRule>
  </conditionalFormatting>
  <conditionalFormatting sqref="K6">
    <cfRule type="containsText" dxfId="764" priority="7" operator="containsText" text="Closed">
      <formula>NOT(ISERROR(SEARCH("Closed",K6)))</formula>
    </cfRule>
    <cfRule type="containsText" dxfId="763" priority="8" operator="containsText" text="Open">
      <formula>NOT(ISERROR(SEARCH("Open",K6)))</formula>
    </cfRule>
    <cfRule type="containsText" dxfId="762" priority="9" operator="containsText" text="Inprogress">
      <formula>NOT(ISERROR(SEARCH("Inprogress",K6)))</formula>
    </cfRule>
  </conditionalFormatting>
  <conditionalFormatting sqref="K8">
    <cfRule type="containsText" dxfId="761" priority="4" operator="containsText" text="Closed">
      <formula>NOT(ISERROR(SEARCH("Closed",K8)))</formula>
    </cfRule>
    <cfRule type="containsText" dxfId="760" priority="5" operator="containsText" text="Open">
      <formula>NOT(ISERROR(SEARCH("Open",K8)))</formula>
    </cfRule>
    <cfRule type="containsText" dxfId="759" priority="6" operator="containsText" text="Inprogress">
      <formula>NOT(ISERROR(SEARCH("Inprogress",K8)))</formula>
    </cfRule>
  </conditionalFormatting>
  <conditionalFormatting sqref="K9">
    <cfRule type="containsText" dxfId="758" priority="1" operator="containsText" text="Closed">
      <formula>NOT(ISERROR(SEARCH("Closed",K9)))</formula>
    </cfRule>
    <cfRule type="containsText" dxfId="757" priority="2" operator="containsText" text="Open">
      <formula>NOT(ISERROR(SEARCH("Open",K9)))</formula>
    </cfRule>
    <cfRule type="containsText" dxfId="756" priority="3" operator="containsText" text="Inprogress">
      <formula>NOT(ISERROR(SEARCH("Inprogress",K9)))</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68E3D8E7-4659-492E-8CFC-0AEE22911AD0}">
          <x14:formula1>
            <xm:f>Settings!$C$3:$C$20</xm:f>
          </x14:formula1>
          <xm:sqref>K2:K9</xm:sqref>
        </x14:dataValidation>
        <x14:dataValidation type="list" allowBlank="1" showErrorMessage="1" xr:uid="{11284F40-DEE5-4DC2-B2FA-E9646D23526B}">
          <x14:formula1>
            <xm:f>Details!$A$2:$A$10</xm:f>
          </x14:formula1>
          <xm:sqref>L2:L9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A2F2F-AB7F-466A-A3B3-C5E7977AA80A}">
  <dimension ref="A1:AP23"/>
  <sheetViews>
    <sheetView topLeftCell="F1" workbookViewId="0"/>
  </sheetViews>
  <sheetFormatPr defaultRowHeight="12.75"/>
  <cols>
    <col min="2" max="2" width="18.42578125" customWidth="1"/>
    <col min="3" max="4" width="9.42578125" bestFit="1" customWidth="1"/>
    <col min="5" max="5" width="33" customWidth="1"/>
    <col min="6" max="6" width="13.5703125" customWidth="1"/>
    <col min="7" max="7" width="11.140625" customWidth="1"/>
    <col min="8" max="8" width="53.42578125" customWidth="1"/>
    <col min="9" max="9" width="21" customWidth="1"/>
    <col min="15" max="15" width="12.28515625" customWidth="1"/>
    <col min="20" max="20" width="24.28515625" customWidth="1"/>
    <col min="30" max="30" width="22" customWidth="1"/>
    <col min="31" max="31" width="14.5703125" customWidth="1"/>
    <col min="32" max="32" width="30.7109375" customWidth="1"/>
    <col min="33" max="33" width="21.42578125" customWidth="1"/>
    <col min="34" max="34" width="19.5703125" customWidth="1"/>
    <col min="35" max="35" width="20.85546875" customWidth="1"/>
    <col min="36" max="36" width="19.28515625" customWidth="1"/>
    <col min="37" max="37" width="21.42578125" customWidth="1"/>
    <col min="38" max="38" width="17" customWidth="1"/>
    <col min="39" max="39" width="30" customWidth="1"/>
    <col min="40" max="40" width="24" customWidth="1"/>
    <col min="41" max="41" width="23.7109375" customWidth="1"/>
  </cols>
  <sheetData>
    <row r="1" spans="1:41" ht="67.5">
      <c r="A1" s="445" t="s">
        <v>266</v>
      </c>
      <c r="B1" s="445" t="s">
        <v>4</v>
      </c>
      <c r="C1" s="445" t="s">
        <v>2</v>
      </c>
      <c r="D1" s="445" t="s">
        <v>3</v>
      </c>
      <c r="E1" s="445" t="s">
        <v>278</v>
      </c>
      <c r="F1" s="445" t="s">
        <v>269</v>
      </c>
      <c r="G1" s="445" t="s">
        <v>279</v>
      </c>
      <c r="H1" s="506" t="s">
        <v>280</v>
      </c>
      <c r="I1" s="445" t="s">
        <v>275</v>
      </c>
      <c r="J1" s="445" t="s">
        <v>281</v>
      </c>
      <c r="K1" s="445" t="s">
        <v>282</v>
      </c>
      <c r="L1" s="445" t="s">
        <v>283</v>
      </c>
      <c r="M1" s="445" t="s">
        <v>284</v>
      </c>
      <c r="N1" s="445" t="s">
        <v>285</v>
      </c>
      <c r="O1" s="445" t="s">
        <v>286</v>
      </c>
      <c r="P1" s="445" t="s">
        <v>287</v>
      </c>
      <c r="Q1" s="445" t="s">
        <v>288</v>
      </c>
      <c r="R1" s="445" t="s">
        <v>289</v>
      </c>
      <c r="S1" s="445" t="s">
        <v>290</v>
      </c>
      <c r="T1" s="445" t="s">
        <v>291</v>
      </c>
      <c r="U1" s="662" t="s">
        <v>292</v>
      </c>
      <c r="V1" s="662" t="s">
        <v>293</v>
      </c>
      <c r="W1" s="445" t="s">
        <v>294</v>
      </c>
      <c r="X1" s="445" t="s">
        <v>295</v>
      </c>
      <c r="Y1" s="445" t="s">
        <v>296</v>
      </c>
      <c r="Z1" s="662" t="s">
        <v>297</v>
      </c>
      <c r="AA1" s="445" t="s">
        <v>298</v>
      </c>
      <c r="AB1" s="445" t="s">
        <v>299</v>
      </c>
      <c r="AC1" s="445" t="s">
        <v>300</v>
      </c>
      <c r="AD1" s="448" t="s">
        <v>277</v>
      </c>
      <c r="AE1" s="445" t="s">
        <v>301</v>
      </c>
      <c r="AF1" s="663">
        <v>46036</v>
      </c>
      <c r="AG1" s="663">
        <v>46037</v>
      </c>
      <c r="AH1" s="663">
        <v>46038</v>
      </c>
      <c r="AI1" s="663">
        <v>46041</v>
      </c>
      <c r="AJ1" s="663">
        <v>46042</v>
      </c>
      <c r="AK1" s="663">
        <v>46043</v>
      </c>
      <c r="AL1" s="663">
        <v>46044</v>
      </c>
      <c r="AM1" s="663">
        <v>46045</v>
      </c>
      <c r="AN1" s="663">
        <v>46048</v>
      </c>
      <c r="AO1" s="663">
        <v>46049</v>
      </c>
    </row>
    <row r="2" spans="1:41" ht="72">
      <c r="A2" s="96">
        <v>1</v>
      </c>
      <c r="B2" s="96" t="s">
        <v>671</v>
      </c>
      <c r="C2" s="654">
        <v>46036</v>
      </c>
      <c r="D2" s="654">
        <v>46049</v>
      </c>
      <c r="E2" s="96" t="s">
        <v>1079</v>
      </c>
      <c r="F2" s="96" t="s">
        <v>313</v>
      </c>
      <c r="G2" s="96">
        <v>26570</v>
      </c>
      <c r="H2" s="96" t="s">
        <v>1080</v>
      </c>
      <c r="I2" s="151" t="s">
        <v>376</v>
      </c>
      <c r="J2" s="96">
        <v>2</v>
      </c>
      <c r="K2" s="96">
        <v>1.5</v>
      </c>
      <c r="L2" s="96">
        <v>6</v>
      </c>
      <c r="M2" s="654">
        <v>46034</v>
      </c>
      <c r="N2" s="654">
        <v>46035</v>
      </c>
      <c r="O2" s="96" t="s">
        <v>12</v>
      </c>
      <c r="P2" s="96" t="s">
        <v>315</v>
      </c>
      <c r="Q2" s="96" t="s">
        <v>316</v>
      </c>
      <c r="R2" s="96" t="s">
        <v>317</v>
      </c>
      <c r="S2" s="96" t="s">
        <v>316</v>
      </c>
      <c r="T2" s="130" t="s">
        <v>1081</v>
      </c>
      <c r="U2" s="624">
        <v>46035</v>
      </c>
      <c r="V2" s="624">
        <v>46035</v>
      </c>
      <c r="W2" s="96" t="s">
        <v>316</v>
      </c>
      <c r="X2" s="96" t="s">
        <v>319</v>
      </c>
      <c r="Y2" s="96" t="s">
        <v>319</v>
      </c>
      <c r="Z2" s="96" t="s">
        <v>320</v>
      </c>
      <c r="AA2" s="96" t="s">
        <v>316</v>
      </c>
      <c r="AB2" s="96" t="s">
        <v>316</v>
      </c>
      <c r="AC2" s="96" t="s">
        <v>316</v>
      </c>
      <c r="AD2" s="96"/>
      <c r="AE2" s="490" t="s">
        <v>423</v>
      </c>
      <c r="AF2" s="96" t="s">
        <v>1082</v>
      </c>
      <c r="AG2" s="96" t="s">
        <v>494</v>
      </c>
      <c r="AH2" s="96" t="s">
        <v>1083</v>
      </c>
      <c r="AI2" s="96" t="s">
        <v>1084</v>
      </c>
      <c r="AJ2" s="96" t="s">
        <v>434</v>
      </c>
      <c r="AK2" s="96" t="s">
        <v>434</v>
      </c>
      <c r="AL2" s="96" t="s">
        <v>434</v>
      </c>
      <c r="AM2" s="96" t="s">
        <v>434</v>
      </c>
      <c r="AN2" s="96" t="s">
        <v>434</v>
      </c>
      <c r="AO2" s="96"/>
    </row>
    <row r="3" spans="1:41" ht="48">
      <c r="A3" s="96">
        <v>2</v>
      </c>
      <c r="B3" s="96" t="s">
        <v>671</v>
      </c>
      <c r="C3" s="654">
        <v>46036</v>
      </c>
      <c r="D3" s="654">
        <v>46049</v>
      </c>
      <c r="E3" s="96" t="s">
        <v>1079</v>
      </c>
      <c r="F3" s="96" t="s">
        <v>317</v>
      </c>
      <c r="G3" s="554">
        <v>49897</v>
      </c>
      <c r="H3" s="96" t="s">
        <v>1085</v>
      </c>
      <c r="I3" s="490" t="s">
        <v>306</v>
      </c>
      <c r="J3" s="96">
        <v>3</v>
      </c>
      <c r="K3" s="96">
        <v>6.625</v>
      </c>
      <c r="L3" s="96">
        <v>26.5</v>
      </c>
      <c r="M3" s="96"/>
      <c r="N3" s="96"/>
      <c r="O3" s="96" t="s">
        <v>320</v>
      </c>
      <c r="P3" s="96" t="s">
        <v>320</v>
      </c>
      <c r="Q3" s="96" t="s">
        <v>320</v>
      </c>
      <c r="R3" s="96" t="s">
        <v>320</v>
      </c>
      <c r="S3" s="96" t="s">
        <v>320</v>
      </c>
      <c r="T3" s="96" t="s">
        <v>320</v>
      </c>
      <c r="U3" s="96" t="s">
        <v>320</v>
      </c>
      <c r="V3" s="96" t="s">
        <v>320</v>
      </c>
      <c r="W3" s="96" t="s">
        <v>320</v>
      </c>
      <c r="X3" s="96" t="s">
        <v>320</v>
      </c>
      <c r="Y3" s="96" t="s">
        <v>320</v>
      </c>
      <c r="Z3" s="96" t="s">
        <v>320</v>
      </c>
      <c r="AA3" s="96" t="s">
        <v>320</v>
      </c>
      <c r="AB3" s="96" t="s">
        <v>320</v>
      </c>
      <c r="AC3" s="96" t="s">
        <v>320</v>
      </c>
      <c r="AD3" s="96"/>
      <c r="AE3" s="490" t="s">
        <v>423</v>
      </c>
      <c r="AF3" s="96" t="s">
        <v>1086</v>
      </c>
      <c r="AG3" s="123" t="s">
        <v>1087</v>
      </c>
      <c r="AH3" s="96"/>
      <c r="AI3" s="96" t="s">
        <v>1088</v>
      </c>
      <c r="AJ3" s="96" t="s">
        <v>1089</v>
      </c>
      <c r="AK3" s="96" t="s">
        <v>1090</v>
      </c>
      <c r="AL3" s="96" t="s">
        <v>1091</v>
      </c>
      <c r="AM3" s="96" t="s">
        <v>1092</v>
      </c>
      <c r="AN3" s="96" t="s">
        <v>1093</v>
      </c>
      <c r="AO3" s="96"/>
    </row>
    <row r="4" spans="1:41" ht="100.5" customHeight="1">
      <c r="A4" s="96">
        <v>3</v>
      </c>
      <c r="B4" s="96" t="s">
        <v>671</v>
      </c>
      <c r="C4" s="654">
        <v>46036</v>
      </c>
      <c r="D4" s="654">
        <v>46049</v>
      </c>
      <c r="E4" s="96" t="s">
        <v>1079</v>
      </c>
      <c r="F4" s="96" t="s">
        <v>313</v>
      </c>
      <c r="G4" s="96">
        <v>51492</v>
      </c>
      <c r="H4" s="96" t="s">
        <v>1094</v>
      </c>
      <c r="I4" s="490" t="s">
        <v>306</v>
      </c>
      <c r="J4" s="96">
        <v>5</v>
      </c>
      <c r="K4" s="96">
        <v>3.5</v>
      </c>
      <c r="L4" s="96">
        <v>14</v>
      </c>
      <c r="M4" s="654">
        <v>46036</v>
      </c>
      <c r="N4" s="654">
        <v>46045</v>
      </c>
      <c r="O4" s="96" t="s">
        <v>12</v>
      </c>
      <c r="P4" s="96" t="s">
        <v>315</v>
      </c>
      <c r="Q4" s="96" t="s">
        <v>316</v>
      </c>
      <c r="R4" s="96" t="s">
        <v>317</v>
      </c>
      <c r="S4" s="96" t="s">
        <v>316</v>
      </c>
      <c r="T4" s="96" t="s">
        <v>320</v>
      </c>
      <c r="U4" s="96" t="s">
        <v>320</v>
      </c>
      <c r="V4" s="96" t="s">
        <v>320</v>
      </c>
      <c r="W4" s="96" t="s">
        <v>320</v>
      </c>
      <c r="X4" s="96" t="s">
        <v>320</v>
      </c>
      <c r="Y4" s="96" t="s">
        <v>320</v>
      </c>
      <c r="Z4" s="96" t="s">
        <v>320</v>
      </c>
      <c r="AA4" s="96" t="s">
        <v>320</v>
      </c>
      <c r="AB4" s="96" t="s">
        <v>320</v>
      </c>
      <c r="AC4" s="96" t="s">
        <v>320</v>
      </c>
      <c r="AD4" s="96"/>
      <c r="AE4" s="490" t="s">
        <v>423</v>
      </c>
      <c r="AF4" s="96" t="s">
        <v>1095</v>
      </c>
      <c r="AG4" s="96" t="s">
        <v>494</v>
      </c>
      <c r="AH4" s="96" t="s">
        <v>1096</v>
      </c>
      <c r="AI4" s="96" t="s">
        <v>1097</v>
      </c>
      <c r="AJ4" s="96" t="s">
        <v>1098</v>
      </c>
      <c r="AK4" s="96" t="s">
        <v>1098</v>
      </c>
      <c r="AL4" s="96" t="s">
        <v>1099</v>
      </c>
      <c r="AM4" s="96" t="s">
        <v>1100</v>
      </c>
      <c r="AN4" s="96" t="s">
        <v>1101</v>
      </c>
      <c r="AO4" s="96"/>
    </row>
    <row r="5" spans="1:41" ht="81.75" customHeight="1">
      <c r="A5" s="96">
        <v>4</v>
      </c>
      <c r="B5" s="96" t="s">
        <v>671</v>
      </c>
      <c r="C5" s="654">
        <v>46036</v>
      </c>
      <c r="D5" s="654">
        <v>46049</v>
      </c>
      <c r="E5" s="96" t="s">
        <v>1079</v>
      </c>
      <c r="F5" s="96" t="s">
        <v>315</v>
      </c>
      <c r="G5" s="96" t="s">
        <v>1102</v>
      </c>
      <c r="H5" s="96" t="s">
        <v>1103</v>
      </c>
      <c r="I5" s="151" t="s">
        <v>306</v>
      </c>
      <c r="J5" s="96">
        <v>0</v>
      </c>
      <c r="K5" s="96">
        <v>3.5</v>
      </c>
      <c r="L5" s="96">
        <v>14</v>
      </c>
      <c r="M5" s="654">
        <v>46036</v>
      </c>
      <c r="N5" s="654">
        <v>46041</v>
      </c>
      <c r="O5" s="96" t="s">
        <v>12</v>
      </c>
      <c r="P5" s="96" t="s">
        <v>313</v>
      </c>
      <c r="Q5" s="96" t="s">
        <v>316</v>
      </c>
      <c r="R5" s="96" t="s">
        <v>317</v>
      </c>
      <c r="S5" s="96" t="s">
        <v>316</v>
      </c>
      <c r="T5" s="130" t="s">
        <v>1104</v>
      </c>
      <c r="U5" s="654">
        <v>46043</v>
      </c>
      <c r="V5" s="654">
        <v>46043</v>
      </c>
      <c r="W5" s="96" t="s">
        <v>316</v>
      </c>
      <c r="X5" s="96" t="s">
        <v>319</v>
      </c>
      <c r="Y5" s="96" t="s">
        <v>319</v>
      </c>
      <c r="Z5" s="96" t="s">
        <v>320</v>
      </c>
      <c r="AA5" s="96" t="s">
        <v>316</v>
      </c>
      <c r="AB5" s="96" t="s">
        <v>316</v>
      </c>
      <c r="AC5" s="96" t="s">
        <v>316</v>
      </c>
      <c r="AD5" s="96" t="s">
        <v>1105</v>
      </c>
      <c r="AE5" s="490" t="s">
        <v>423</v>
      </c>
      <c r="AF5" s="96" t="s">
        <v>1102</v>
      </c>
      <c r="AG5" s="96" t="s">
        <v>494</v>
      </c>
      <c r="AH5" s="96" t="s">
        <v>1106</v>
      </c>
      <c r="AI5" s="96" t="s">
        <v>1107</v>
      </c>
      <c r="AJ5" s="96" t="s">
        <v>1108</v>
      </c>
      <c r="AK5" s="96" t="s">
        <v>1109</v>
      </c>
      <c r="AL5" s="96" t="s">
        <v>12</v>
      </c>
      <c r="AM5" s="96" t="s">
        <v>458</v>
      </c>
      <c r="AN5" s="96" t="s">
        <v>12</v>
      </c>
      <c r="AO5" s="96"/>
    </row>
    <row r="6" spans="1:41" ht="36">
      <c r="A6" s="96">
        <v>5</v>
      </c>
      <c r="B6" s="96" t="s">
        <v>671</v>
      </c>
      <c r="C6" s="654">
        <v>46036</v>
      </c>
      <c r="D6" s="654">
        <v>46049</v>
      </c>
      <c r="E6" s="96" t="s">
        <v>1079</v>
      </c>
      <c r="F6" s="96" t="s">
        <v>317</v>
      </c>
      <c r="G6" s="554" t="s">
        <v>1110</v>
      </c>
      <c r="H6" s="96" t="s">
        <v>1111</v>
      </c>
      <c r="I6" s="151" t="s">
        <v>376</v>
      </c>
      <c r="J6" s="96">
        <v>0</v>
      </c>
      <c r="K6" s="96">
        <v>0</v>
      </c>
      <c r="L6" s="96">
        <v>0</v>
      </c>
      <c r="M6" s="96"/>
      <c r="N6" s="96"/>
      <c r="O6" s="96" t="s">
        <v>320</v>
      </c>
      <c r="P6" s="96" t="s">
        <v>320</v>
      </c>
      <c r="Q6" s="96" t="s">
        <v>320</v>
      </c>
      <c r="R6" s="96" t="s">
        <v>320</v>
      </c>
      <c r="S6" s="96" t="s">
        <v>320</v>
      </c>
      <c r="T6" s="96" t="s">
        <v>320</v>
      </c>
      <c r="U6" s="96" t="s">
        <v>320</v>
      </c>
      <c r="V6" s="96" t="s">
        <v>320</v>
      </c>
      <c r="W6" s="96" t="s">
        <v>320</v>
      </c>
      <c r="X6" s="96" t="s">
        <v>320</v>
      </c>
      <c r="Y6" s="96" t="s">
        <v>320</v>
      </c>
      <c r="Z6" s="96" t="s">
        <v>320</v>
      </c>
      <c r="AA6" s="96" t="s">
        <v>320</v>
      </c>
      <c r="AB6" s="96" t="s">
        <v>320</v>
      </c>
      <c r="AC6" s="96" t="s">
        <v>320</v>
      </c>
      <c r="AD6" s="96"/>
      <c r="AE6" s="490" t="s">
        <v>423</v>
      </c>
      <c r="AF6" s="96"/>
      <c r="AG6" s="96"/>
      <c r="AH6" s="96"/>
      <c r="AI6" s="96" t="s">
        <v>1088</v>
      </c>
      <c r="AJ6" s="96" t="s">
        <v>1112</v>
      </c>
      <c r="AK6" s="96" t="s">
        <v>1112</v>
      </c>
      <c r="AL6" s="96" t="s">
        <v>1112</v>
      </c>
      <c r="AM6" s="96" t="s">
        <v>1113</v>
      </c>
      <c r="AN6" s="96" t="s">
        <v>1114</v>
      </c>
      <c r="AO6" s="96"/>
    </row>
    <row r="7" spans="1:41" ht="24">
      <c r="A7" s="96">
        <v>6</v>
      </c>
      <c r="B7" s="96" t="s">
        <v>671</v>
      </c>
      <c r="C7" s="654">
        <v>46036</v>
      </c>
      <c r="D7" s="654">
        <v>46049</v>
      </c>
      <c r="E7" s="96" t="s">
        <v>1079</v>
      </c>
      <c r="F7" s="96" t="s">
        <v>317</v>
      </c>
      <c r="G7" s="554" t="s">
        <v>1115</v>
      </c>
      <c r="H7" s="96" t="s">
        <v>1116</v>
      </c>
      <c r="I7" s="151" t="s">
        <v>1117</v>
      </c>
      <c r="J7" s="96">
        <v>0</v>
      </c>
      <c r="K7" s="96">
        <v>2</v>
      </c>
      <c r="L7" s="96">
        <v>8</v>
      </c>
      <c r="M7" s="96"/>
      <c r="N7" s="96"/>
      <c r="O7" s="96" t="s">
        <v>320</v>
      </c>
      <c r="P7" s="96" t="s">
        <v>320</v>
      </c>
      <c r="Q7" s="96" t="s">
        <v>320</v>
      </c>
      <c r="R7" s="96" t="s">
        <v>320</v>
      </c>
      <c r="S7" s="96" t="s">
        <v>320</v>
      </c>
      <c r="T7" s="96" t="s">
        <v>320</v>
      </c>
      <c r="U7" s="96" t="s">
        <v>320</v>
      </c>
      <c r="V7" s="96" t="s">
        <v>320</v>
      </c>
      <c r="W7" s="96" t="s">
        <v>320</v>
      </c>
      <c r="X7" s="96" t="s">
        <v>320</v>
      </c>
      <c r="Y7" s="96" t="s">
        <v>320</v>
      </c>
      <c r="Z7" s="96" t="s">
        <v>320</v>
      </c>
      <c r="AA7" s="96" t="s">
        <v>320</v>
      </c>
      <c r="AB7" s="96" t="s">
        <v>320</v>
      </c>
      <c r="AC7" s="96" t="s">
        <v>320</v>
      </c>
      <c r="AD7" s="96"/>
      <c r="AE7" s="490" t="s">
        <v>423</v>
      </c>
      <c r="AF7" s="96"/>
      <c r="AG7" s="96"/>
      <c r="AH7" s="96"/>
      <c r="AI7" s="96" t="s">
        <v>1088</v>
      </c>
      <c r="AJ7" s="96" t="s">
        <v>1112</v>
      </c>
      <c r="AK7" s="96" t="s">
        <v>1112</v>
      </c>
      <c r="AL7" s="96" t="s">
        <v>1112</v>
      </c>
      <c r="AM7" s="96" t="s">
        <v>1118</v>
      </c>
      <c r="AN7" s="96" t="s">
        <v>1119</v>
      </c>
      <c r="AO7" s="96"/>
    </row>
    <row r="8" spans="1:41" ht="72">
      <c r="A8" s="96">
        <v>7</v>
      </c>
      <c r="B8" s="96" t="s">
        <v>671</v>
      </c>
      <c r="C8" s="654">
        <v>46036</v>
      </c>
      <c r="D8" s="654">
        <v>46049</v>
      </c>
      <c r="E8" s="96" t="s">
        <v>1079</v>
      </c>
      <c r="F8" s="96" t="s">
        <v>315</v>
      </c>
      <c r="G8" s="96">
        <v>26621</v>
      </c>
      <c r="H8" s="96" t="s">
        <v>1120</v>
      </c>
      <c r="I8" s="151" t="s">
        <v>376</v>
      </c>
      <c r="J8" s="96">
        <v>0</v>
      </c>
      <c r="K8" s="96">
        <v>0.25</v>
      </c>
      <c r="L8" s="96">
        <v>1</v>
      </c>
      <c r="M8" s="654">
        <v>46041</v>
      </c>
      <c r="N8" s="654">
        <v>46041</v>
      </c>
      <c r="O8" s="96" t="s">
        <v>12</v>
      </c>
      <c r="P8" s="96" t="s">
        <v>313</v>
      </c>
      <c r="Q8" s="96" t="s">
        <v>316</v>
      </c>
      <c r="R8" s="96" t="s">
        <v>317</v>
      </c>
      <c r="S8" s="96" t="s">
        <v>316</v>
      </c>
      <c r="T8" s="130" t="s">
        <v>1121</v>
      </c>
      <c r="U8" s="654">
        <v>46043</v>
      </c>
      <c r="V8" s="654">
        <v>46043</v>
      </c>
      <c r="W8" s="96" t="s">
        <v>316</v>
      </c>
      <c r="X8" s="96" t="s">
        <v>319</v>
      </c>
      <c r="Y8" s="96" t="s">
        <v>319</v>
      </c>
      <c r="Z8" s="96" t="s">
        <v>320</v>
      </c>
      <c r="AA8" s="96" t="s">
        <v>316</v>
      </c>
      <c r="AB8" s="96" t="s">
        <v>316</v>
      </c>
      <c r="AC8" s="96" t="s">
        <v>316</v>
      </c>
      <c r="AD8" s="96" t="s">
        <v>1122</v>
      </c>
      <c r="AE8" s="490" t="s">
        <v>423</v>
      </c>
      <c r="AF8" s="96"/>
      <c r="AG8" s="96"/>
      <c r="AH8" s="96"/>
      <c r="AI8" s="96" t="s">
        <v>1123</v>
      </c>
      <c r="AJ8" s="96" t="s">
        <v>1124</v>
      </c>
      <c r="AK8" s="96" t="s">
        <v>1125</v>
      </c>
      <c r="AL8" s="96" t="s">
        <v>854</v>
      </c>
      <c r="AM8" s="96" t="s">
        <v>1126</v>
      </c>
      <c r="AN8" s="96" t="s">
        <v>434</v>
      </c>
      <c r="AO8" s="96"/>
    </row>
    <row r="9" spans="1:41" ht="24">
      <c r="A9" s="96">
        <v>8</v>
      </c>
      <c r="B9" s="96" t="s">
        <v>671</v>
      </c>
      <c r="C9" s="654">
        <v>46036</v>
      </c>
      <c r="D9" s="654">
        <v>46049</v>
      </c>
      <c r="E9" s="96" t="s">
        <v>1079</v>
      </c>
      <c r="F9" s="96" t="s">
        <v>315</v>
      </c>
      <c r="G9" s="96">
        <v>51499</v>
      </c>
      <c r="H9" s="96" t="s">
        <v>583</v>
      </c>
      <c r="I9" s="490" t="s">
        <v>306</v>
      </c>
      <c r="J9" s="96">
        <v>2</v>
      </c>
      <c r="K9" s="96">
        <v>1.75</v>
      </c>
      <c r="L9" s="96">
        <v>7</v>
      </c>
      <c r="M9" s="96" t="s">
        <v>320</v>
      </c>
      <c r="N9" s="96" t="s">
        <v>320</v>
      </c>
      <c r="O9" s="96" t="s">
        <v>320</v>
      </c>
      <c r="P9" s="96" t="s">
        <v>320</v>
      </c>
      <c r="Q9" s="96" t="s">
        <v>320</v>
      </c>
      <c r="R9" s="96" t="s">
        <v>320</v>
      </c>
      <c r="S9" s="96" t="s">
        <v>320</v>
      </c>
      <c r="T9" s="96" t="s">
        <v>320</v>
      </c>
      <c r="U9" s="96" t="s">
        <v>320</v>
      </c>
      <c r="V9" s="96" t="s">
        <v>320</v>
      </c>
      <c r="W9" s="96" t="s">
        <v>320</v>
      </c>
      <c r="X9" s="96" t="s">
        <v>320</v>
      </c>
      <c r="Y9" s="96" t="s">
        <v>320</v>
      </c>
      <c r="Z9" s="96" t="s">
        <v>320</v>
      </c>
      <c r="AA9" s="96" t="s">
        <v>320</v>
      </c>
      <c r="AB9" s="96" t="s">
        <v>320</v>
      </c>
      <c r="AC9" s="96" t="s">
        <v>320</v>
      </c>
      <c r="AD9" s="96" t="s">
        <v>1127</v>
      </c>
      <c r="AE9" s="490" t="s">
        <v>423</v>
      </c>
      <c r="AF9" s="96"/>
      <c r="AG9" s="96"/>
      <c r="AH9" s="96"/>
      <c r="AI9" s="96" t="s">
        <v>1128</v>
      </c>
      <c r="AJ9" s="96" t="s">
        <v>864</v>
      </c>
      <c r="AK9" s="96" t="s">
        <v>434</v>
      </c>
      <c r="AL9" s="96" t="s">
        <v>434</v>
      </c>
      <c r="AM9" s="96" t="s">
        <v>434</v>
      </c>
      <c r="AN9" s="96" t="s">
        <v>434</v>
      </c>
      <c r="AO9" s="96"/>
    </row>
    <row r="10" spans="1:41" ht="60">
      <c r="A10" s="96">
        <v>9</v>
      </c>
      <c r="B10" s="96" t="s">
        <v>671</v>
      </c>
      <c r="C10" s="654">
        <v>46036</v>
      </c>
      <c r="D10" s="654">
        <v>46049</v>
      </c>
      <c r="E10" s="96" t="s">
        <v>1079</v>
      </c>
      <c r="F10" s="96" t="s">
        <v>313</v>
      </c>
      <c r="G10" s="129">
        <v>51498</v>
      </c>
      <c r="H10" s="96" t="s">
        <v>588</v>
      </c>
      <c r="I10" s="490" t="s">
        <v>306</v>
      </c>
      <c r="J10" s="96">
        <v>1</v>
      </c>
      <c r="K10" s="96">
        <v>0.5</v>
      </c>
      <c r="L10" s="96">
        <v>2</v>
      </c>
      <c r="M10" s="96" t="s">
        <v>320</v>
      </c>
      <c r="N10" s="96" t="s">
        <v>320</v>
      </c>
      <c r="O10" s="96" t="s">
        <v>320</v>
      </c>
      <c r="P10" s="96" t="s">
        <v>320</v>
      </c>
      <c r="Q10" s="96" t="s">
        <v>320</v>
      </c>
      <c r="R10" s="96" t="s">
        <v>320</v>
      </c>
      <c r="S10" s="96" t="s">
        <v>320</v>
      </c>
      <c r="T10" s="96" t="s">
        <v>320</v>
      </c>
      <c r="U10" s="96" t="s">
        <v>320</v>
      </c>
      <c r="V10" s="96" t="s">
        <v>320</v>
      </c>
      <c r="W10" s="96" t="s">
        <v>320</v>
      </c>
      <c r="X10" s="96" t="s">
        <v>320</v>
      </c>
      <c r="Y10" s="96" t="s">
        <v>320</v>
      </c>
      <c r="Z10" s="96" t="s">
        <v>320</v>
      </c>
      <c r="AA10" s="96" t="s">
        <v>320</v>
      </c>
      <c r="AB10" s="96" t="s">
        <v>320</v>
      </c>
      <c r="AC10" s="96" t="s">
        <v>320</v>
      </c>
      <c r="AD10" s="96" t="s">
        <v>1127</v>
      </c>
      <c r="AE10" s="490" t="s">
        <v>423</v>
      </c>
      <c r="AF10" s="96"/>
      <c r="AG10" s="96"/>
      <c r="AH10" s="96"/>
      <c r="AI10" s="96" t="s">
        <v>1129</v>
      </c>
      <c r="AJ10" s="96" t="s">
        <v>434</v>
      </c>
      <c r="AK10" s="96" t="s">
        <v>434</v>
      </c>
      <c r="AL10" s="96" t="s">
        <v>434</v>
      </c>
      <c r="AM10" s="96" t="s">
        <v>434</v>
      </c>
      <c r="AN10" s="96" t="s">
        <v>434</v>
      </c>
      <c r="AO10" s="96"/>
    </row>
    <row r="11" spans="1:41" ht="72">
      <c r="A11" s="93">
        <v>10</v>
      </c>
      <c r="B11" s="96" t="s">
        <v>671</v>
      </c>
      <c r="C11" s="654">
        <v>46036</v>
      </c>
      <c r="D11" s="654">
        <v>46049</v>
      </c>
      <c r="E11" s="96" t="s">
        <v>1079</v>
      </c>
      <c r="F11" s="96" t="s">
        <v>506</v>
      </c>
      <c r="G11" s="93">
        <v>51500</v>
      </c>
      <c r="H11" s="93" t="s">
        <v>596</v>
      </c>
      <c r="I11" s="490" t="s">
        <v>306</v>
      </c>
      <c r="J11" s="93">
        <v>5</v>
      </c>
      <c r="K11" s="93">
        <v>4.5</v>
      </c>
      <c r="L11" s="93">
        <v>18</v>
      </c>
      <c r="M11" s="96" t="s">
        <v>320</v>
      </c>
      <c r="N11" s="96" t="s">
        <v>320</v>
      </c>
      <c r="O11" s="96" t="s">
        <v>320</v>
      </c>
      <c r="P11" s="96" t="s">
        <v>320</v>
      </c>
      <c r="Q11" s="96" t="s">
        <v>320</v>
      </c>
      <c r="R11" s="96" t="s">
        <v>320</v>
      </c>
      <c r="S11" s="96" t="s">
        <v>320</v>
      </c>
      <c r="T11" s="96" t="s">
        <v>320</v>
      </c>
      <c r="U11" s="96" t="s">
        <v>320</v>
      </c>
      <c r="V11" s="96" t="s">
        <v>320</v>
      </c>
      <c r="W11" s="96" t="s">
        <v>320</v>
      </c>
      <c r="X11" s="96" t="s">
        <v>320</v>
      </c>
      <c r="Y11" s="96" t="s">
        <v>320</v>
      </c>
      <c r="Z11" s="96" t="s">
        <v>320</v>
      </c>
      <c r="AA11" s="96" t="s">
        <v>320</v>
      </c>
      <c r="AB11" s="96" t="s">
        <v>320</v>
      </c>
      <c r="AC11" s="96" t="s">
        <v>320</v>
      </c>
      <c r="AD11" s="96" t="s">
        <v>1127</v>
      </c>
      <c r="AE11" s="490" t="s">
        <v>423</v>
      </c>
      <c r="AF11" s="93"/>
      <c r="AG11" s="93"/>
      <c r="AH11" s="93"/>
      <c r="AI11" s="96" t="s">
        <v>1130</v>
      </c>
      <c r="AJ11" s="96" t="s">
        <v>1131</v>
      </c>
      <c r="AK11" s="96" t="s">
        <v>12</v>
      </c>
      <c r="AL11" s="96" t="s">
        <v>434</v>
      </c>
      <c r="AM11" s="96" t="s">
        <v>434</v>
      </c>
      <c r="AN11" s="96" t="s">
        <v>434</v>
      </c>
      <c r="AO11" s="96"/>
    </row>
    <row r="12" spans="1:41" ht="36">
      <c r="A12" s="93">
        <v>11</v>
      </c>
      <c r="B12" s="96" t="s">
        <v>671</v>
      </c>
      <c r="C12" s="654">
        <v>46036</v>
      </c>
      <c r="D12" s="654">
        <v>46049</v>
      </c>
      <c r="E12" s="96" t="s">
        <v>1079</v>
      </c>
      <c r="F12" s="96" t="s">
        <v>465</v>
      </c>
      <c r="G12" s="93">
        <v>51508</v>
      </c>
      <c r="H12" s="93" t="s">
        <v>1132</v>
      </c>
      <c r="I12" s="490" t="s">
        <v>306</v>
      </c>
      <c r="J12" s="93">
        <v>3</v>
      </c>
      <c r="K12" s="93">
        <v>3</v>
      </c>
      <c r="L12" s="93">
        <v>12</v>
      </c>
      <c r="M12" s="96" t="s">
        <v>320</v>
      </c>
      <c r="N12" s="96" t="s">
        <v>320</v>
      </c>
      <c r="O12" s="96" t="s">
        <v>12</v>
      </c>
      <c r="P12" s="96" t="s">
        <v>317</v>
      </c>
      <c r="Q12" s="96" t="s">
        <v>316</v>
      </c>
      <c r="R12" s="96" t="s">
        <v>317</v>
      </c>
      <c r="S12" s="96" t="s">
        <v>316</v>
      </c>
      <c r="T12" s="93" t="s">
        <v>320</v>
      </c>
      <c r="U12" s="96" t="s">
        <v>320</v>
      </c>
      <c r="V12" s="96" t="s">
        <v>320</v>
      </c>
      <c r="W12" s="96" t="s">
        <v>320</v>
      </c>
      <c r="X12" s="96" t="s">
        <v>320</v>
      </c>
      <c r="Y12" s="96" t="s">
        <v>320</v>
      </c>
      <c r="Z12" s="96" t="s">
        <v>320</v>
      </c>
      <c r="AA12" s="96" t="s">
        <v>320</v>
      </c>
      <c r="AB12" s="96" t="s">
        <v>320</v>
      </c>
      <c r="AC12" s="96" t="s">
        <v>320</v>
      </c>
      <c r="AD12" s="96" t="s">
        <v>1133</v>
      </c>
      <c r="AE12" s="490" t="s">
        <v>423</v>
      </c>
      <c r="AF12" s="93"/>
      <c r="AG12" s="93"/>
      <c r="AH12" s="93"/>
      <c r="AI12" s="93"/>
      <c r="AJ12" s="93" t="s">
        <v>1134</v>
      </c>
      <c r="AK12" s="96" t="s">
        <v>1135</v>
      </c>
      <c r="AL12" s="96" t="s">
        <v>1136</v>
      </c>
      <c r="AM12" s="96" t="s">
        <v>1137</v>
      </c>
      <c r="AN12" s="96" t="s">
        <v>434</v>
      </c>
      <c r="AO12" s="612" t="s">
        <v>1138</v>
      </c>
    </row>
    <row r="13" spans="1:41" ht="72">
      <c r="A13" s="93">
        <v>12</v>
      </c>
      <c r="B13" s="96" t="s">
        <v>671</v>
      </c>
      <c r="C13" s="654">
        <v>46036</v>
      </c>
      <c r="D13" s="654">
        <v>46049</v>
      </c>
      <c r="E13" s="96" t="s">
        <v>1079</v>
      </c>
      <c r="F13" s="96" t="s">
        <v>313</v>
      </c>
      <c r="G13" s="93">
        <v>26628</v>
      </c>
      <c r="H13" s="96" t="s">
        <v>1139</v>
      </c>
      <c r="I13" s="490" t="s">
        <v>376</v>
      </c>
      <c r="J13" s="93">
        <v>0</v>
      </c>
      <c r="K13" s="93">
        <v>0.5</v>
      </c>
      <c r="L13" s="93">
        <v>2</v>
      </c>
      <c r="M13" s="654">
        <v>46042</v>
      </c>
      <c r="N13" s="654">
        <v>46042</v>
      </c>
      <c r="O13" s="96" t="s">
        <v>12</v>
      </c>
      <c r="P13" s="96" t="s">
        <v>315</v>
      </c>
      <c r="Q13" s="96" t="s">
        <v>316</v>
      </c>
      <c r="R13" s="96" t="s">
        <v>317</v>
      </c>
      <c r="S13" s="96" t="s">
        <v>316</v>
      </c>
      <c r="T13" s="130" t="s">
        <v>1140</v>
      </c>
      <c r="U13" s="654">
        <v>46043</v>
      </c>
      <c r="V13" s="654">
        <v>46043</v>
      </c>
      <c r="W13" s="96" t="s">
        <v>316</v>
      </c>
      <c r="X13" s="96" t="s">
        <v>319</v>
      </c>
      <c r="Y13" s="96" t="s">
        <v>319</v>
      </c>
      <c r="Z13" s="96" t="s">
        <v>320</v>
      </c>
      <c r="AA13" s="96" t="s">
        <v>316</v>
      </c>
      <c r="AB13" s="96" t="s">
        <v>316</v>
      </c>
      <c r="AC13" s="96" t="s">
        <v>316</v>
      </c>
      <c r="AD13" s="490" t="s">
        <v>376</v>
      </c>
      <c r="AE13" s="490" t="s">
        <v>423</v>
      </c>
      <c r="AF13" s="93"/>
      <c r="AG13" s="93"/>
      <c r="AH13" s="93"/>
      <c r="AI13" s="93"/>
      <c r="AJ13" s="96" t="s">
        <v>1141</v>
      </c>
      <c r="AK13" s="96" t="s">
        <v>1142</v>
      </c>
      <c r="AL13" s="96" t="s">
        <v>607</v>
      </c>
      <c r="AM13" s="96" t="s">
        <v>607</v>
      </c>
      <c r="AN13" s="96" t="s">
        <v>12</v>
      </c>
      <c r="AO13" s="96"/>
    </row>
    <row r="14" spans="1:41" ht="72">
      <c r="A14" s="93">
        <v>13</v>
      </c>
      <c r="B14" s="96" t="s">
        <v>671</v>
      </c>
      <c r="C14" s="654">
        <v>46036</v>
      </c>
      <c r="D14" s="654">
        <v>46049</v>
      </c>
      <c r="E14" s="96" t="s">
        <v>1079</v>
      </c>
      <c r="F14" s="96" t="s">
        <v>313</v>
      </c>
      <c r="G14" s="129">
        <v>26388</v>
      </c>
      <c r="H14" s="96" t="s">
        <v>1143</v>
      </c>
      <c r="I14" s="490" t="s">
        <v>376</v>
      </c>
      <c r="J14" s="93">
        <v>0</v>
      </c>
      <c r="K14" s="93">
        <v>2.5</v>
      </c>
      <c r="L14" s="93">
        <v>10</v>
      </c>
      <c r="M14" s="654">
        <v>46043</v>
      </c>
      <c r="N14" s="654">
        <v>46043</v>
      </c>
      <c r="O14" s="96" t="s">
        <v>12</v>
      </c>
      <c r="P14" s="96" t="s">
        <v>315</v>
      </c>
      <c r="Q14" s="96" t="s">
        <v>316</v>
      </c>
      <c r="R14" s="96" t="s">
        <v>317</v>
      </c>
      <c r="S14" s="96" t="s">
        <v>316</v>
      </c>
      <c r="T14" s="130" t="s">
        <v>1144</v>
      </c>
      <c r="U14" s="654">
        <v>46044</v>
      </c>
      <c r="V14" s="654">
        <v>46044</v>
      </c>
      <c r="W14" s="96" t="s">
        <v>316</v>
      </c>
      <c r="X14" s="96" t="s">
        <v>319</v>
      </c>
      <c r="Y14" s="96" t="s">
        <v>319</v>
      </c>
      <c r="Z14" s="96" t="s">
        <v>320</v>
      </c>
      <c r="AA14" s="96" t="s">
        <v>316</v>
      </c>
      <c r="AB14" s="96" t="s">
        <v>316</v>
      </c>
      <c r="AC14" s="96" t="s">
        <v>316</v>
      </c>
      <c r="AD14" s="490" t="s">
        <v>376</v>
      </c>
      <c r="AE14" s="490" t="s">
        <v>423</v>
      </c>
      <c r="AF14" s="93"/>
      <c r="AG14" s="93"/>
      <c r="AH14" s="93"/>
      <c r="AI14" s="93"/>
      <c r="AJ14" s="93"/>
      <c r="AK14" s="96" t="s">
        <v>1145</v>
      </c>
      <c r="AL14" s="96" t="s">
        <v>607</v>
      </c>
      <c r="AM14" s="96" t="s">
        <v>607</v>
      </c>
      <c r="AN14" s="96" t="s">
        <v>434</v>
      </c>
      <c r="AO14" s="96"/>
    </row>
    <row r="15" spans="1:41" ht="84">
      <c r="A15" s="93">
        <v>14</v>
      </c>
      <c r="B15" s="96" t="s">
        <v>671</v>
      </c>
      <c r="C15" s="654">
        <v>46036</v>
      </c>
      <c r="D15" s="654">
        <v>46049</v>
      </c>
      <c r="E15" s="96" t="s">
        <v>1079</v>
      </c>
      <c r="F15" s="96" t="s">
        <v>315</v>
      </c>
      <c r="G15" s="129">
        <v>51502</v>
      </c>
      <c r="H15" s="93" t="s">
        <v>668</v>
      </c>
      <c r="I15" s="490" t="s">
        <v>306</v>
      </c>
      <c r="J15" s="93">
        <v>2</v>
      </c>
      <c r="K15" s="93">
        <v>1.5</v>
      </c>
      <c r="L15" s="93">
        <v>6</v>
      </c>
      <c r="M15" s="96" t="s">
        <v>320</v>
      </c>
      <c r="N15" s="96" t="s">
        <v>320</v>
      </c>
      <c r="O15" s="96" t="s">
        <v>320</v>
      </c>
      <c r="P15" s="96" t="s">
        <v>320</v>
      </c>
      <c r="Q15" s="96" t="s">
        <v>320</v>
      </c>
      <c r="R15" s="96" t="s">
        <v>320</v>
      </c>
      <c r="S15" s="96" t="s">
        <v>320</v>
      </c>
      <c r="T15" s="96" t="s">
        <v>320</v>
      </c>
      <c r="U15" s="96" t="s">
        <v>320</v>
      </c>
      <c r="V15" s="96" t="s">
        <v>320</v>
      </c>
      <c r="W15" s="96" t="s">
        <v>320</v>
      </c>
      <c r="X15" s="96" t="s">
        <v>320</v>
      </c>
      <c r="Y15" s="96" t="s">
        <v>320</v>
      </c>
      <c r="Z15" s="96" t="s">
        <v>320</v>
      </c>
      <c r="AA15" s="96" t="s">
        <v>320</v>
      </c>
      <c r="AB15" s="96" t="s">
        <v>320</v>
      </c>
      <c r="AC15" s="96" t="s">
        <v>320</v>
      </c>
      <c r="AD15" s="96" t="s">
        <v>1127</v>
      </c>
      <c r="AE15" s="490" t="s">
        <v>423</v>
      </c>
      <c r="AF15" s="93"/>
      <c r="AG15" s="93"/>
      <c r="AH15" s="93"/>
      <c r="AI15" s="93"/>
      <c r="AJ15" s="93"/>
      <c r="AK15" s="96" t="s">
        <v>1146</v>
      </c>
      <c r="AL15" s="96" t="s">
        <v>1147</v>
      </c>
      <c r="AM15" s="96" t="s">
        <v>434</v>
      </c>
      <c r="AN15" s="96" t="s">
        <v>434</v>
      </c>
      <c r="AO15" s="96"/>
    </row>
    <row r="16" spans="1:41" ht="36">
      <c r="A16" s="93">
        <v>15</v>
      </c>
      <c r="B16" s="96" t="s">
        <v>671</v>
      </c>
      <c r="C16" s="654">
        <v>46036</v>
      </c>
      <c r="D16" s="654">
        <v>46049</v>
      </c>
      <c r="E16" s="96" t="s">
        <v>1079</v>
      </c>
      <c r="F16" s="96" t="s">
        <v>1148</v>
      </c>
      <c r="G16" s="93">
        <v>51501</v>
      </c>
      <c r="H16" s="93" t="s">
        <v>1149</v>
      </c>
      <c r="I16" s="490" t="s">
        <v>306</v>
      </c>
      <c r="J16" s="93">
        <v>3</v>
      </c>
      <c r="K16" s="93">
        <v>1.625</v>
      </c>
      <c r="L16" s="93">
        <v>6.5</v>
      </c>
      <c r="M16" s="96" t="s">
        <v>320</v>
      </c>
      <c r="N16" s="96" t="s">
        <v>320</v>
      </c>
      <c r="O16" s="96" t="s">
        <v>320</v>
      </c>
      <c r="P16" s="96" t="s">
        <v>320</v>
      </c>
      <c r="Q16" s="96" t="s">
        <v>320</v>
      </c>
      <c r="R16" s="96" t="s">
        <v>320</v>
      </c>
      <c r="S16" s="96" t="s">
        <v>320</v>
      </c>
      <c r="T16" s="96" t="s">
        <v>320</v>
      </c>
      <c r="U16" s="96" t="s">
        <v>320</v>
      </c>
      <c r="V16" s="96" t="s">
        <v>320</v>
      </c>
      <c r="W16" s="96" t="s">
        <v>320</v>
      </c>
      <c r="X16" s="96" t="s">
        <v>320</v>
      </c>
      <c r="Y16" s="96" t="s">
        <v>320</v>
      </c>
      <c r="Z16" s="96" t="s">
        <v>320</v>
      </c>
      <c r="AA16" s="96" t="s">
        <v>320</v>
      </c>
      <c r="AB16" s="96" t="s">
        <v>320</v>
      </c>
      <c r="AC16" s="96" t="s">
        <v>320</v>
      </c>
      <c r="AD16" s="96" t="s">
        <v>1127</v>
      </c>
      <c r="AE16" s="490" t="s">
        <v>423</v>
      </c>
      <c r="AF16" s="93"/>
      <c r="AG16" s="93"/>
      <c r="AH16" s="93"/>
      <c r="AI16" s="93"/>
      <c r="AJ16" s="93"/>
      <c r="AK16" s="96" t="s">
        <v>1150</v>
      </c>
      <c r="AL16" s="96" t="s">
        <v>1151</v>
      </c>
      <c r="AM16" s="96" t="s">
        <v>434</v>
      </c>
      <c r="AN16" s="96" t="s">
        <v>434</v>
      </c>
      <c r="AO16" s="96"/>
    </row>
    <row r="17" spans="1:42" s="93" customFormat="1" ht="24">
      <c r="A17" s="93">
        <v>16</v>
      </c>
      <c r="B17" s="96" t="s">
        <v>671</v>
      </c>
      <c r="C17" s="654">
        <v>46036</v>
      </c>
      <c r="D17" s="654">
        <v>46049</v>
      </c>
      <c r="E17" s="96" t="s">
        <v>1079</v>
      </c>
      <c r="F17" s="93" t="s">
        <v>465</v>
      </c>
      <c r="G17" s="93">
        <v>51503</v>
      </c>
      <c r="H17" s="93" t="s">
        <v>1152</v>
      </c>
      <c r="I17" s="490" t="s">
        <v>306</v>
      </c>
      <c r="M17" s="96" t="s">
        <v>320</v>
      </c>
      <c r="N17" s="96" t="s">
        <v>320</v>
      </c>
      <c r="O17" s="96" t="s">
        <v>320</v>
      </c>
      <c r="P17" s="96" t="s">
        <v>320</v>
      </c>
      <c r="Q17" s="96" t="s">
        <v>320</v>
      </c>
      <c r="R17" s="96" t="s">
        <v>320</v>
      </c>
      <c r="S17" s="96" t="s">
        <v>320</v>
      </c>
      <c r="T17" s="96" t="s">
        <v>320</v>
      </c>
      <c r="U17" s="96" t="s">
        <v>320</v>
      </c>
      <c r="V17" s="96" t="s">
        <v>320</v>
      </c>
      <c r="W17" s="96" t="s">
        <v>320</v>
      </c>
      <c r="X17" s="96" t="s">
        <v>320</v>
      </c>
      <c r="Y17" s="96" t="s">
        <v>320</v>
      </c>
      <c r="Z17" s="96" t="s">
        <v>320</v>
      </c>
      <c r="AA17" s="96" t="s">
        <v>320</v>
      </c>
      <c r="AB17" s="96" t="s">
        <v>320</v>
      </c>
      <c r="AC17" s="96" t="s">
        <v>320</v>
      </c>
      <c r="AD17" s="96" t="s">
        <v>1127</v>
      </c>
      <c r="AE17" s="490" t="s">
        <v>423</v>
      </c>
      <c r="AK17" s="96" t="s">
        <v>1153</v>
      </c>
      <c r="AL17" s="96" t="s">
        <v>434</v>
      </c>
      <c r="AM17" s="96" t="s">
        <v>434</v>
      </c>
      <c r="AN17" s="96" t="s">
        <v>434</v>
      </c>
      <c r="AO17" s="96"/>
      <c r="AP17" s="551"/>
    </row>
    <row r="18" spans="1:42" ht="96">
      <c r="A18" s="93">
        <v>17</v>
      </c>
      <c r="B18" s="96" t="s">
        <v>671</v>
      </c>
      <c r="C18" s="654">
        <v>46036</v>
      </c>
      <c r="D18" s="654">
        <v>46049</v>
      </c>
      <c r="E18" s="96" t="s">
        <v>1079</v>
      </c>
      <c r="F18" s="96" t="s">
        <v>315</v>
      </c>
      <c r="G18" s="129" t="s">
        <v>1154</v>
      </c>
      <c r="H18" s="96" t="s">
        <v>1155</v>
      </c>
      <c r="I18" s="490" t="s">
        <v>306</v>
      </c>
      <c r="J18" s="93">
        <v>0</v>
      </c>
      <c r="K18" s="93">
        <v>0.625</v>
      </c>
      <c r="L18" s="93">
        <v>2.5</v>
      </c>
      <c r="M18" s="654">
        <v>46044</v>
      </c>
      <c r="N18" s="654">
        <v>46044</v>
      </c>
      <c r="O18" s="96" t="s">
        <v>320</v>
      </c>
      <c r="P18" s="96" t="s">
        <v>320</v>
      </c>
      <c r="Q18" s="96" t="s">
        <v>320</v>
      </c>
      <c r="R18" s="96" t="s">
        <v>320</v>
      </c>
      <c r="S18" s="96" t="s">
        <v>320</v>
      </c>
      <c r="T18" s="96" t="s">
        <v>320</v>
      </c>
      <c r="U18" s="96" t="s">
        <v>320</v>
      </c>
      <c r="V18" s="96" t="s">
        <v>320</v>
      </c>
      <c r="W18" s="96" t="s">
        <v>320</v>
      </c>
      <c r="X18" s="96" t="s">
        <v>320</v>
      </c>
      <c r="Y18" s="96" t="s">
        <v>320</v>
      </c>
      <c r="Z18" s="96" t="s">
        <v>320</v>
      </c>
      <c r="AA18" s="96" t="s">
        <v>320</v>
      </c>
      <c r="AB18" s="96" t="s">
        <v>320</v>
      </c>
      <c r="AC18" s="96" t="s">
        <v>320</v>
      </c>
      <c r="AD18" s="96" t="s">
        <v>1156</v>
      </c>
      <c r="AE18" s="490" t="s">
        <v>423</v>
      </c>
      <c r="AF18" s="93"/>
      <c r="AG18" s="93"/>
      <c r="AH18" s="93"/>
      <c r="AI18" s="93"/>
      <c r="AJ18" s="93"/>
      <c r="AK18" s="96"/>
      <c r="AL18" s="96" t="s">
        <v>1157</v>
      </c>
      <c r="AM18" s="96" t="s">
        <v>1158</v>
      </c>
      <c r="AN18" s="96" t="s">
        <v>434</v>
      </c>
      <c r="AO18" s="96"/>
    </row>
    <row r="19" spans="1:42" ht="36">
      <c r="A19" s="93">
        <v>18</v>
      </c>
      <c r="B19" s="93" t="s">
        <v>671</v>
      </c>
      <c r="C19" s="171">
        <v>46036</v>
      </c>
      <c r="D19" s="171">
        <v>46049</v>
      </c>
      <c r="E19" s="93" t="s">
        <v>1159</v>
      </c>
      <c r="F19" s="93" t="s">
        <v>465</v>
      </c>
      <c r="G19" s="93">
        <v>51599</v>
      </c>
      <c r="H19" s="93" t="s">
        <v>1160</v>
      </c>
      <c r="I19" s="93" t="s">
        <v>503</v>
      </c>
      <c r="J19" s="93">
        <v>2</v>
      </c>
      <c r="K19" s="93">
        <v>2</v>
      </c>
      <c r="L19" s="93">
        <v>8</v>
      </c>
      <c r="M19" s="96" t="s">
        <v>320</v>
      </c>
      <c r="N19" s="96" t="s">
        <v>320</v>
      </c>
      <c r="O19" s="96" t="s">
        <v>320</v>
      </c>
      <c r="P19" s="96" t="s">
        <v>320</v>
      </c>
      <c r="Q19" s="96" t="s">
        <v>320</v>
      </c>
      <c r="R19" s="96" t="s">
        <v>320</v>
      </c>
      <c r="S19" s="96" t="s">
        <v>320</v>
      </c>
      <c r="T19" s="96" t="s">
        <v>320</v>
      </c>
      <c r="U19" s="96" t="s">
        <v>320</v>
      </c>
      <c r="V19" s="96" t="s">
        <v>320</v>
      </c>
      <c r="W19" s="96" t="s">
        <v>320</v>
      </c>
      <c r="X19" s="96" t="s">
        <v>320</v>
      </c>
      <c r="Y19" s="96" t="s">
        <v>320</v>
      </c>
      <c r="Z19" s="96" t="s">
        <v>320</v>
      </c>
      <c r="AA19" s="96" t="s">
        <v>320</v>
      </c>
      <c r="AB19" s="96" t="s">
        <v>320</v>
      </c>
      <c r="AC19" s="96" t="s">
        <v>320</v>
      </c>
      <c r="AD19" s="93" t="s">
        <v>1161</v>
      </c>
      <c r="AE19" s="490" t="s">
        <v>423</v>
      </c>
      <c r="AF19" s="93"/>
      <c r="AG19" s="93"/>
      <c r="AH19" s="93"/>
      <c r="AI19" s="93"/>
      <c r="AJ19" s="93"/>
      <c r="AK19" s="93"/>
      <c r="AL19" s="93"/>
      <c r="AM19" s="96" t="s">
        <v>1162</v>
      </c>
      <c r="AN19" s="93" t="s">
        <v>434</v>
      </c>
      <c r="AO19" s="93"/>
    </row>
    <row r="20" spans="1:42" ht="72">
      <c r="A20" s="93">
        <v>19</v>
      </c>
      <c r="B20" s="96" t="s">
        <v>671</v>
      </c>
      <c r="C20" s="654">
        <v>46036</v>
      </c>
      <c r="D20" s="654">
        <v>46049</v>
      </c>
      <c r="E20" s="96" t="s">
        <v>1079</v>
      </c>
      <c r="F20" s="96" t="s">
        <v>315</v>
      </c>
      <c r="G20" s="93">
        <v>26653</v>
      </c>
      <c r="H20" s="96" t="s">
        <v>1163</v>
      </c>
      <c r="I20" s="151" t="s">
        <v>376</v>
      </c>
      <c r="J20" s="93">
        <v>0</v>
      </c>
      <c r="K20" s="93">
        <v>0.75</v>
      </c>
      <c r="L20" s="93">
        <v>3</v>
      </c>
      <c r="M20" s="654">
        <v>46045</v>
      </c>
      <c r="N20" s="654">
        <v>46045</v>
      </c>
      <c r="O20" s="96" t="s">
        <v>12</v>
      </c>
      <c r="P20" s="96" t="s">
        <v>313</v>
      </c>
      <c r="Q20" s="96" t="s">
        <v>316</v>
      </c>
      <c r="R20" s="96" t="s">
        <v>317</v>
      </c>
      <c r="S20" s="96" t="s">
        <v>316</v>
      </c>
      <c r="T20" s="130" t="s">
        <v>1164</v>
      </c>
      <c r="U20" s="654">
        <v>46045</v>
      </c>
      <c r="V20" s="654">
        <v>46045</v>
      </c>
      <c r="W20" s="96" t="s">
        <v>316</v>
      </c>
      <c r="X20" s="96" t="s">
        <v>319</v>
      </c>
      <c r="Y20" s="96" t="s">
        <v>319</v>
      </c>
      <c r="Z20" s="96" t="s">
        <v>320</v>
      </c>
      <c r="AA20" s="96" t="s">
        <v>316</v>
      </c>
      <c r="AB20" s="96" t="s">
        <v>316</v>
      </c>
      <c r="AC20" s="96" t="s">
        <v>316</v>
      </c>
      <c r="AD20" s="93" t="s">
        <v>928</v>
      </c>
      <c r="AE20" s="490" t="s">
        <v>423</v>
      </c>
      <c r="AF20" s="93"/>
      <c r="AG20" s="93"/>
      <c r="AH20" s="93"/>
      <c r="AI20" s="93"/>
      <c r="AJ20" s="93"/>
      <c r="AK20" s="93"/>
      <c r="AL20" s="93"/>
      <c r="AM20" s="93" t="s">
        <v>1165</v>
      </c>
      <c r="AN20" s="93" t="s">
        <v>434</v>
      </c>
      <c r="AO20" s="93"/>
    </row>
    <row r="21" spans="1:42" ht="72">
      <c r="A21" s="93">
        <v>20</v>
      </c>
      <c r="B21" s="96" t="s">
        <v>671</v>
      </c>
      <c r="C21" s="654">
        <v>46036</v>
      </c>
      <c r="D21" s="654">
        <v>46049</v>
      </c>
      <c r="E21" s="96" t="s">
        <v>1079</v>
      </c>
      <c r="F21" s="96" t="s">
        <v>315</v>
      </c>
      <c r="G21" s="129">
        <v>26665</v>
      </c>
      <c r="H21" s="96" t="s">
        <v>1103</v>
      </c>
      <c r="I21" s="151" t="s">
        <v>376</v>
      </c>
      <c r="J21" s="93">
        <v>0</v>
      </c>
      <c r="K21" s="93">
        <v>0</v>
      </c>
      <c r="L21" s="93">
        <v>0</v>
      </c>
      <c r="M21" s="654">
        <v>46036</v>
      </c>
      <c r="N21" s="654">
        <v>46041</v>
      </c>
      <c r="O21" s="96" t="s">
        <v>12</v>
      </c>
      <c r="P21" s="96" t="s">
        <v>313</v>
      </c>
      <c r="Q21" s="96" t="s">
        <v>316</v>
      </c>
      <c r="R21" s="96" t="s">
        <v>317</v>
      </c>
      <c r="S21" s="96" t="s">
        <v>316</v>
      </c>
      <c r="T21" s="130" t="s">
        <v>1104</v>
      </c>
      <c r="U21" s="654">
        <v>46043</v>
      </c>
      <c r="V21" s="654">
        <v>46043</v>
      </c>
      <c r="W21" s="96" t="s">
        <v>316</v>
      </c>
      <c r="X21" s="96" t="s">
        <v>319</v>
      </c>
      <c r="Y21" s="96" t="s">
        <v>319</v>
      </c>
      <c r="Z21" s="96" t="s">
        <v>320</v>
      </c>
      <c r="AA21" s="96" t="s">
        <v>316</v>
      </c>
      <c r="AB21" s="96" t="s">
        <v>316</v>
      </c>
      <c r="AC21" s="96" t="s">
        <v>316</v>
      </c>
      <c r="AD21" s="96" t="s">
        <v>1166</v>
      </c>
      <c r="AE21" s="490" t="s">
        <v>423</v>
      </c>
      <c r="AF21" s="93"/>
      <c r="AG21" s="93"/>
      <c r="AH21" s="93"/>
      <c r="AI21" s="93"/>
      <c r="AJ21" s="93"/>
      <c r="AK21" s="93"/>
      <c r="AL21" s="93"/>
      <c r="AM21" s="93"/>
      <c r="AN21" s="93"/>
      <c r="AO21" s="93"/>
    </row>
    <row r="22" spans="1:42" ht="36">
      <c r="A22" s="93">
        <v>21</v>
      </c>
      <c r="B22" s="96" t="s">
        <v>671</v>
      </c>
      <c r="C22" s="654">
        <v>46036</v>
      </c>
      <c r="D22" s="654">
        <v>46049</v>
      </c>
      <c r="E22" s="96" t="s">
        <v>1079</v>
      </c>
      <c r="F22" s="96" t="s">
        <v>315</v>
      </c>
      <c r="G22" s="129">
        <v>26662</v>
      </c>
      <c r="H22" s="96" t="s">
        <v>1167</v>
      </c>
      <c r="I22" s="151" t="s">
        <v>348</v>
      </c>
      <c r="J22" s="93">
        <v>0</v>
      </c>
      <c r="K22" s="93">
        <v>1</v>
      </c>
      <c r="L22" s="93">
        <v>4</v>
      </c>
      <c r="M22" s="654">
        <v>46049</v>
      </c>
      <c r="N22" s="96" t="s">
        <v>320</v>
      </c>
      <c r="O22" s="96" t="s">
        <v>320</v>
      </c>
      <c r="P22" s="96" t="s">
        <v>320</v>
      </c>
      <c r="Q22" s="96" t="s">
        <v>320</v>
      </c>
      <c r="R22" s="96" t="s">
        <v>320</v>
      </c>
      <c r="S22" s="96" t="s">
        <v>320</v>
      </c>
      <c r="T22" s="96" t="s">
        <v>320</v>
      </c>
      <c r="U22" s="96" t="s">
        <v>320</v>
      </c>
      <c r="V22" s="96" t="s">
        <v>320</v>
      </c>
      <c r="W22" s="96" t="s">
        <v>320</v>
      </c>
      <c r="X22" s="96" t="s">
        <v>320</v>
      </c>
      <c r="Y22" s="96" t="s">
        <v>320</v>
      </c>
      <c r="Z22" s="96" t="s">
        <v>320</v>
      </c>
      <c r="AA22" s="96" t="s">
        <v>320</v>
      </c>
      <c r="AB22" s="96" t="s">
        <v>320</v>
      </c>
      <c r="AC22" s="96" t="s">
        <v>320</v>
      </c>
      <c r="AD22" s="96" t="s">
        <v>1168</v>
      </c>
      <c r="AE22" s="490" t="s">
        <v>423</v>
      </c>
      <c r="AF22" s="93"/>
      <c r="AG22" s="93"/>
      <c r="AH22" s="93"/>
      <c r="AI22" s="93"/>
      <c r="AJ22" s="93"/>
      <c r="AK22" s="93"/>
      <c r="AL22" s="93"/>
      <c r="AM22" s="93"/>
      <c r="AN22" s="93"/>
      <c r="AO22" s="93"/>
    </row>
    <row r="23" spans="1:42" ht="36">
      <c r="A23" s="93">
        <v>22</v>
      </c>
      <c r="B23" s="96" t="s">
        <v>671</v>
      </c>
      <c r="C23" s="654">
        <v>46036</v>
      </c>
      <c r="D23" s="654">
        <v>46049</v>
      </c>
      <c r="E23" s="96" t="s">
        <v>1079</v>
      </c>
      <c r="F23" s="96" t="s">
        <v>317</v>
      </c>
      <c r="G23" s="554" t="s">
        <v>1169</v>
      </c>
      <c r="H23" s="96" t="s">
        <v>1170</v>
      </c>
      <c r="I23" s="151" t="s">
        <v>376</v>
      </c>
      <c r="J23" s="96">
        <v>0</v>
      </c>
      <c r="K23" s="96">
        <v>0.125</v>
      </c>
      <c r="L23" s="96">
        <v>0.5</v>
      </c>
      <c r="M23" s="96" t="s">
        <v>320</v>
      </c>
      <c r="N23" s="96" t="s">
        <v>320</v>
      </c>
      <c r="O23" s="96" t="s">
        <v>320</v>
      </c>
      <c r="P23" s="96" t="s">
        <v>320</v>
      </c>
      <c r="Q23" s="96" t="s">
        <v>320</v>
      </c>
      <c r="R23" s="96" t="s">
        <v>320</v>
      </c>
      <c r="S23" s="96" t="s">
        <v>320</v>
      </c>
      <c r="T23" s="96" t="s">
        <v>320</v>
      </c>
      <c r="U23" s="96" t="s">
        <v>320</v>
      </c>
      <c r="V23" s="96" t="s">
        <v>320</v>
      </c>
      <c r="W23" s="96" t="s">
        <v>320</v>
      </c>
      <c r="X23" s="96" t="s">
        <v>320</v>
      </c>
      <c r="Y23" s="96" t="s">
        <v>320</v>
      </c>
      <c r="Z23" s="96" t="s">
        <v>320</v>
      </c>
      <c r="AA23" s="96" t="s">
        <v>320</v>
      </c>
      <c r="AB23" s="96" t="s">
        <v>320</v>
      </c>
      <c r="AC23" s="96" t="s">
        <v>320</v>
      </c>
      <c r="AD23" s="96" t="s">
        <v>1171</v>
      </c>
      <c r="AE23" s="490" t="s">
        <v>423</v>
      </c>
      <c r="AF23" s="93"/>
      <c r="AG23" s="93"/>
      <c r="AH23" s="93"/>
      <c r="AI23" s="93"/>
      <c r="AJ23" s="93"/>
      <c r="AK23" s="93"/>
      <c r="AL23" s="93"/>
      <c r="AM23" s="93"/>
      <c r="AN23" s="93"/>
      <c r="AO23" s="93"/>
    </row>
  </sheetData>
  <autoFilter ref="A1:AO22" xr:uid="{941A2F2F-AB7F-466A-A3B3-C5E7977AA80A}"/>
  <conditionalFormatting sqref="J1">
    <cfRule type="containsText" dxfId="755" priority="31" operator="containsText" text="Closed">
      <formula>NOT(ISERROR(SEARCH("Closed",J1)))</formula>
    </cfRule>
    <cfRule type="containsText" dxfId="754" priority="32" operator="containsText" text="Open">
      <formula>NOT(ISERROR(SEARCH("Open",J1)))</formula>
    </cfRule>
    <cfRule type="containsText" dxfId="753" priority="33" operator="containsText" text="Inprogress">
      <formula>NOT(ISERROR(SEARCH("Inprogress",J1)))</formula>
    </cfRule>
  </conditionalFormatting>
  <conditionalFormatting sqref="I2:I8">
    <cfRule type="containsText" dxfId="752" priority="28" operator="containsText" text="Closed">
      <formula>NOT(ISERROR(SEARCH("Closed",I2)))</formula>
    </cfRule>
    <cfRule type="containsText" dxfId="751" priority="29" operator="containsText" text="Open">
      <formula>NOT(ISERROR(SEARCH("Open",I2)))</formula>
    </cfRule>
    <cfRule type="containsText" dxfId="750" priority="30" operator="containsText" text="Inprogress">
      <formula>NOT(ISERROR(SEARCH("Inprogress",I2)))</formula>
    </cfRule>
  </conditionalFormatting>
  <conditionalFormatting sqref="I9:I17">
    <cfRule type="containsText" dxfId="749" priority="22" operator="containsText" text="Closed">
      <formula>NOT(ISERROR(SEARCH("Closed",I9)))</formula>
    </cfRule>
    <cfRule type="containsText" dxfId="748" priority="23" operator="containsText" text="Open">
      <formula>NOT(ISERROR(SEARCH("Open",I9)))</formula>
    </cfRule>
    <cfRule type="containsText" dxfId="747" priority="24" operator="containsText" text="Inprogress">
      <formula>NOT(ISERROR(SEARCH("Inprogress",I9)))</formula>
    </cfRule>
  </conditionalFormatting>
  <conditionalFormatting sqref="I18">
    <cfRule type="containsText" dxfId="746" priority="19" operator="containsText" text="Closed">
      <formula>NOT(ISERROR(SEARCH("Closed",I18)))</formula>
    </cfRule>
    <cfRule type="containsText" dxfId="745" priority="20" operator="containsText" text="Open">
      <formula>NOT(ISERROR(SEARCH("Open",I18)))</formula>
    </cfRule>
    <cfRule type="containsText" dxfId="744" priority="21" operator="containsText" text="Inprogress">
      <formula>NOT(ISERROR(SEARCH("Inprogress",I18)))</formula>
    </cfRule>
  </conditionalFormatting>
  <conditionalFormatting sqref="I20:I23">
    <cfRule type="containsText" dxfId="743" priority="10" operator="containsText" text="Closed">
      <formula>NOT(ISERROR(SEARCH("Closed",I20)))</formula>
    </cfRule>
    <cfRule type="containsText" dxfId="742" priority="11" operator="containsText" text="Open">
      <formula>NOT(ISERROR(SEARCH("Open",I20)))</formula>
    </cfRule>
    <cfRule type="containsText" dxfId="741" priority="12" operator="containsText" text="Inprogress">
      <formula>NOT(ISERROR(SEARCH("Inprogress",I20)))</formula>
    </cfRule>
  </conditionalFormatting>
  <conditionalFormatting sqref="AD13">
    <cfRule type="containsText" dxfId="740" priority="7" operator="containsText" text="Closed">
      <formula>NOT(ISERROR(SEARCH("Closed",AD13)))</formula>
    </cfRule>
    <cfRule type="containsText" dxfId="739" priority="8" operator="containsText" text="Open">
      <formula>NOT(ISERROR(SEARCH("Open",AD13)))</formula>
    </cfRule>
    <cfRule type="containsText" dxfId="738" priority="9" operator="containsText" text="Inprogress">
      <formula>NOT(ISERROR(SEARCH("Inprogress",AD13)))</formula>
    </cfRule>
  </conditionalFormatting>
  <conditionalFormatting sqref="AD14">
    <cfRule type="containsText" dxfId="737" priority="4" operator="containsText" text="Closed">
      <formula>NOT(ISERROR(SEARCH("Closed",AD14)))</formula>
    </cfRule>
    <cfRule type="containsText" dxfId="736" priority="5" operator="containsText" text="Open">
      <formula>NOT(ISERROR(SEARCH("Open",AD14)))</formula>
    </cfRule>
    <cfRule type="containsText" dxfId="735" priority="6" operator="containsText" text="Inprogress">
      <formula>NOT(ISERROR(SEARCH("Inprogress",AD14)))</formula>
    </cfRule>
  </conditionalFormatting>
  <dataValidations count="11">
    <dataValidation type="list" allowBlank="1" showErrorMessage="1" sqref="J1" xr:uid="{2F06569C-D7DD-47D1-ADC8-B3BB11D4904B}">
      <formula1>"Open,Inprogress,Closed"</formula1>
    </dataValidation>
    <dataValidation showErrorMessage="1" sqref="I1" xr:uid="{E4808D38-3DCC-4E49-B213-4A9FBCBFF7A8}"/>
    <dataValidation allowBlank="1" showInputMessage="1" showErrorMessage="1" sqref="AD1:AE1" xr:uid="{2BFC19BD-8970-44B1-90F7-142B9D310652}"/>
    <dataValidation type="list" showErrorMessage="1" sqref="Y1:Z1 W1 O1" xr:uid="{EF0B38B4-7B83-4BE3-85A9-EAF0F929A2A7}">
      <formula1>"Open,Inprogress,Completed,TBD,NA"</formula1>
    </dataValidation>
    <dataValidation type="list" showErrorMessage="1" sqref="S1:T1 X1 AA1" xr:uid="{6425955B-4943-4463-9EA6-7C1F9BE26447}">
      <formula1>"No issues found,Issues observed(BacktoDev),DB Script tests in QA DB,NA,TBD"</formula1>
    </dataValidation>
    <dataValidation type="list" showErrorMessage="1" sqref="AB1" xr:uid="{271E05DA-2CCF-471B-91A2-ACC4670EF037}">
      <formula1>"Approved-Satisified AC,Not Approved(Back to Dev),NA,TBD"</formula1>
    </dataValidation>
    <dataValidation type="list" showErrorMessage="1" sqref="AC1" xr:uid="{C01CD32F-AACB-4497-8191-275014E7DB3B}">
      <formula1>"Pending-Waiting for Customer confirmation, Approved-Satisified AC,Not Approved-New minor changes requested(Back to Dev),NA,TBD"</formula1>
    </dataValidation>
    <dataValidation type="list" showErrorMessage="1" sqref="Q1" xr:uid="{B241D85E-AC88-4269-BF33-52E5EAEB4C8A}">
      <formula1>"Pass,Fail(BacktoDev),DB Script tests in QA DB,TBD"</formula1>
    </dataValidation>
    <dataValidation type="list" showErrorMessage="1" sqref="R1" xr:uid="{A1EEB004-571E-45B4-90BF-043B1EF2A010}">
      <formula1>"Qadir,Rijo,Karthik,None,TBD"</formula1>
    </dataValidation>
    <dataValidation type="list" showErrorMessage="1" sqref="P1" xr:uid="{65859ADD-8E1C-4E47-8C9E-EB0D3A5F2371}">
      <formula1>"Qadir,Rijo,Karthik,Sushmitha,None,TBD"</formula1>
    </dataValidation>
    <dataValidation type="list" allowBlank="1" showInputMessage="1" showErrorMessage="1" sqref="AE2:AE23" xr:uid="{29B03620-4C5A-43D8-8529-AF17EA780CAB}">
      <formula1>"Exceeds Expectation,Meets Expectation,Needs improvements"</formula1>
    </dataValidation>
  </dataValidations>
  <hyperlinks>
    <hyperlink ref="T5" r:id="rId1" xr:uid="{E023BBF0-5EF9-42DC-8125-93BE5B474CDA}"/>
    <hyperlink ref="T8" r:id="rId2" xr:uid="{23B8E439-096A-4991-B90E-1EB33F8D188B}"/>
    <hyperlink ref="T13" r:id="rId3" xr:uid="{5A806C24-33DD-4662-AEA3-6C2E74F49EF6}"/>
    <hyperlink ref="T14" r:id="rId4" xr:uid="{1EC1B6AB-CAD9-452F-B4CC-3378F3E004A5}"/>
    <hyperlink ref="T2" r:id="rId5" xr:uid="{8809850C-55CF-4452-A160-EA06AE4DAD4C}"/>
    <hyperlink ref="T21" r:id="rId6" xr:uid="{D567C9BC-1F6A-4909-BBCA-9AA0B863AB62}"/>
    <hyperlink ref="T20" r:id="rId7" xr:uid="{36A8C3A4-91EB-4A45-A44E-5C8058E3231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AD21DCD-D5E9-4FBB-AF46-F32D9B8B54DD}">
          <x14:formula1>
            <xm:f>Settings!$C$3:$C$20</xm:f>
          </x14:formula1>
          <xm:sqref>I2:I18 AD13:AD14 I20:I23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67430-8458-445D-9C86-C525010E75BB}">
  <dimension ref="A1:M12"/>
  <sheetViews>
    <sheetView topLeftCell="D7" workbookViewId="0">
      <selection activeCell="L2" sqref="L2"/>
    </sheetView>
  </sheetViews>
  <sheetFormatPr defaultRowHeight="12.75"/>
  <cols>
    <col min="1" max="1" width="4.5703125" customWidth="1"/>
    <col min="2" max="2" width="27.85546875" customWidth="1"/>
    <col min="3" max="3" width="11.140625" customWidth="1"/>
    <col min="7" max="7" width="61.5703125" customWidth="1"/>
    <col min="8" max="8" width="11.5703125" customWidth="1"/>
    <col min="11" max="11" width="24.140625" customWidth="1"/>
    <col min="12" max="12" width="19.7109375" customWidth="1"/>
    <col min="13" max="13" width="49.85546875" customWidth="1"/>
  </cols>
  <sheetData>
    <row r="1" spans="1:13" ht="27">
      <c r="A1" s="108" t="s">
        <v>266</v>
      </c>
      <c r="B1" s="108" t="s">
        <v>10</v>
      </c>
      <c r="C1" s="404" t="s">
        <v>267</v>
      </c>
      <c r="D1" s="404" t="s">
        <v>268</v>
      </c>
      <c r="E1" s="108" t="s">
        <v>269</v>
      </c>
      <c r="F1" s="404" t="s">
        <v>270</v>
      </c>
      <c r="G1" s="404" t="s">
        <v>271</v>
      </c>
      <c r="H1" s="108" t="s">
        <v>272</v>
      </c>
      <c r="I1" s="108" t="s">
        <v>273</v>
      </c>
      <c r="J1" s="108" t="s">
        <v>274</v>
      </c>
      <c r="K1" s="108" t="s">
        <v>275</v>
      </c>
      <c r="L1" s="332" t="s">
        <v>276</v>
      </c>
      <c r="M1" s="405" t="s">
        <v>277</v>
      </c>
    </row>
    <row r="2" spans="1:13" ht="87.75" customHeight="1">
      <c r="A2" s="93">
        <v>1</v>
      </c>
      <c r="B2" s="96" t="s">
        <v>1172</v>
      </c>
      <c r="C2" s="657">
        <v>26662</v>
      </c>
      <c r="D2" s="93"/>
      <c r="E2" s="96" t="s">
        <v>313</v>
      </c>
      <c r="F2" s="93" t="s">
        <v>522</v>
      </c>
      <c r="G2" s="96" t="s">
        <v>1167</v>
      </c>
      <c r="H2" s="93" t="s">
        <v>517</v>
      </c>
      <c r="I2" s="93" t="s">
        <v>518</v>
      </c>
      <c r="J2" s="93" t="s">
        <v>519</v>
      </c>
      <c r="K2" s="93" t="s">
        <v>576</v>
      </c>
      <c r="L2" s="74" t="s">
        <v>529</v>
      </c>
      <c r="M2" s="96" t="s">
        <v>1173</v>
      </c>
    </row>
    <row r="3" spans="1:13" ht="60">
      <c r="A3" s="93">
        <v>2</v>
      </c>
      <c r="B3" s="96" t="s">
        <v>1172</v>
      </c>
      <c r="C3" s="657">
        <v>26658</v>
      </c>
      <c r="D3" s="93"/>
      <c r="E3" s="93" t="s">
        <v>317</v>
      </c>
      <c r="F3" s="93" t="s">
        <v>522</v>
      </c>
      <c r="G3" s="96" t="s">
        <v>1174</v>
      </c>
      <c r="H3" s="93" t="s">
        <v>517</v>
      </c>
      <c r="I3" s="93" t="s">
        <v>518</v>
      </c>
      <c r="J3" s="93" t="s">
        <v>519</v>
      </c>
      <c r="K3" s="93" t="s">
        <v>576</v>
      </c>
      <c r="L3" s="74" t="s">
        <v>529</v>
      </c>
      <c r="M3" s="96" t="s">
        <v>1175</v>
      </c>
    </row>
    <row r="4" spans="1:13" ht="47.25" customHeight="1">
      <c r="A4" s="93">
        <v>3</v>
      </c>
      <c r="B4" s="96" t="s">
        <v>1172</v>
      </c>
      <c r="C4" s="143" t="s">
        <v>1176</v>
      </c>
      <c r="D4" s="93"/>
      <c r="E4" s="93" t="s">
        <v>315</v>
      </c>
      <c r="F4" s="93" t="s">
        <v>522</v>
      </c>
      <c r="G4" s="96" t="s">
        <v>1177</v>
      </c>
      <c r="H4" s="93" t="s">
        <v>517</v>
      </c>
      <c r="I4" s="93" t="s">
        <v>518</v>
      </c>
      <c r="J4" s="93" t="s">
        <v>525</v>
      </c>
      <c r="K4" s="93" t="s">
        <v>576</v>
      </c>
      <c r="L4" s="74" t="s">
        <v>529</v>
      </c>
      <c r="M4" s="96" t="s">
        <v>1178</v>
      </c>
    </row>
    <row r="5" spans="1:13" ht="36">
      <c r="A5" s="93">
        <v>4</v>
      </c>
      <c r="B5" s="96" t="s">
        <v>1172</v>
      </c>
      <c r="C5" s="143">
        <v>26687</v>
      </c>
      <c r="D5" s="93"/>
      <c r="E5" s="96" t="s">
        <v>313</v>
      </c>
      <c r="F5" s="93" t="s">
        <v>522</v>
      </c>
      <c r="G5" s="96" t="s">
        <v>1179</v>
      </c>
      <c r="H5" s="93" t="s">
        <v>517</v>
      </c>
      <c r="I5" s="93" t="s">
        <v>518</v>
      </c>
      <c r="J5" s="93" t="s">
        <v>525</v>
      </c>
      <c r="K5" s="93" t="s">
        <v>576</v>
      </c>
      <c r="L5" s="74" t="s">
        <v>529</v>
      </c>
      <c r="M5" s="96" t="s">
        <v>1180</v>
      </c>
    </row>
    <row r="6" spans="1:13" ht="36">
      <c r="A6" s="93">
        <v>5</v>
      </c>
      <c r="B6" s="96" t="s">
        <v>1172</v>
      </c>
      <c r="C6" s="657" t="s">
        <v>1181</v>
      </c>
      <c r="D6" s="93"/>
      <c r="E6" s="93" t="s">
        <v>317</v>
      </c>
      <c r="F6" s="93" t="s">
        <v>522</v>
      </c>
      <c r="G6" s="96" t="s">
        <v>1182</v>
      </c>
      <c r="H6" s="93" t="s">
        <v>517</v>
      </c>
      <c r="I6" s="93" t="s">
        <v>518</v>
      </c>
      <c r="J6" s="93" t="s">
        <v>519</v>
      </c>
      <c r="K6" s="93" t="s">
        <v>576</v>
      </c>
      <c r="L6" s="74" t="s">
        <v>529</v>
      </c>
      <c r="M6" s="96" t="s">
        <v>1183</v>
      </c>
    </row>
    <row r="7" spans="1:13" ht="72">
      <c r="A7" s="93">
        <v>6</v>
      </c>
      <c r="B7" s="96" t="s">
        <v>1172</v>
      </c>
      <c r="C7" s="657" t="s">
        <v>1115</v>
      </c>
      <c r="D7" s="93"/>
      <c r="E7" s="93" t="s">
        <v>1184</v>
      </c>
      <c r="F7" s="93" t="s">
        <v>522</v>
      </c>
      <c r="G7" s="96" t="s">
        <v>1185</v>
      </c>
      <c r="H7" s="93" t="s">
        <v>517</v>
      </c>
      <c r="I7" s="93" t="s">
        <v>518</v>
      </c>
      <c r="J7" s="93" t="s">
        <v>519</v>
      </c>
      <c r="K7" s="93" t="s">
        <v>576</v>
      </c>
      <c r="L7" s="74" t="s">
        <v>1186</v>
      </c>
      <c r="M7" s="96" t="s">
        <v>1187</v>
      </c>
    </row>
    <row r="8" spans="1:13" ht="62.25" customHeight="1">
      <c r="A8" s="93">
        <v>7</v>
      </c>
      <c r="B8" s="119" t="s">
        <v>1188</v>
      </c>
      <c r="C8" s="143">
        <v>26725</v>
      </c>
      <c r="D8" s="93"/>
      <c r="E8" s="96" t="s">
        <v>313</v>
      </c>
      <c r="F8" s="93" t="s">
        <v>522</v>
      </c>
      <c r="G8" s="93" t="s">
        <v>1189</v>
      </c>
      <c r="H8" s="93" t="s">
        <v>517</v>
      </c>
      <c r="I8" s="93" t="s">
        <v>518</v>
      </c>
      <c r="J8" s="93" t="s">
        <v>525</v>
      </c>
      <c r="K8" s="93" t="s">
        <v>576</v>
      </c>
      <c r="L8" s="74" t="s">
        <v>529</v>
      </c>
      <c r="M8" s="96" t="s">
        <v>1190</v>
      </c>
    </row>
    <row r="9" spans="1:13" ht="72">
      <c r="A9" s="118">
        <v>8</v>
      </c>
      <c r="B9" s="119" t="s">
        <v>1188</v>
      </c>
      <c r="C9" s="152">
        <v>25238</v>
      </c>
      <c r="D9" s="118"/>
      <c r="E9" s="119" t="s">
        <v>313</v>
      </c>
      <c r="F9" s="118" t="s">
        <v>522</v>
      </c>
      <c r="G9" s="119" t="s">
        <v>1191</v>
      </c>
      <c r="H9" s="118" t="s">
        <v>517</v>
      </c>
      <c r="I9" s="118" t="s">
        <v>518</v>
      </c>
      <c r="J9" s="118" t="s">
        <v>525</v>
      </c>
      <c r="K9" s="561" t="s">
        <v>329</v>
      </c>
      <c r="L9" s="664" t="s">
        <v>529</v>
      </c>
      <c r="M9" s="119" t="s">
        <v>1192</v>
      </c>
    </row>
    <row r="10" spans="1:13" ht="60">
      <c r="A10" s="93">
        <v>9</v>
      </c>
      <c r="B10" s="96" t="s">
        <v>1188</v>
      </c>
      <c r="C10" s="143">
        <v>25287</v>
      </c>
      <c r="D10" s="93"/>
      <c r="E10" s="96" t="s">
        <v>313</v>
      </c>
      <c r="F10" s="93" t="s">
        <v>522</v>
      </c>
      <c r="G10" s="96" t="s">
        <v>917</v>
      </c>
      <c r="H10" s="93" t="s">
        <v>517</v>
      </c>
      <c r="I10" s="93" t="s">
        <v>518</v>
      </c>
      <c r="J10" s="93" t="s">
        <v>525</v>
      </c>
      <c r="K10" s="490" t="s">
        <v>348</v>
      </c>
      <c r="L10" s="74" t="s">
        <v>529</v>
      </c>
      <c r="M10" s="96" t="s">
        <v>1193</v>
      </c>
    </row>
    <row r="11" spans="1:13" ht="60">
      <c r="A11" s="93">
        <v>10</v>
      </c>
      <c r="B11" s="96" t="s">
        <v>1172</v>
      </c>
      <c r="C11" s="93" t="s">
        <v>957</v>
      </c>
      <c r="D11" s="93"/>
      <c r="E11" s="93" t="s">
        <v>315</v>
      </c>
      <c r="F11" s="93" t="s">
        <v>522</v>
      </c>
      <c r="G11" s="93" t="s">
        <v>958</v>
      </c>
      <c r="H11" s="93" t="s">
        <v>517</v>
      </c>
      <c r="I11" s="93" t="s">
        <v>518</v>
      </c>
      <c r="J11" s="93" t="s">
        <v>519</v>
      </c>
      <c r="K11" s="490" t="s">
        <v>348</v>
      </c>
      <c r="L11" s="74" t="s">
        <v>529</v>
      </c>
      <c r="M11" s="96" t="s">
        <v>1194</v>
      </c>
    </row>
    <row r="12" spans="1:13">
      <c r="A12" s="93"/>
      <c r="B12" s="93"/>
      <c r="C12" s="93"/>
      <c r="D12" s="93"/>
      <c r="E12" s="93"/>
      <c r="F12" s="93"/>
      <c r="G12" s="93"/>
      <c r="H12" s="93"/>
      <c r="I12" s="93"/>
      <c r="J12" s="93"/>
      <c r="K12" s="93"/>
      <c r="L12" s="93"/>
      <c r="M12" s="93"/>
    </row>
  </sheetData>
  <conditionalFormatting sqref="K10:K11">
    <cfRule type="containsText" dxfId="734" priority="4" operator="containsText" text="Closed">
      <formula>NOT(ISERROR(SEARCH("Closed",K10)))</formula>
    </cfRule>
    <cfRule type="containsText" dxfId="733" priority="5" operator="containsText" text="Open">
      <formula>NOT(ISERROR(SEARCH("Open",K10)))</formula>
    </cfRule>
    <cfRule type="containsText" dxfId="732" priority="6" operator="containsText" text="Inprogress">
      <formula>NOT(ISERROR(SEARCH("Inprogress",K10)))</formula>
    </cfRule>
  </conditionalFormatting>
  <conditionalFormatting sqref="K9">
    <cfRule type="containsText" dxfId="731" priority="1" operator="containsText" text="Closed">
      <formula>NOT(ISERROR(SEARCH("Closed",K9)))</formula>
    </cfRule>
    <cfRule type="containsText" dxfId="730" priority="2" operator="containsText" text="Open">
      <formula>NOT(ISERROR(SEARCH("Open",K9)))</formula>
    </cfRule>
    <cfRule type="containsText" dxfId="729" priority="3" operator="containsText" text="Inprogress">
      <formula>NOT(ISERROR(SEARCH("Inprogress",K9)))</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A1C264EA-1B57-4F06-8E33-0C6DF2D42668}">
          <x14:formula1>
            <xm:f>Details!$A$2:$A$10</xm:f>
          </x14:formula1>
          <xm:sqref>L2:L11</xm:sqref>
        </x14:dataValidation>
        <x14:dataValidation type="list" allowBlank="1" showErrorMessage="1" xr:uid="{3D6B2702-B6BD-4577-BB8A-D1C680A79F6F}">
          <x14:formula1>
            <xm:f>Settings!$C$3:$C$20</xm:f>
          </x14:formula1>
          <xm:sqref>K9:K11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367C5-56D5-4C29-A6A0-03A53AA1FE8E}">
  <dimension ref="A1:AI31"/>
  <sheetViews>
    <sheetView workbookViewId="0">
      <pane ySplit="2" topLeftCell="A3" activePane="bottomLeft" state="frozen"/>
      <selection pane="bottomLeft"/>
    </sheetView>
  </sheetViews>
  <sheetFormatPr defaultRowHeight="12.75"/>
  <cols>
    <col min="1" max="1" width="3.140625" style="310" customWidth="1"/>
    <col min="2" max="2" width="10.28515625" style="311" customWidth="1"/>
    <col min="3" max="3" width="11" style="111" customWidth="1"/>
    <col min="4" max="4" width="34.42578125" style="282" customWidth="1"/>
    <col min="5" max="5" width="9.140625" style="111" bestFit="1" customWidth="1"/>
    <col min="6" max="6" width="6.140625" style="282" customWidth="1"/>
    <col min="7" max="8" width="11.140625" style="111" customWidth="1"/>
    <col min="9" max="9" width="40" style="282" customWidth="1"/>
    <col min="10" max="10" width="1.5703125" style="285" customWidth="1"/>
    <col min="11" max="11" width="10.42578125" style="282" customWidth="1"/>
    <col min="12" max="12" width="11.5703125" style="282" customWidth="1"/>
    <col min="13" max="13" width="20.85546875" style="311" customWidth="1"/>
    <col min="14" max="14" width="13.28515625" style="282" customWidth="1"/>
    <col min="15" max="15" width="14.5703125" style="282" customWidth="1"/>
    <col min="16" max="16" width="31.5703125" style="282" customWidth="1"/>
    <col min="17" max="17" width="10.42578125" style="282" customWidth="1"/>
    <col min="18" max="18" width="11.140625" style="282" customWidth="1"/>
    <col min="19" max="19" width="11.42578125" style="282" customWidth="1"/>
    <col min="20" max="20" width="16.28515625" style="282" customWidth="1"/>
    <col min="21" max="21" width="16.42578125" style="282" customWidth="1"/>
    <col min="22" max="22" width="14.85546875" style="282" customWidth="1"/>
    <col min="23" max="23" width="17.5703125" style="282" customWidth="1"/>
    <col min="24" max="24" width="27.140625" style="282" customWidth="1"/>
    <col min="25" max="25" width="26.7109375" style="282" customWidth="1"/>
    <col min="26" max="26" width="16.85546875" style="311" customWidth="1"/>
    <col min="27" max="33" width="10.42578125" style="282" bestFit="1" customWidth="1"/>
    <col min="34" max="35" width="9.42578125" style="282" bestFit="1" customWidth="1"/>
    <col min="36" max="36" width="9.140625" style="282" bestFit="1" customWidth="1"/>
    <col min="37" max="16384" width="9.140625" style="282"/>
  </cols>
  <sheetData>
    <row r="1" spans="1:35" ht="12.75" customHeight="1">
      <c r="A1" s="692" t="s">
        <v>266</v>
      </c>
      <c r="B1" s="685" t="s">
        <v>278</v>
      </c>
      <c r="C1" s="685" t="s">
        <v>279</v>
      </c>
      <c r="D1" s="685" t="s">
        <v>280</v>
      </c>
      <c r="E1" s="685" t="s">
        <v>1195</v>
      </c>
      <c r="F1" s="685" t="s">
        <v>1196</v>
      </c>
      <c r="G1" s="685" t="s">
        <v>269</v>
      </c>
      <c r="H1" s="685" t="s">
        <v>1197</v>
      </c>
      <c r="I1" s="687" t="s">
        <v>1198</v>
      </c>
      <c r="K1" s="688" t="s">
        <v>1199</v>
      </c>
      <c r="L1" s="689"/>
      <c r="M1" s="689"/>
      <c r="N1" s="689"/>
      <c r="O1" s="689"/>
      <c r="P1" s="689"/>
      <c r="Q1" s="689"/>
      <c r="R1" s="689"/>
      <c r="S1" s="689"/>
      <c r="T1" s="689"/>
      <c r="U1" s="689"/>
      <c r="V1" s="689"/>
      <c r="W1" s="689"/>
      <c r="X1" s="689"/>
      <c r="Y1" s="690"/>
      <c r="Z1" s="691" t="s">
        <v>1200</v>
      </c>
      <c r="AA1" s="691"/>
      <c r="AB1" s="691"/>
      <c r="AC1" s="691"/>
      <c r="AD1" s="691"/>
      <c r="AE1" s="691"/>
      <c r="AF1" s="691"/>
      <c r="AG1" s="691"/>
      <c r="AH1" s="691"/>
      <c r="AI1" s="691"/>
    </row>
    <row r="2" spans="1:35" ht="35.25" customHeight="1">
      <c r="A2" s="686"/>
      <c r="B2" s="686"/>
      <c r="C2" s="686"/>
      <c r="D2" s="686"/>
      <c r="E2" s="686"/>
      <c r="F2" s="686"/>
      <c r="G2" s="686"/>
      <c r="H2" s="686"/>
      <c r="I2" s="686"/>
      <c r="J2" s="282"/>
      <c r="K2" s="282" t="s">
        <v>286</v>
      </c>
      <c r="L2" s="282" t="s">
        <v>287</v>
      </c>
      <c r="M2" s="282" t="s">
        <v>288</v>
      </c>
      <c r="N2" s="282" t="s">
        <v>289</v>
      </c>
      <c r="O2" s="282" t="s">
        <v>290</v>
      </c>
      <c r="P2" s="282" t="s">
        <v>291</v>
      </c>
      <c r="Q2" s="282" t="s">
        <v>292</v>
      </c>
      <c r="R2" s="282" t="s">
        <v>293</v>
      </c>
      <c r="S2" s="282" t="s">
        <v>294</v>
      </c>
      <c r="T2" s="282" t="s">
        <v>1201</v>
      </c>
      <c r="U2" s="282" t="s">
        <v>296</v>
      </c>
      <c r="V2" s="282" t="s">
        <v>1202</v>
      </c>
      <c r="W2" s="282" t="s">
        <v>1201</v>
      </c>
      <c r="X2" s="282" t="s">
        <v>299</v>
      </c>
      <c r="Y2" s="282" t="s">
        <v>300</v>
      </c>
      <c r="Z2" s="331">
        <v>45616</v>
      </c>
      <c r="AA2" s="331">
        <v>45617</v>
      </c>
      <c r="AB2" s="331">
        <v>45618</v>
      </c>
      <c r="AC2" s="331">
        <v>45621</v>
      </c>
      <c r="AD2" s="331">
        <v>45622</v>
      </c>
      <c r="AE2" s="331">
        <v>45623</v>
      </c>
      <c r="AF2" s="331">
        <v>45624</v>
      </c>
      <c r="AG2" s="331">
        <v>45625</v>
      </c>
      <c r="AH2" s="331">
        <v>45628</v>
      </c>
      <c r="AI2" s="331">
        <v>45629</v>
      </c>
    </row>
    <row r="3" spans="1:35">
      <c r="A3" s="282">
        <v>1</v>
      </c>
      <c r="B3" s="282" t="s">
        <v>1203</v>
      </c>
      <c r="C3" s="282">
        <v>24315</v>
      </c>
      <c r="D3" s="282" t="s">
        <v>1204</v>
      </c>
      <c r="E3" s="282">
        <v>3</v>
      </c>
      <c r="G3" s="282" t="s">
        <v>317</v>
      </c>
      <c r="H3" s="282" t="s">
        <v>1205</v>
      </c>
      <c r="I3" s="282" t="s">
        <v>1206</v>
      </c>
      <c r="J3" s="282"/>
      <c r="K3" s="282" t="s">
        <v>1207</v>
      </c>
      <c r="L3" s="282" t="s">
        <v>1207</v>
      </c>
      <c r="M3" s="282" t="s">
        <v>1207</v>
      </c>
      <c r="N3" s="282" t="s">
        <v>1207</v>
      </c>
      <c r="O3" s="282" t="s">
        <v>1207</v>
      </c>
      <c r="S3" s="282" t="s">
        <v>1207</v>
      </c>
      <c r="T3" s="282" t="s">
        <v>1207</v>
      </c>
      <c r="U3" s="282" t="s">
        <v>1207</v>
      </c>
      <c r="W3" s="282" t="s">
        <v>1207</v>
      </c>
      <c r="X3" s="282" t="s">
        <v>1207</v>
      </c>
      <c r="Y3" s="282" t="s">
        <v>1207</v>
      </c>
      <c r="Z3" s="282" t="s">
        <v>723</v>
      </c>
    </row>
    <row r="4" spans="1:35">
      <c r="A4" s="282">
        <v>2</v>
      </c>
      <c r="B4" s="282" t="s">
        <v>1203</v>
      </c>
      <c r="C4" s="282">
        <v>24316</v>
      </c>
      <c r="D4" s="282" t="s">
        <v>1208</v>
      </c>
      <c r="E4" s="282">
        <v>2</v>
      </c>
      <c r="G4" s="282" t="s">
        <v>317</v>
      </c>
      <c r="H4" s="282" t="s">
        <v>1205</v>
      </c>
      <c r="I4" s="282" t="s">
        <v>1209</v>
      </c>
      <c r="J4" s="282"/>
      <c r="K4" s="282" t="s">
        <v>1207</v>
      </c>
      <c r="L4" s="282" t="s">
        <v>1207</v>
      </c>
      <c r="M4" s="282" t="s">
        <v>1207</v>
      </c>
      <c r="N4" s="282" t="s">
        <v>1207</v>
      </c>
      <c r="O4" s="282" t="s">
        <v>1207</v>
      </c>
      <c r="S4" s="282" t="s">
        <v>1207</v>
      </c>
      <c r="T4" s="282" t="s">
        <v>1207</v>
      </c>
      <c r="U4" s="282" t="s">
        <v>1207</v>
      </c>
      <c r="W4" s="282" t="s">
        <v>1207</v>
      </c>
      <c r="X4" s="282" t="s">
        <v>1207</v>
      </c>
      <c r="Y4" s="282" t="s">
        <v>1207</v>
      </c>
      <c r="Z4" s="282" t="s">
        <v>1210</v>
      </c>
    </row>
    <row r="5" spans="1:35">
      <c r="A5" s="282">
        <v>3</v>
      </c>
      <c r="B5" s="282" t="s">
        <v>1203</v>
      </c>
      <c r="C5" s="282">
        <v>24317</v>
      </c>
      <c r="D5" s="282" t="s">
        <v>1211</v>
      </c>
      <c r="E5" s="282">
        <v>1</v>
      </c>
      <c r="G5" s="282" t="s">
        <v>317</v>
      </c>
      <c r="H5" s="282" t="s">
        <v>1205</v>
      </c>
      <c r="I5" s="282" t="s">
        <v>1209</v>
      </c>
      <c r="J5" s="282"/>
      <c r="K5" s="282" t="s">
        <v>1207</v>
      </c>
      <c r="L5" s="282" t="s">
        <v>1207</v>
      </c>
      <c r="M5" s="282" t="s">
        <v>1207</v>
      </c>
      <c r="N5" s="282" t="s">
        <v>1207</v>
      </c>
      <c r="O5" s="282" t="s">
        <v>1207</v>
      </c>
      <c r="S5" s="282" t="s">
        <v>1207</v>
      </c>
      <c r="T5" s="282" t="s">
        <v>1207</v>
      </c>
      <c r="U5" s="282" t="s">
        <v>1207</v>
      </c>
      <c r="W5" s="282" t="s">
        <v>1207</v>
      </c>
      <c r="X5" s="282" t="s">
        <v>1207</v>
      </c>
      <c r="Y5" s="282" t="s">
        <v>1207</v>
      </c>
      <c r="Z5" s="282" t="s">
        <v>1210</v>
      </c>
    </row>
    <row r="6" spans="1:35">
      <c r="A6" s="282">
        <v>4</v>
      </c>
      <c r="B6" s="282" t="s">
        <v>1203</v>
      </c>
      <c r="C6" s="282">
        <v>46587</v>
      </c>
      <c r="D6" s="282" t="s">
        <v>1212</v>
      </c>
      <c r="E6" s="282">
        <v>3</v>
      </c>
      <c r="G6" s="282" t="s">
        <v>313</v>
      </c>
      <c r="H6" s="282" t="s">
        <v>1205</v>
      </c>
      <c r="I6" s="282" t="s">
        <v>1213</v>
      </c>
      <c r="J6" s="282"/>
      <c r="K6" s="282" t="s">
        <v>1207</v>
      </c>
      <c r="L6" s="282" t="s">
        <v>1207</v>
      </c>
      <c r="M6" s="282" t="s">
        <v>1207</v>
      </c>
      <c r="N6" s="282" t="s">
        <v>1207</v>
      </c>
      <c r="O6" s="282" t="s">
        <v>1207</v>
      </c>
      <c r="S6" s="282" t="s">
        <v>1207</v>
      </c>
      <c r="T6" s="282" t="s">
        <v>1207</v>
      </c>
      <c r="U6" s="282" t="s">
        <v>1207</v>
      </c>
      <c r="W6" s="282" t="s">
        <v>1207</v>
      </c>
      <c r="X6" s="282" t="s">
        <v>1207</v>
      </c>
      <c r="Y6" s="282" t="s">
        <v>1207</v>
      </c>
      <c r="Z6" s="282" t="s">
        <v>1214</v>
      </c>
    </row>
    <row r="7" spans="1:35">
      <c r="A7" s="282">
        <v>5</v>
      </c>
      <c r="B7" s="282" t="s">
        <v>1203</v>
      </c>
      <c r="C7" s="282">
        <v>46303</v>
      </c>
      <c r="D7" s="282" t="s">
        <v>1215</v>
      </c>
      <c r="E7" s="282">
        <v>2</v>
      </c>
      <c r="G7" s="282" t="s">
        <v>1216</v>
      </c>
      <c r="H7" s="282" t="s">
        <v>1205</v>
      </c>
      <c r="I7" s="282" t="s">
        <v>1217</v>
      </c>
      <c r="J7" s="282"/>
      <c r="K7" s="282" t="s">
        <v>1207</v>
      </c>
      <c r="L7" s="282" t="s">
        <v>1207</v>
      </c>
      <c r="M7" s="282" t="s">
        <v>1207</v>
      </c>
      <c r="N7" s="282" t="s">
        <v>1207</v>
      </c>
      <c r="O7" s="282" t="s">
        <v>1207</v>
      </c>
      <c r="S7" s="282" t="s">
        <v>1207</v>
      </c>
      <c r="T7" s="282" t="s">
        <v>1207</v>
      </c>
      <c r="U7" s="282" t="s">
        <v>1207</v>
      </c>
      <c r="W7" s="282" t="s">
        <v>1207</v>
      </c>
      <c r="X7" s="282" t="s">
        <v>1207</v>
      </c>
      <c r="Y7" s="282" t="s">
        <v>1207</v>
      </c>
      <c r="Z7" s="282" t="s">
        <v>1218</v>
      </c>
    </row>
    <row r="8" spans="1:35">
      <c r="A8" s="282">
        <v>6</v>
      </c>
      <c r="B8" s="282" t="s">
        <v>1219</v>
      </c>
      <c r="C8" s="282">
        <v>46200</v>
      </c>
      <c r="D8" s="282" t="s">
        <v>1220</v>
      </c>
      <c r="E8" s="282">
        <v>8</v>
      </c>
      <c r="G8" s="282" t="s">
        <v>315</v>
      </c>
      <c r="H8" s="282" t="s">
        <v>1205</v>
      </c>
      <c r="J8" s="282"/>
      <c r="K8" s="282" t="s">
        <v>1207</v>
      </c>
      <c r="L8" s="282" t="s">
        <v>1207</v>
      </c>
      <c r="M8" s="282" t="s">
        <v>1207</v>
      </c>
      <c r="N8" s="282" t="s">
        <v>1207</v>
      </c>
      <c r="O8" s="282" t="s">
        <v>1207</v>
      </c>
      <c r="S8" s="282" t="s">
        <v>1207</v>
      </c>
      <c r="T8" s="282" t="s">
        <v>1207</v>
      </c>
      <c r="U8" s="282" t="s">
        <v>1207</v>
      </c>
      <c r="W8" s="282" t="s">
        <v>1207</v>
      </c>
      <c r="X8" s="282" t="s">
        <v>1207</v>
      </c>
      <c r="Y8" s="282" t="s">
        <v>1207</v>
      </c>
      <c r="Z8" s="282" t="s">
        <v>1221</v>
      </c>
    </row>
    <row r="9" spans="1:35">
      <c r="A9" s="282">
        <v>7</v>
      </c>
      <c r="B9" s="282"/>
      <c r="C9" s="282"/>
      <c r="E9" s="282"/>
      <c r="G9" s="282"/>
      <c r="H9" s="282"/>
      <c r="J9" s="282"/>
      <c r="M9" s="282"/>
      <c r="Z9" s="282"/>
    </row>
    <row r="10" spans="1:35">
      <c r="A10" s="282">
        <v>8</v>
      </c>
      <c r="B10" s="282"/>
      <c r="C10" s="282"/>
      <c r="E10" s="282"/>
      <c r="G10" s="282"/>
      <c r="H10" s="282"/>
      <c r="J10" s="282"/>
      <c r="M10" s="282"/>
      <c r="Z10" s="282"/>
    </row>
    <row r="11" spans="1:35">
      <c r="A11" s="282">
        <v>9</v>
      </c>
      <c r="B11" s="282"/>
      <c r="C11" s="282"/>
      <c r="E11" s="282"/>
      <c r="G11" s="282"/>
      <c r="H11" s="282"/>
      <c r="J11" s="282"/>
      <c r="M11" s="282"/>
      <c r="Z11" s="282"/>
    </row>
    <row r="12" spans="1:35">
      <c r="A12" s="282">
        <v>10</v>
      </c>
      <c r="B12" s="282"/>
      <c r="C12" s="282"/>
      <c r="E12" s="282"/>
      <c r="G12" s="282"/>
      <c r="H12" s="282"/>
      <c r="J12" s="282"/>
      <c r="M12" s="282"/>
      <c r="Z12" s="282"/>
    </row>
    <row r="13" spans="1:35">
      <c r="A13" s="282"/>
      <c r="B13" s="282"/>
      <c r="C13" s="282"/>
      <c r="E13" s="282"/>
      <c r="G13" s="282"/>
      <c r="H13" s="282"/>
      <c r="J13" s="282"/>
      <c r="M13" s="282"/>
      <c r="Z13" s="282"/>
    </row>
    <row r="14" spans="1:35">
      <c r="A14" s="282"/>
      <c r="B14" s="282"/>
      <c r="C14" s="282"/>
      <c r="E14" s="282"/>
      <c r="G14" s="282"/>
      <c r="H14" s="282"/>
      <c r="J14" s="282"/>
      <c r="M14" s="282"/>
      <c r="Z14" s="282"/>
    </row>
    <row r="15" spans="1:35">
      <c r="A15" s="282"/>
      <c r="B15" s="282"/>
      <c r="C15" s="282"/>
      <c r="E15" s="282"/>
      <c r="G15" s="282"/>
      <c r="H15" s="282"/>
      <c r="J15" s="282"/>
      <c r="M15" s="282"/>
      <c r="Z15" s="282"/>
    </row>
    <row r="16" spans="1:35">
      <c r="A16" s="282"/>
      <c r="B16" s="282"/>
      <c r="C16" s="282"/>
      <c r="E16" s="282"/>
      <c r="G16" s="282"/>
      <c r="H16" s="282"/>
      <c r="J16" s="282"/>
      <c r="M16" s="282"/>
      <c r="Z16" s="282"/>
    </row>
    <row r="17" s="282" customFormat="1"/>
    <row r="18" s="282" customFormat="1"/>
    <row r="19" s="282" customFormat="1"/>
    <row r="20" s="282" customFormat="1"/>
    <row r="21" s="282" customFormat="1"/>
    <row r="22" s="282" customFormat="1"/>
    <row r="23" s="282" customFormat="1"/>
    <row r="24" s="282" customFormat="1"/>
    <row r="25" s="282" customFormat="1"/>
    <row r="26" s="282" customFormat="1"/>
    <row r="27" s="282" customFormat="1"/>
    <row r="28" s="282" customFormat="1"/>
    <row r="29" s="282" customFormat="1"/>
    <row r="30" s="282" customFormat="1"/>
    <row r="31" s="282" customFormat="1"/>
  </sheetData>
  <mergeCells count="11">
    <mergeCell ref="F1:F2"/>
    <mergeCell ref="A1:A2"/>
    <mergeCell ref="B1:B2"/>
    <mergeCell ref="C1:C2"/>
    <mergeCell ref="D1:D2"/>
    <mergeCell ref="E1:E2"/>
    <mergeCell ref="G1:G2"/>
    <mergeCell ref="H1:H2"/>
    <mergeCell ref="I1:I2"/>
    <mergeCell ref="K1:Y1"/>
    <mergeCell ref="Z1:AI1"/>
  </mergeCells>
  <conditionalFormatting sqref="H3:H11">
    <cfRule type="containsText" dxfId="728" priority="1" operator="containsText" text="Closed">
      <formula>NOT(ISERROR(SEARCH("Closed",H3)))</formula>
    </cfRule>
    <cfRule type="containsText" dxfId="727" priority="2" operator="containsText" text="Open">
      <formula>NOT(ISERROR(SEARCH("Open",H3)))</formula>
    </cfRule>
    <cfRule type="containsText" dxfId="726" priority="3" operator="containsText" text="Inprogress">
      <formula>NOT(ISERROR(SEARCH("Inprogress",H3)))</formula>
    </cfRule>
  </conditionalFormatting>
  <dataValidations count="12">
    <dataValidation type="list" showErrorMessage="1" sqref="M3:M8" xr:uid="{C1C8477C-5B02-44DB-AC6A-46D7E784A283}">
      <formula1>"Pass,Fail(BacktoDev),DB Script tests in QA DB,TBD"</formula1>
    </dataValidation>
    <dataValidation type="list" allowBlank="1" showErrorMessage="1" sqref="H3:H14" xr:uid="{C4AAC31F-708A-41A4-B7C2-60117E4BD37B}">
      <formula1>"Open,Inprogress,Closed"</formula1>
    </dataValidation>
    <dataValidation type="list" allowBlank="1" showErrorMessage="1" sqref="K15:K23" xr:uid="{84DA8E3E-7A0F-4B4A-9840-C4A76A642EC1}">
      <formula1>"Open,Inprogress,Closed,TBD,NA"</formula1>
    </dataValidation>
    <dataValidation type="list" showErrorMessage="1" sqref="V5:V6 P5:S5 R10:S11 Q9:Q11 S6:S8 U4:V4 S3:S4 U3 U5:U11 K3:K14" xr:uid="{A3D72145-A3C4-48AC-AFB4-CF57EF41AFAB}">
      <formula1>"Open,Inprogress,Completed,TBD,NA"</formula1>
    </dataValidation>
    <dataValidation type="list" showErrorMessage="1" sqref="M9:M14" xr:uid="{3D337F77-C930-4A82-A895-17D4C35835D1}">
      <formula1>"Pass,Fail(BacktoDev),DB Script tests in QA DB"</formula1>
    </dataValidation>
    <dataValidation type="list" showErrorMessage="1" sqref="N12:N14" xr:uid="{4D3D0703-8D38-405D-A4EC-FE88E46FD335}">
      <formula1>"Qadir,Rijo,Karthik,None"</formula1>
    </dataValidation>
    <dataValidation type="list" showErrorMessage="1" sqref="O12:O14" xr:uid="{9D0D8AF7-F5C1-42B1-8BBD-9D8F1990F1FD}">
      <formula1>"Pass,Fail(BacktoDev),DB Script tests in QA DB,NA"</formula1>
    </dataValidation>
    <dataValidation type="list" showErrorMessage="1" sqref="L3:L11" xr:uid="{1F33053F-CF34-46D6-BDF7-EF7381068C23}">
      <formula1>"Qadir,Rijo,Karthik,Sushmitha,None,TBD"</formula1>
    </dataValidation>
    <dataValidation type="list" showErrorMessage="1" sqref="O4:P4 O3 W3:W11 T3:T11 O5:O11" xr:uid="{824C8FF9-68F6-4F5F-B362-FB7AC9AA8170}">
      <formula1>"No issues found,Issues observed(BacktoDev),DB Script tests in QA DB,NA,TBD"</formula1>
    </dataValidation>
    <dataValidation type="list" showErrorMessage="1" sqref="N3:N11" xr:uid="{A2C3675A-8D27-4719-B062-3E16136DF9BD}">
      <formula1>"Qadir,Rijo,Karthik,None,TBD"</formula1>
    </dataValidation>
    <dataValidation type="list" showErrorMessage="1" sqref="X3:X11" xr:uid="{99728AE7-3CB7-4E18-A225-CB5E33CD47D0}">
      <formula1>"Approved-Satisified AC,Not Approved(Back to Dev),NA,TBD"</formula1>
    </dataValidation>
    <dataValidation type="list" showErrorMessage="1" sqref="Y3:Y11" xr:uid="{1C89CA27-CDA4-49D6-B947-BA76B745A329}">
      <formula1>"Pending-Waiting for Customer confirmation, Approved-Satisified AC,Not Approved-New minor changes requested(Back to Dev),NA,TBD"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3BBB0-4280-469C-B3E4-30F0B8155E0F}">
  <dimension ref="A1:AO17"/>
  <sheetViews>
    <sheetView topLeftCell="C1" workbookViewId="0">
      <selection activeCell="H2" sqref="H2"/>
    </sheetView>
  </sheetViews>
  <sheetFormatPr defaultRowHeight="12.75"/>
  <cols>
    <col min="2" max="2" width="12.140625" customWidth="1"/>
    <col min="5" max="5" width="17.5703125" customWidth="1"/>
    <col min="7" max="7" width="12.7109375" customWidth="1"/>
    <col min="8" max="8" width="39.42578125" customWidth="1"/>
    <col min="9" max="9" width="19.5703125" customWidth="1"/>
    <col min="13" max="13" width="10.42578125" bestFit="1" customWidth="1"/>
    <col min="15" max="15" width="12" customWidth="1"/>
    <col min="20" max="20" width="29.28515625" customWidth="1"/>
    <col min="21" max="22" width="9.42578125" bestFit="1" customWidth="1"/>
    <col min="30" max="30" width="46.85546875" customWidth="1"/>
    <col min="31" max="31" width="17.28515625" customWidth="1"/>
    <col min="32" max="32" width="27.28515625" customWidth="1"/>
    <col min="33" max="33" width="28.5703125" style="100" customWidth="1"/>
    <col min="34" max="34" width="21.140625" customWidth="1"/>
    <col min="35" max="35" width="42.7109375" customWidth="1"/>
    <col min="37" max="37" width="26.28515625" customWidth="1"/>
    <col min="38" max="38" width="28.42578125" customWidth="1"/>
    <col min="39" max="39" width="27.5703125" customWidth="1"/>
    <col min="40" max="40" width="19.140625" customWidth="1"/>
    <col min="41" max="41" width="20.140625" customWidth="1"/>
  </cols>
  <sheetData>
    <row r="1" spans="1:41" ht="67.5">
      <c r="A1" s="247" t="s">
        <v>266</v>
      </c>
      <c r="B1" s="247" t="s">
        <v>4</v>
      </c>
      <c r="C1" s="247" t="s">
        <v>2</v>
      </c>
      <c r="D1" s="247" t="s">
        <v>3</v>
      </c>
      <c r="E1" s="247" t="s">
        <v>278</v>
      </c>
      <c r="F1" s="247" t="s">
        <v>269</v>
      </c>
      <c r="G1" s="247" t="s">
        <v>279</v>
      </c>
      <c r="H1" s="658"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46050</v>
      </c>
      <c r="AG1" s="518">
        <v>46051</v>
      </c>
      <c r="AH1" s="651">
        <v>46052</v>
      </c>
      <c r="AI1" s="651">
        <v>46055</v>
      </c>
      <c r="AJ1" s="518">
        <v>46056</v>
      </c>
      <c r="AK1" s="651">
        <v>46057</v>
      </c>
      <c r="AL1" s="660">
        <v>46058</v>
      </c>
      <c r="AM1" s="651">
        <v>46059</v>
      </c>
      <c r="AN1" s="518">
        <v>46062</v>
      </c>
      <c r="AO1" s="518">
        <v>46063</v>
      </c>
    </row>
    <row r="2" spans="1:41" ht="72">
      <c r="A2" s="93">
        <v>1</v>
      </c>
      <c r="B2" s="96" t="s">
        <v>671</v>
      </c>
      <c r="C2" s="654">
        <v>46050</v>
      </c>
      <c r="D2" s="654">
        <v>46063</v>
      </c>
      <c r="E2" s="96" t="s">
        <v>1172</v>
      </c>
      <c r="F2" s="93" t="s">
        <v>465</v>
      </c>
      <c r="G2" s="93">
        <v>51599</v>
      </c>
      <c r="H2" s="93" t="s">
        <v>1160</v>
      </c>
      <c r="I2" s="490" t="s">
        <v>306</v>
      </c>
      <c r="J2" s="93">
        <v>2</v>
      </c>
      <c r="K2" s="93">
        <v>1.25</v>
      </c>
      <c r="L2" s="93">
        <v>5</v>
      </c>
      <c r="M2" s="96" t="s">
        <v>320</v>
      </c>
      <c r="N2" s="96" t="s">
        <v>320</v>
      </c>
      <c r="O2" s="96" t="s">
        <v>320</v>
      </c>
      <c r="P2" s="96" t="s">
        <v>320</v>
      </c>
      <c r="Q2" s="96" t="s">
        <v>320</v>
      </c>
      <c r="R2" s="96" t="s">
        <v>320</v>
      </c>
      <c r="S2" s="96" t="s">
        <v>320</v>
      </c>
      <c r="T2" s="96" t="s">
        <v>320</v>
      </c>
      <c r="U2" s="96" t="s">
        <v>320</v>
      </c>
      <c r="V2" s="96" t="s">
        <v>320</v>
      </c>
      <c r="W2" s="96" t="s">
        <v>320</v>
      </c>
      <c r="X2" s="96" t="s">
        <v>320</v>
      </c>
      <c r="Y2" s="96" t="s">
        <v>320</v>
      </c>
      <c r="Z2" s="96" t="s">
        <v>320</v>
      </c>
      <c r="AA2" s="96" t="s">
        <v>320</v>
      </c>
      <c r="AB2" s="96" t="s">
        <v>320</v>
      </c>
      <c r="AC2" s="96" t="s">
        <v>320</v>
      </c>
      <c r="AD2" s="93" t="s">
        <v>1222</v>
      </c>
      <c r="AE2" s="490" t="s">
        <v>423</v>
      </c>
      <c r="AF2" s="96" t="s">
        <v>1223</v>
      </c>
      <c r="AG2" s="96" t="s">
        <v>1224</v>
      </c>
      <c r="AH2" s="93" t="s">
        <v>434</v>
      </c>
      <c r="AI2" s="93" t="s">
        <v>434</v>
      </c>
      <c r="AJ2" s="93" t="s">
        <v>434</v>
      </c>
      <c r="AK2" s="93" t="s">
        <v>434</v>
      </c>
      <c r="AL2" s="96" t="s">
        <v>434</v>
      </c>
      <c r="AM2" s="96" t="s">
        <v>434</v>
      </c>
      <c r="AN2" s="93" t="s">
        <v>434</v>
      </c>
      <c r="AO2" s="93" t="s">
        <v>434</v>
      </c>
    </row>
    <row r="3" spans="1:41" ht="85.5" customHeight="1">
      <c r="A3" s="93">
        <v>2</v>
      </c>
      <c r="B3" s="96" t="s">
        <v>671</v>
      </c>
      <c r="C3" s="654">
        <v>46050</v>
      </c>
      <c r="D3" s="654">
        <v>46063</v>
      </c>
      <c r="E3" s="96" t="s">
        <v>1172</v>
      </c>
      <c r="F3" s="96" t="s">
        <v>313</v>
      </c>
      <c r="G3" s="129">
        <v>26662</v>
      </c>
      <c r="H3" s="96" t="s">
        <v>1167</v>
      </c>
      <c r="I3" s="490" t="s">
        <v>376</v>
      </c>
      <c r="J3" s="93">
        <v>3</v>
      </c>
      <c r="K3" s="93">
        <v>1.5</v>
      </c>
      <c r="L3" s="93">
        <v>5.75</v>
      </c>
      <c r="M3" s="654">
        <v>46050</v>
      </c>
      <c r="N3" s="654">
        <v>46050</v>
      </c>
      <c r="O3" s="96" t="s">
        <v>320</v>
      </c>
      <c r="P3" s="96" t="s">
        <v>320</v>
      </c>
      <c r="Q3" s="96" t="s">
        <v>320</v>
      </c>
      <c r="R3" s="96" t="s">
        <v>320</v>
      </c>
      <c r="S3" s="96" t="s">
        <v>320</v>
      </c>
      <c r="T3" s="96" t="s">
        <v>320</v>
      </c>
      <c r="U3" s="96" t="s">
        <v>320</v>
      </c>
      <c r="V3" s="96" t="s">
        <v>320</v>
      </c>
      <c r="W3" s="96" t="s">
        <v>320</v>
      </c>
      <c r="X3" s="96" t="s">
        <v>320</v>
      </c>
      <c r="Y3" s="96" t="s">
        <v>320</v>
      </c>
      <c r="Z3" s="96" t="s">
        <v>320</v>
      </c>
      <c r="AA3" s="96" t="s">
        <v>320</v>
      </c>
      <c r="AB3" s="96" t="s">
        <v>320</v>
      </c>
      <c r="AC3" s="96" t="s">
        <v>320</v>
      </c>
      <c r="AD3" s="96" t="s">
        <v>1225</v>
      </c>
      <c r="AE3" s="490" t="s">
        <v>423</v>
      </c>
      <c r="AF3" s="93" t="s">
        <v>1226</v>
      </c>
      <c r="AG3" s="96" t="s">
        <v>1227</v>
      </c>
      <c r="AH3" s="93" t="s">
        <v>434</v>
      </c>
      <c r="AI3" s="93" t="s">
        <v>434</v>
      </c>
      <c r="AJ3" s="93" t="s">
        <v>434</v>
      </c>
      <c r="AK3" s="93" t="s">
        <v>434</v>
      </c>
      <c r="AL3" s="96" t="s">
        <v>434</v>
      </c>
      <c r="AM3" s="96" t="s">
        <v>434</v>
      </c>
      <c r="AN3" s="93" t="s">
        <v>434</v>
      </c>
      <c r="AO3" s="93" t="s">
        <v>434</v>
      </c>
    </row>
    <row r="4" spans="1:41" ht="36">
      <c r="A4" s="93">
        <v>3</v>
      </c>
      <c r="B4" s="93" t="s">
        <v>302</v>
      </c>
      <c r="C4" s="654">
        <v>46050</v>
      </c>
      <c r="D4" s="654">
        <v>46063</v>
      </c>
      <c r="E4" s="96" t="s">
        <v>1172</v>
      </c>
      <c r="F4" s="93" t="s">
        <v>317</v>
      </c>
      <c r="G4" s="129">
        <v>26658</v>
      </c>
      <c r="H4" s="96" t="s">
        <v>1111</v>
      </c>
      <c r="I4" s="490" t="s">
        <v>376</v>
      </c>
      <c r="J4" s="93">
        <v>2</v>
      </c>
      <c r="K4" s="93">
        <v>1</v>
      </c>
      <c r="L4" s="93">
        <v>4</v>
      </c>
      <c r="M4" s="654">
        <v>46050</v>
      </c>
      <c r="N4" s="654">
        <v>46051</v>
      </c>
      <c r="O4" s="93" t="s">
        <v>12</v>
      </c>
      <c r="P4" s="93" t="s">
        <v>1228</v>
      </c>
      <c r="Q4" s="93" t="s">
        <v>316</v>
      </c>
      <c r="R4" s="93" t="s">
        <v>1229</v>
      </c>
      <c r="S4" s="93" t="s">
        <v>316</v>
      </c>
      <c r="T4" s="157" t="s">
        <v>1230</v>
      </c>
      <c r="U4" s="654">
        <v>46050</v>
      </c>
      <c r="V4" s="654">
        <v>46050</v>
      </c>
      <c r="W4" s="93" t="s">
        <v>320</v>
      </c>
      <c r="X4" s="93" t="s">
        <v>320</v>
      </c>
      <c r="Y4" s="93" t="s">
        <v>320</v>
      </c>
      <c r="Z4" s="93" t="s">
        <v>320</v>
      </c>
      <c r="AA4" s="93" t="s">
        <v>320</v>
      </c>
      <c r="AB4" s="93" t="s">
        <v>320</v>
      </c>
      <c r="AC4" s="93" t="s">
        <v>320</v>
      </c>
      <c r="AD4" s="93"/>
      <c r="AE4" s="490" t="s">
        <v>423</v>
      </c>
      <c r="AF4" s="96" t="s">
        <v>1231</v>
      </c>
      <c r="AG4" s="96" t="s">
        <v>1232</v>
      </c>
      <c r="AH4" s="93" t="s">
        <v>1233</v>
      </c>
      <c r="AI4" s="93" t="s">
        <v>1234</v>
      </c>
      <c r="AJ4" s="93" t="s">
        <v>1235</v>
      </c>
      <c r="AK4" s="93" t="s">
        <v>1235</v>
      </c>
      <c r="AL4" s="96" t="s">
        <v>12</v>
      </c>
      <c r="AM4" s="96" t="s">
        <v>434</v>
      </c>
      <c r="AN4" s="93" t="s">
        <v>434</v>
      </c>
      <c r="AO4" s="93" t="s">
        <v>434</v>
      </c>
    </row>
    <row r="5" spans="1:41" ht="60">
      <c r="A5" s="93">
        <v>4</v>
      </c>
      <c r="B5" s="93" t="s">
        <v>302</v>
      </c>
      <c r="C5" s="654">
        <v>46050</v>
      </c>
      <c r="D5" s="654">
        <v>46063</v>
      </c>
      <c r="E5" s="96" t="s">
        <v>1188</v>
      </c>
      <c r="F5" s="93" t="s">
        <v>465</v>
      </c>
      <c r="G5" s="129">
        <v>51706</v>
      </c>
      <c r="H5" s="96" t="s">
        <v>1236</v>
      </c>
      <c r="I5" s="490" t="s">
        <v>399</v>
      </c>
      <c r="J5" s="93">
        <v>3</v>
      </c>
      <c r="K5" s="93">
        <v>5</v>
      </c>
      <c r="L5" s="93">
        <v>20</v>
      </c>
      <c r="M5" s="654">
        <v>46051</v>
      </c>
      <c r="N5" s="93"/>
      <c r="O5" s="96" t="s">
        <v>320</v>
      </c>
      <c r="P5" s="96" t="s">
        <v>320</v>
      </c>
      <c r="Q5" s="96" t="s">
        <v>320</v>
      </c>
      <c r="R5" s="96" t="s">
        <v>320</v>
      </c>
      <c r="S5" s="96" t="s">
        <v>320</v>
      </c>
      <c r="T5" s="96" t="s">
        <v>320</v>
      </c>
      <c r="U5" s="96" t="s">
        <v>320</v>
      </c>
      <c r="V5" s="96" t="s">
        <v>320</v>
      </c>
      <c r="W5" s="96" t="s">
        <v>320</v>
      </c>
      <c r="X5" s="96" t="s">
        <v>320</v>
      </c>
      <c r="Y5" s="96" t="s">
        <v>320</v>
      </c>
      <c r="Z5" s="96" t="s">
        <v>320</v>
      </c>
      <c r="AA5" s="96" t="s">
        <v>320</v>
      </c>
      <c r="AB5" s="96" t="s">
        <v>320</v>
      </c>
      <c r="AC5" s="96" t="s">
        <v>320</v>
      </c>
      <c r="AD5" s="96" t="s">
        <v>1237</v>
      </c>
      <c r="AE5" s="490" t="s">
        <v>423</v>
      </c>
      <c r="AF5" s="93"/>
      <c r="AG5" s="96" t="s">
        <v>1238</v>
      </c>
      <c r="AH5" s="96" t="s">
        <v>1239</v>
      </c>
      <c r="AI5" s="93" t="s">
        <v>1240</v>
      </c>
      <c r="AJ5" s="93" t="s">
        <v>905</v>
      </c>
      <c r="AK5" s="93" t="s">
        <v>599</v>
      </c>
      <c r="AL5" s="96" t="s">
        <v>1241</v>
      </c>
      <c r="AM5" s="96" t="s">
        <v>1242</v>
      </c>
      <c r="AN5" s="96" t="s">
        <v>1243</v>
      </c>
      <c r="AO5" s="96" t="s">
        <v>1244</v>
      </c>
    </row>
    <row r="6" spans="1:41" ht="50.25" customHeight="1">
      <c r="A6" s="93">
        <v>5</v>
      </c>
      <c r="B6" s="93" t="s">
        <v>302</v>
      </c>
      <c r="C6" s="654">
        <v>46050</v>
      </c>
      <c r="D6" s="654">
        <v>46063</v>
      </c>
      <c r="E6" s="96" t="s">
        <v>1172</v>
      </c>
      <c r="F6" s="93" t="s">
        <v>313</v>
      </c>
      <c r="G6" s="93">
        <v>50622</v>
      </c>
      <c r="H6" s="96" t="s">
        <v>1245</v>
      </c>
      <c r="I6" s="490" t="s">
        <v>306</v>
      </c>
      <c r="J6" s="93">
        <v>3</v>
      </c>
      <c r="K6" s="93">
        <v>1</v>
      </c>
      <c r="L6" s="93">
        <v>4</v>
      </c>
      <c r="M6" s="654">
        <v>46051</v>
      </c>
      <c r="N6" s="654">
        <v>46051</v>
      </c>
      <c r="O6" s="96" t="s">
        <v>12</v>
      </c>
      <c r="P6" s="96" t="s">
        <v>315</v>
      </c>
      <c r="Q6" s="96" t="s">
        <v>316</v>
      </c>
      <c r="R6" s="96" t="s">
        <v>317</v>
      </c>
      <c r="S6" s="96" t="s">
        <v>316</v>
      </c>
      <c r="T6" s="130" t="s">
        <v>1246</v>
      </c>
      <c r="U6" s="654">
        <v>46051</v>
      </c>
      <c r="V6" s="654">
        <v>46051</v>
      </c>
      <c r="W6" s="96" t="s">
        <v>316</v>
      </c>
      <c r="X6" s="96" t="s">
        <v>319</v>
      </c>
      <c r="Y6" s="96" t="s">
        <v>319</v>
      </c>
      <c r="Z6" s="96" t="s">
        <v>320</v>
      </c>
      <c r="AA6" s="96" t="s">
        <v>316</v>
      </c>
      <c r="AB6" s="96" t="s">
        <v>316</v>
      </c>
      <c r="AC6" s="96" t="s">
        <v>316</v>
      </c>
      <c r="AD6" s="93"/>
      <c r="AE6" s="490" t="s">
        <v>423</v>
      </c>
      <c r="AF6" s="93"/>
      <c r="AG6" s="96" t="s">
        <v>1247</v>
      </c>
      <c r="AH6" s="96" t="s">
        <v>1248</v>
      </c>
      <c r="AI6" s="93" t="s">
        <v>434</v>
      </c>
      <c r="AJ6" s="93" t="s">
        <v>434</v>
      </c>
      <c r="AK6" s="93" t="s">
        <v>434</v>
      </c>
      <c r="AL6" s="96" t="s">
        <v>434</v>
      </c>
      <c r="AM6" s="96" t="s">
        <v>434</v>
      </c>
      <c r="AN6" s="93" t="s">
        <v>434</v>
      </c>
      <c r="AO6" s="93" t="s">
        <v>434</v>
      </c>
    </row>
    <row r="7" spans="1:41" ht="64.5" customHeight="1">
      <c r="A7" s="93">
        <v>6</v>
      </c>
      <c r="B7" s="93" t="s">
        <v>302</v>
      </c>
      <c r="C7" s="654">
        <v>46050</v>
      </c>
      <c r="D7" s="654">
        <v>46063</v>
      </c>
      <c r="E7" s="96" t="s">
        <v>1172</v>
      </c>
      <c r="F7" s="93" t="s">
        <v>315</v>
      </c>
      <c r="G7" s="93" t="s">
        <v>1176</v>
      </c>
      <c r="H7" s="96" t="s">
        <v>1177</v>
      </c>
      <c r="I7" s="490" t="s">
        <v>376</v>
      </c>
      <c r="J7" s="93">
        <v>5</v>
      </c>
      <c r="K7" s="93">
        <v>9.1199999999999992</v>
      </c>
      <c r="L7" s="93">
        <v>36.5</v>
      </c>
      <c r="M7" s="654">
        <v>46051</v>
      </c>
      <c r="N7" s="654">
        <v>46052</v>
      </c>
      <c r="O7" s="96" t="s">
        <v>12</v>
      </c>
      <c r="P7" s="118" t="s">
        <v>313</v>
      </c>
      <c r="Q7" s="96" t="s">
        <v>316</v>
      </c>
      <c r="R7" s="96" t="s">
        <v>317</v>
      </c>
      <c r="S7" s="96" t="s">
        <v>316</v>
      </c>
      <c r="T7" s="130" t="s">
        <v>1249</v>
      </c>
      <c r="U7" s="654">
        <v>46052</v>
      </c>
      <c r="V7" s="654">
        <v>46052</v>
      </c>
      <c r="W7" s="96" t="s">
        <v>316</v>
      </c>
      <c r="X7" s="96" t="s">
        <v>319</v>
      </c>
      <c r="Y7" s="96" t="s">
        <v>319</v>
      </c>
      <c r="Z7" s="96" t="s">
        <v>320</v>
      </c>
      <c r="AA7" s="96" t="s">
        <v>316</v>
      </c>
      <c r="AB7" s="96" t="s">
        <v>316</v>
      </c>
      <c r="AC7" s="96" t="s">
        <v>316</v>
      </c>
      <c r="AD7" s="93"/>
      <c r="AE7" s="490" t="s">
        <v>423</v>
      </c>
      <c r="AF7" s="93"/>
      <c r="AG7" s="96" t="s">
        <v>1250</v>
      </c>
      <c r="AH7" s="96" t="s">
        <v>1251</v>
      </c>
      <c r="AI7" s="96" t="s">
        <v>1252</v>
      </c>
      <c r="AJ7" s="96" t="s">
        <v>1253</v>
      </c>
      <c r="AK7" s="100" t="s">
        <v>1254</v>
      </c>
      <c r="AL7" s="96" t="s">
        <v>1255</v>
      </c>
      <c r="AM7" s="96" t="s">
        <v>1256</v>
      </c>
      <c r="AN7" s="96" t="s">
        <v>434</v>
      </c>
      <c r="AO7" s="96" t="s">
        <v>434</v>
      </c>
    </row>
    <row r="8" spans="1:41" ht="48">
      <c r="A8" s="118">
        <v>7</v>
      </c>
      <c r="B8" s="118" t="s">
        <v>302</v>
      </c>
      <c r="C8" s="655">
        <v>46050</v>
      </c>
      <c r="D8" s="655">
        <v>46063</v>
      </c>
      <c r="E8" s="119" t="s">
        <v>1172</v>
      </c>
      <c r="F8" s="118" t="s">
        <v>313</v>
      </c>
      <c r="G8" s="118">
        <v>26687</v>
      </c>
      <c r="H8" s="119" t="s">
        <v>1179</v>
      </c>
      <c r="I8" s="561" t="s">
        <v>376</v>
      </c>
      <c r="J8" s="118">
        <v>3</v>
      </c>
      <c r="K8" s="118">
        <v>1.5</v>
      </c>
      <c r="L8" s="118">
        <v>6</v>
      </c>
      <c r="M8" s="655">
        <v>46052</v>
      </c>
      <c r="N8" s="655">
        <v>46055</v>
      </c>
      <c r="O8" s="96" t="s">
        <v>320</v>
      </c>
      <c r="P8" s="96" t="s">
        <v>320</v>
      </c>
      <c r="Q8" s="96" t="s">
        <v>320</v>
      </c>
      <c r="R8" s="96" t="s">
        <v>320</v>
      </c>
      <c r="S8" s="96" t="s">
        <v>320</v>
      </c>
      <c r="T8" s="96" t="s">
        <v>320</v>
      </c>
      <c r="U8" s="96" t="s">
        <v>320</v>
      </c>
      <c r="V8" s="96" t="s">
        <v>320</v>
      </c>
      <c r="W8" s="96" t="s">
        <v>320</v>
      </c>
      <c r="X8" s="96" t="s">
        <v>320</v>
      </c>
      <c r="Y8" s="96" t="s">
        <v>320</v>
      </c>
      <c r="Z8" s="96" t="s">
        <v>320</v>
      </c>
      <c r="AA8" s="96" t="s">
        <v>320</v>
      </c>
      <c r="AB8" s="96" t="s">
        <v>320</v>
      </c>
      <c r="AC8" s="96" t="s">
        <v>320</v>
      </c>
      <c r="AD8" s="119" t="s">
        <v>1257</v>
      </c>
      <c r="AE8" s="490" t="s">
        <v>423</v>
      </c>
      <c r="AF8" s="118"/>
      <c r="AG8" s="119"/>
      <c r="AH8" s="119" t="s">
        <v>1258</v>
      </c>
      <c r="AI8" s="119" t="s">
        <v>1259</v>
      </c>
      <c r="AJ8" s="119" t="s">
        <v>1260</v>
      </c>
      <c r="AK8" s="119" t="s">
        <v>1261</v>
      </c>
      <c r="AL8" s="119" t="s">
        <v>434</v>
      </c>
      <c r="AM8" s="96" t="s">
        <v>434</v>
      </c>
      <c r="AN8" s="119" t="s">
        <v>434</v>
      </c>
      <c r="AO8" s="119" t="s">
        <v>434</v>
      </c>
    </row>
    <row r="9" spans="1:41" ht="60">
      <c r="A9" s="118">
        <v>8</v>
      </c>
      <c r="B9" s="118" t="s">
        <v>302</v>
      </c>
      <c r="C9" s="655">
        <v>46050</v>
      </c>
      <c r="D9" s="655">
        <v>46063</v>
      </c>
      <c r="E9" s="119" t="s">
        <v>1172</v>
      </c>
      <c r="F9" s="118" t="s">
        <v>317</v>
      </c>
      <c r="G9" s="134" t="s">
        <v>1181</v>
      </c>
      <c r="H9" s="119" t="s">
        <v>1182</v>
      </c>
      <c r="I9" s="118" t="s">
        <v>1262</v>
      </c>
      <c r="J9" s="118">
        <v>0</v>
      </c>
      <c r="K9" s="118">
        <v>2.75</v>
      </c>
      <c r="L9" s="118">
        <v>11</v>
      </c>
      <c r="M9" s="655">
        <v>46051</v>
      </c>
      <c r="N9" s="655">
        <v>46052</v>
      </c>
      <c r="O9" s="96" t="s">
        <v>12</v>
      </c>
      <c r="P9" s="118" t="s">
        <v>315</v>
      </c>
      <c r="Q9" s="118" t="s">
        <v>316</v>
      </c>
      <c r="R9" s="118" t="s">
        <v>1229</v>
      </c>
      <c r="S9" s="118" t="s">
        <v>316</v>
      </c>
      <c r="T9" s="569" t="s">
        <v>1263</v>
      </c>
      <c r="U9" s="649">
        <v>46052</v>
      </c>
      <c r="V9" s="649">
        <v>46053</v>
      </c>
      <c r="W9" s="118" t="s">
        <v>316</v>
      </c>
      <c r="X9" s="118" t="s">
        <v>319</v>
      </c>
      <c r="Y9" s="118" t="s">
        <v>1264</v>
      </c>
      <c r="Z9" s="118" t="s">
        <v>1264</v>
      </c>
      <c r="AA9" s="118" t="s">
        <v>1264</v>
      </c>
      <c r="AB9" s="118" t="s">
        <v>1264</v>
      </c>
      <c r="AC9" s="118" t="s">
        <v>1264</v>
      </c>
      <c r="AD9" s="118" t="s">
        <v>1265</v>
      </c>
      <c r="AE9" s="490" t="s">
        <v>423</v>
      </c>
      <c r="AF9" s="118"/>
      <c r="AG9" s="119"/>
      <c r="AH9" s="119" t="s">
        <v>1266</v>
      </c>
      <c r="AI9" s="119" t="s">
        <v>1267</v>
      </c>
      <c r="AJ9" s="119" t="s">
        <v>1268</v>
      </c>
      <c r="AK9" s="119" t="s">
        <v>434</v>
      </c>
      <c r="AL9" s="119" t="s">
        <v>434</v>
      </c>
      <c r="AM9" s="96" t="s">
        <v>434</v>
      </c>
      <c r="AN9" s="119" t="s">
        <v>434</v>
      </c>
      <c r="AO9" s="119" t="s">
        <v>434</v>
      </c>
    </row>
    <row r="10" spans="1:41" ht="84">
      <c r="A10" s="118">
        <v>9</v>
      </c>
      <c r="B10" s="118" t="s">
        <v>302</v>
      </c>
      <c r="C10" s="655">
        <v>46050</v>
      </c>
      <c r="D10" s="655">
        <v>46063</v>
      </c>
      <c r="E10" s="119" t="s">
        <v>1172</v>
      </c>
      <c r="F10" s="118" t="s">
        <v>317</v>
      </c>
      <c r="G10" s="134" t="s">
        <v>1115</v>
      </c>
      <c r="H10" s="119" t="s">
        <v>1185</v>
      </c>
      <c r="I10" s="118" t="s">
        <v>1262</v>
      </c>
      <c r="J10" s="118">
        <v>0</v>
      </c>
      <c r="K10" s="118">
        <v>0</v>
      </c>
      <c r="L10" s="118">
        <v>0</v>
      </c>
      <c r="M10" s="649">
        <v>46006</v>
      </c>
      <c r="N10" s="655">
        <v>46052</v>
      </c>
      <c r="O10" s="118" t="s">
        <v>320</v>
      </c>
      <c r="P10" s="118" t="s">
        <v>320</v>
      </c>
      <c r="Q10" s="118" t="s">
        <v>320</v>
      </c>
      <c r="R10" s="118" t="s">
        <v>320</v>
      </c>
      <c r="S10" s="118" t="s">
        <v>320</v>
      </c>
      <c r="T10" s="118" t="s">
        <v>320</v>
      </c>
      <c r="U10" s="118" t="s">
        <v>320</v>
      </c>
      <c r="V10" s="118" t="s">
        <v>320</v>
      </c>
      <c r="W10" s="118" t="s">
        <v>320</v>
      </c>
      <c r="X10" s="118" t="s">
        <v>320</v>
      </c>
      <c r="Y10" s="118" t="s">
        <v>320</v>
      </c>
      <c r="Z10" s="118" t="s">
        <v>320</v>
      </c>
      <c r="AA10" s="118" t="s">
        <v>320</v>
      </c>
      <c r="AB10" s="118" t="s">
        <v>320</v>
      </c>
      <c r="AC10" s="118" t="s">
        <v>320</v>
      </c>
      <c r="AD10" s="119" t="s">
        <v>1269</v>
      </c>
      <c r="AE10" s="490" t="s">
        <v>423</v>
      </c>
      <c r="AF10" s="118"/>
      <c r="AG10" s="119" t="s">
        <v>1270</v>
      </c>
      <c r="AH10" s="119"/>
      <c r="AI10" s="119" t="s">
        <v>1271</v>
      </c>
      <c r="AJ10" s="119" t="s">
        <v>1272</v>
      </c>
      <c r="AK10" s="119" t="s">
        <v>434</v>
      </c>
      <c r="AL10" s="119" t="s">
        <v>434</v>
      </c>
      <c r="AM10" s="96" t="s">
        <v>434</v>
      </c>
      <c r="AN10" s="119" t="s">
        <v>434</v>
      </c>
      <c r="AO10" s="119" t="s">
        <v>434</v>
      </c>
    </row>
    <row r="11" spans="1:41" ht="72">
      <c r="A11" s="93">
        <v>10</v>
      </c>
      <c r="B11" s="93" t="s">
        <v>302</v>
      </c>
      <c r="C11" s="654">
        <v>46050</v>
      </c>
      <c r="D11" s="654">
        <v>46063</v>
      </c>
      <c r="E11" s="96" t="s">
        <v>1188</v>
      </c>
      <c r="F11" s="93" t="s">
        <v>315</v>
      </c>
      <c r="G11" s="93" t="s">
        <v>1273</v>
      </c>
      <c r="H11" s="96" t="s">
        <v>1274</v>
      </c>
      <c r="I11" s="490" t="s">
        <v>306</v>
      </c>
      <c r="J11" s="93">
        <v>5</v>
      </c>
      <c r="K11" s="93">
        <v>5.75</v>
      </c>
      <c r="L11" s="93">
        <v>23</v>
      </c>
      <c r="M11" s="654">
        <v>46056</v>
      </c>
      <c r="N11" s="654">
        <v>46063</v>
      </c>
      <c r="O11" s="118" t="s">
        <v>320</v>
      </c>
      <c r="P11" s="118" t="s">
        <v>320</v>
      </c>
      <c r="Q11" s="118" t="s">
        <v>320</v>
      </c>
      <c r="R11" s="118" t="s">
        <v>320</v>
      </c>
      <c r="S11" s="118" t="s">
        <v>320</v>
      </c>
      <c r="T11" s="118" t="s">
        <v>320</v>
      </c>
      <c r="U11" s="118" t="s">
        <v>320</v>
      </c>
      <c r="V11" s="118" t="s">
        <v>320</v>
      </c>
      <c r="W11" s="118" t="s">
        <v>320</v>
      </c>
      <c r="X11" s="118" t="s">
        <v>320</v>
      </c>
      <c r="Y11" s="118" t="s">
        <v>320</v>
      </c>
      <c r="Z11" s="118" t="s">
        <v>320</v>
      </c>
      <c r="AA11" s="118" t="s">
        <v>320</v>
      </c>
      <c r="AB11" s="118" t="s">
        <v>320</v>
      </c>
      <c r="AC11" s="118" t="s">
        <v>320</v>
      </c>
      <c r="AD11" s="96" t="s">
        <v>1275</v>
      </c>
      <c r="AE11" s="490" t="s">
        <v>423</v>
      </c>
      <c r="AF11" s="93"/>
      <c r="AG11" s="96"/>
      <c r="AH11" s="93"/>
      <c r="AI11" s="93"/>
      <c r="AJ11" s="96" t="s">
        <v>1276</v>
      </c>
      <c r="AK11" s="93" t="s">
        <v>1277</v>
      </c>
      <c r="AL11" s="96" t="s">
        <v>1278</v>
      </c>
      <c r="AM11" s="96" t="s">
        <v>493</v>
      </c>
      <c r="AN11" s="93" t="s">
        <v>1279</v>
      </c>
      <c r="AO11" s="93" t="s">
        <v>434</v>
      </c>
    </row>
    <row r="12" spans="1:41" ht="24">
      <c r="A12" s="93">
        <v>11</v>
      </c>
      <c r="B12" s="93" t="s">
        <v>302</v>
      </c>
      <c r="C12" s="654">
        <v>46050</v>
      </c>
      <c r="D12" s="654">
        <v>46063</v>
      </c>
      <c r="E12" s="96" t="s">
        <v>1172</v>
      </c>
      <c r="F12" s="93" t="s">
        <v>317</v>
      </c>
      <c r="G12" s="93">
        <v>51683</v>
      </c>
      <c r="H12" s="93" t="s">
        <v>1280</v>
      </c>
      <c r="I12" s="490" t="s">
        <v>399</v>
      </c>
      <c r="J12" s="93">
        <v>5</v>
      </c>
      <c r="K12" s="93">
        <v>4.125</v>
      </c>
      <c r="L12" s="93">
        <v>16.5</v>
      </c>
      <c r="M12" s="171">
        <v>46055</v>
      </c>
      <c r="N12" s="118" t="s">
        <v>320</v>
      </c>
      <c r="O12" s="118" t="s">
        <v>320</v>
      </c>
      <c r="P12" s="118" t="s">
        <v>320</v>
      </c>
      <c r="Q12" s="118" t="s">
        <v>320</v>
      </c>
      <c r="R12" s="118" t="s">
        <v>320</v>
      </c>
      <c r="S12" s="118" t="s">
        <v>320</v>
      </c>
      <c r="T12" s="118" t="s">
        <v>320</v>
      </c>
      <c r="U12" s="118" t="s">
        <v>320</v>
      </c>
      <c r="V12" s="118" t="s">
        <v>320</v>
      </c>
      <c r="W12" s="118" t="s">
        <v>320</v>
      </c>
      <c r="X12" s="118" t="s">
        <v>320</v>
      </c>
      <c r="Y12" s="118" t="s">
        <v>320</v>
      </c>
      <c r="Z12" s="118" t="s">
        <v>320</v>
      </c>
      <c r="AA12" s="118" t="s">
        <v>320</v>
      </c>
      <c r="AB12" s="118" t="s">
        <v>320</v>
      </c>
      <c r="AC12" s="118" t="s">
        <v>320</v>
      </c>
      <c r="AD12" s="96" t="s">
        <v>1281</v>
      </c>
      <c r="AE12" s="490" t="s">
        <v>423</v>
      </c>
      <c r="AF12" s="93"/>
      <c r="AG12" s="96"/>
      <c r="AH12" s="93"/>
      <c r="AI12" s="93"/>
      <c r="AJ12" s="93" t="s">
        <v>1282</v>
      </c>
      <c r="AK12" s="93" t="s">
        <v>1283</v>
      </c>
      <c r="AL12" s="96" t="s">
        <v>1284</v>
      </c>
      <c r="AM12" s="96"/>
      <c r="AN12" s="93" t="s">
        <v>1285</v>
      </c>
      <c r="AO12" s="93" t="s">
        <v>1286</v>
      </c>
    </row>
    <row r="13" spans="1:41" ht="60">
      <c r="A13" s="118">
        <v>12</v>
      </c>
      <c r="B13" s="118" t="s">
        <v>302</v>
      </c>
      <c r="C13" s="655">
        <v>46050</v>
      </c>
      <c r="D13" s="655">
        <v>46063</v>
      </c>
      <c r="E13" s="119" t="s">
        <v>1188</v>
      </c>
      <c r="F13" s="118" t="s">
        <v>313</v>
      </c>
      <c r="G13" s="118">
        <v>26725</v>
      </c>
      <c r="H13" s="119" t="s">
        <v>1189</v>
      </c>
      <c r="I13" s="561" t="s">
        <v>376</v>
      </c>
      <c r="J13" s="118">
        <v>3</v>
      </c>
      <c r="K13" s="118">
        <v>1</v>
      </c>
      <c r="L13" s="118">
        <v>4</v>
      </c>
      <c r="M13" s="655">
        <v>46056</v>
      </c>
      <c r="N13" s="655">
        <v>46057</v>
      </c>
      <c r="O13" s="96" t="s">
        <v>12</v>
      </c>
      <c r="P13" s="96" t="s">
        <v>315</v>
      </c>
      <c r="Q13" s="96" t="s">
        <v>316</v>
      </c>
      <c r="R13" s="96" t="s">
        <v>317</v>
      </c>
      <c r="S13" s="96" t="s">
        <v>316</v>
      </c>
      <c r="T13" s="170" t="s">
        <v>1287</v>
      </c>
      <c r="U13" s="654">
        <v>46057</v>
      </c>
      <c r="V13" s="654">
        <v>46057</v>
      </c>
      <c r="W13" s="96" t="s">
        <v>316</v>
      </c>
      <c r="X13" s="96" t="s">
        <v>319</v>
      </c>
      <c r="Y13" s="96" t="s">
        <v>319</v>
      </c>
      <c r="Z13" s="96" t="s">
        <v>320</v>
      </c>
      <c r="AA13" s="96" t="s">
        <v>316</v>
      </c>
      <c r="AB13" s="96" t="s">
        <v>316</v>
      </c>
      <c r="AC13" s="96" t="s">
        <v>316</v>
      </c>
      <c r="AD13" s="118"/>
      <c r="AE13" s="490" t="s">
        <v>423</v>
      </c>
      <c r="AF13" s="118"/>
      <c r="AG13" s="119"/>
      <c r="AH13" s="118"/>
      <c r="AI13" s="118"/>
      <c r="AJ13" s="118"/>
      <c r="AK13" s="119" t="s">
        <v>1288</v>
      </c>
      <c r="AL13" s="119" t="s">
        <v>1289</v>
      </c>
      <c r="AM13" s="119" t="s">
        <v>1290</v>
      </c>
      <c r="AN13" s="118" t="s">
        <v>434</v>
      </c>
      <c r="AO13" s="118" t="s">
        <v>434</v>
      </c>
    </row>
    <row r="14" spans="1:41" ht="36">
      <c r="A14" s="118">
        <v>13</v>
      </c>
      <c r="B14" s="118" t="s">
        <v>302</v>
      </c>
      <c r="C14" s="655">
        <v>46050</v>
      </c>
      <c r="D14" s="655">
        <v>46063</v>
      </c>
      <c r="E14" s="119" t="s">
        <v>1172</v>
      </c>
      <c r="F14" s="118" t="s">
        <v>313</v>
      </c>
      <c r="G14" s="118">
        <v>87259</v>
      </c>
      <c r="H14" s="119" t="s">
        <v>1291</v>
      </c>
      <c r="I14" s="561" t="s">
        <v>306</v>
      </c>
      <c r="J14" s="118">
        <v>0</v>
      </c>
      <c r="K14" s="118">
        <v>1</v>
      </c>
      <c r="L14" s="118">
        <v>4</v>
      </c>
      <c r="M14" s="96" t="s">
        <v>320</v>
      </c>
      <c r="N14" s="96" t="s">
        <v>320</v>
      </c>
      <c r="O14" s="96" t="s">
        <v>320</v>
      </c>
      <c r="P14" s="96" t="s">
        <v>320</v>
      </c>
      <c r="Q14" s="96" t="s">
        <v>320</v>
      </c>
      <c r="R14" s="96" t="s">
        <v>320</v>
      </c>
      <c r="S14" s="96" t="s">
        <v>320</v>
      </c>
      <c r="T14" s="96" t="s">
        <v>320</v>
      </c>
      <c r="U14" s="96" t="s">
        <v>320</v>
      </c>
      <c r="V14" s="96" t="s">
        <v>320</v>
      </c>
      <c r="W14" s="96" t="s">
        <v>320</v>
      </c>
      <c r="X14" s="96" t="s">
        <v>320</v>
      </c>
      <c r="Y14" s="96" t="s">
        <v>320</v>
      </c>
      <c r="Z14" s="96" t="s">
        <v>320</v>
      </c>
      <c r="AA14" s="96" t="s">
        <v>320</v>
      </c>
      <c r="AB14" s="96" t="s">
        <v>320</v>
      </c>
      <c r="AC14" s="96" t="s">
        <v>320</v>
      </c>
      <c r="AD14" s="119" t="s">
        <v>1292</v>
      </c>
      <c r="AE14" s="490" t="s">
        <v>423</v>
      </c>
      <c r="AF14" s="118"/>
      <c r="AG14" s="119"/>
      <c r="AH14" s="118"/>
      <c r="AI14" s="118"/>
      <c r="AJ14" s="118"/>
      <c r="AK14" s="118" t="s">
        <v>1293</v>
      </c>
      <c r="AL14" s="119" t="s">
        <v>434</v>
      </c>
      <c r="AM14" s="96" t="s">
        <v>434</v>
      </c>
      <c r="AN14" s="118" t="s">
        <v>434</v>
      </c>
      <c r="AO14" s="118" t="s">
        <v>434</v>
      </c>
    </row>
    <row r="15" spans="1:41" ht="60">
      <c r="A15" s="118">
        <v>14</v>
      </c>
      <c r="B15" s="118" t="s">
        <v>302</v>
      </c>
      <c r="C15" s="655">
        <v>46050</v>
      </c>
      <c r="D15" s="655">
        <v>46063</v>
      </c>
      <c r="E15" s="119" t="s">
        <v>1188</v>
      </c>
      <c r="F15" s="118" t="s">
        <v>313</v>
      </c>
      <c r="G15" s="118">
        <v>25238</v>
      </c>
      <c r="H15" s="119" t="s">
        <v>1191</v>
      </c>
      <c r="I15" s="561" t="s">
        <v>329</v>
      </c>
      <c r="J15" s="118">
        <v>3</v>
      </c>
      <c r="K15" s="118">
        <v>2.5</v>
      </c>
      <c r="L15" s="118">
        <v>10</v>
      </c>
      <c r="M15" s="655">
        <v>46058</v>
      </c>
      <c r="N15" s="655">
        <v>46062</v>
      </c>
      <c r="O15" s="119" t="s">
        <v>12</v>
      </c>
      <c r="P15" s="119" t="s">
        <v>315</v>
      </c>
      <c r="Q15" s="119" t="s">
        <v>316</v>
      </c>
      <c r="R15" s="119" t="s">
        <v>317</v>
      </c>
      <c r="S15" s="119" t="s">
        <v>316</v>
      </c>
      <c r="T15" s="170" t="s">
        <v>1294</v>
      </c>
      <c r="U15" s="655">
        <v>46062</v>
      </c>
      <c r="V15" s="655">
        <v>46062</v>
      </c>
      <c r="W15" s="119" t="s">
        <v>316</v>
      </c>
      <c r="X15" s="119" t="s">
        <v>319</v>
      </c>
      <c r="Y15" s="119" t="s">
        <v>319</v>
      </c>
      <c r="Z15" s="119" t="s">
        <v>320</v>
      </c>
      <c r="AA15" s="119" t="s">
        <v>316</v>
      </c>
      <c r="AB15" s="119" t="s">
        <v>316</v>
      </c>
      <c r="AC15" s="119" t="s">
        <v>316</v>
      </c>
      <c r="AD15" s="118" t="s">
        <v>411</v>
      </c>
      <c r="AE15" s="490" t="s">
        <v>423</v>
      </c>
      <c r="AF15" s="118"/>
      <c r="AG15" s="119"/>
      <c r="AH15" s="118"/>
      <c r="AI15" s="118"/>
      <c r="AJ15" s="118"/>
      <c r="AK15" s="118"/>
      <c r="AL15" s="119" t="s">
        <v>1295</v>
      </c>
      <c r="AM15" s="119" t="s">
        <v>1296</v>
      </c>
      <c r="AN15" s="119" t="s">
        <v>1297</v>
      </c>
      <c r="AO15" s="118" t="s">
        <v>1298</v>
      </c>
    </row>
    <row r="16" spans="1:41" ht="36">
      <c r="A16" s="118">
        <v>15</v>
      </c>
      <c r="B16" s="118" t="s">
        <v>302</v>
      </c>
      <c r="C16" s="655">
        <v>46050</v>
      </c>
      <c r="D16" s="655">
        <v>46063</v>
      </c>
      <c r="E16" s="119" t="s">
        <v>1188</v>
      </c>
      <c r="F16" s="118" t="s">
        <v>313</v>
      </c>
      <c r="G16" s="118">
        <v>25287</v>
      </c>
      <c r="H16" s="119" t="s">
        <v>917</v>
      </c>
      <c r="I16" s="561" t="s">
        <v>348</v>
      </c>
      <c r="J16" s="118">
        <v>3</v>
      </c>
      <c r="K16" s="118">
        <v>1</v>
      </c>
      <c r="L16" s="118">
        <v>4</v>
      </c>
      <c r="M16" s="655">
        <v>46063</v>
      </c>
      <c r="N16" s="96" t="s">
        <v>320</v>
      </c>
      <c r="O16" s="119" t="s">
        <v>320</v>
      </c>
      <c r="P16" s="119" t="s">
        <v>320</v>
      </c>
      <c r="Q16" s="119" t="s">
        <v>320</v>
      </c>
      <c r="R16" s="119" t="s">
        <v>320</v>
      </c>
      <c r="S16" s="119" t="s">
        <v>320</v>
      </c>
      <c r="T16" s="119" t="s">
        <v>320</v>
      </c>
      <c r="U16" s="119" t="s">
        <v>320</v>
      </c>
      <c r="V16" s="119" t="s">
        <v>320</v>
      </c>
      <c r="W16" s="119" t="s">
        <v>320</v>
      </c>
      <c r="X16" s="119" t="s">
        <v>320</v>
      </c>
      <c r="Y16" s="119" t="s">
        <v>320</v>
      </c>
      <c r="Z16" s="119" t="s">
        <v>320</v>
      </c>
      <c r="AA16" s="119" t="s">
        <v>320</v>
      </c>
      <c r="AB16" s="119" t="s">
        <v>320</v>
      </c>
      <c r="AC16" s="119" t="s">
        <v>320</v>
      </c>
      <c r="AD16" s="119" t="s">
        <v>1299</v>
      </c>
      <c r="AE16" s="490" t="s">
        <v>423</v>
      </c>
      <c r="AF16" s="117"/>
      <c r="AG16" s="96"/>
      <c r="AH16" s="93"/>
      <c r="AI16" s="93"/>
      <c r="AJ16" s="93"/>
      <c r="AK16" s="93"/>
      <c r="AL16" s="93"/>
      <c r="AM16" s="93"/>
      <c r="AN16" s="93"/>
      <c r="AO16" s="93" t="s">
        <v>790</v>
      </c>
    </row>
    <row r="17" spans="1:41" ht="48">
      <c r="A17" s="93">
        <v>16</v>
      </c>
      <c r="B17" s="93" t="s">
        <v>302</v>
      </c>
      <c r="C17" s="654">
        <v>46050</v>
      </c>
      <c r="D17" s="654">
        <v>46063</v>
      </c>
      <c r="E17" s="96" t="s">
        <v>1172</v>
      </c>
      <c r="F17" s="93" t="s">
        <v>315</v>
      </c>
      <c r="G17" s="93" t="s">
        <v>957</v>
      </c>
      <c r="H17" s="96" t="s">
        <v>958</v>
      </c>
      <c r="I17" s="490" t="s">
        <v>348</v>
      </c>
      <c r="J17" s="93">
        <v>0</v>
      </c>
      <c r="K17" s="93">
        <v>0.83199999999999996</v>
      </c>
      <c r="L17" s="93">
        <v>3.33</v>
      </c>
      <c r="M17" s="654">
        <v>46062</v>
      </c>
      <c r="N17" s="96" t="s">
        <v>320</v>
      </c>
      <c r="O17" s="96" t="s">
        <v>320</v>
      </c>
      <c r="P17" s="96" t="s">
        <v>320</v>
      </c>
      <c r="Q17" s="96" t="s">
        <v>320</v>
      </c>
      <c r="R17" s="96" t="s">
        <v>320</v>
      </c>
      <c r="S17" s="96" t="s">
        <v>320</v>
      </c>
      <c r="T17" s="96" t="s">
        <v>320</v>
      </c>
      <c r="U17" s="96" t="s">
        <v>320</v>
      </c>
      <c r="V17" s="96" t="s">
        <v>320</v>
      </c>
      <c r="W17" s="96" t="s">
        <v>320</v>
      </c>
      <c r="X17" s="96" t="s">
        <v>320</v>
      </c>
      <c r="Y17" s="96" t="s">
        <v>320</v>
      </c>
      <c r="Z17" s="96" t="s">
        <v>320</v>
      </c>
      <c r="AA17" s="96" t="s">
        <v>320</v>
      </c>
      <c r="AB17" s="96" t="s">
        <v>320</v>
      </c>
      <c r="AC17" s="96" t="s">
        <v>320</v>
      </c>
      <c r="AD17" s="96" t="s">
        <v>1300</v>
      </c>
      <c r="AE17" s="490" t="s">
        <v>423</v>
      </c>
      <c r="AF17" s="620"/>
      <c r="AG17" s="96"/>
      <c r="AH17" s="93"/>
      <c r="AI17" s="93"/>
      <c r="AJ17" s="93"/>
      <c r="AK17" s="93"/>
      <c r="AL17" s="93"/>
      <c r="AM17" s="93"/>
      <c r="AN17" s="93"/>
      <c r="AO17" s="93"/>
    </row>
  </sheetData>
  <conditionalFormatting sqref="J1">
    <cfRule type="containsText" dxfId="725" priority="13" operator="containsText" text="Closed">
      <formula>NOT(ISERROR(SEARCH("Closed",J1)))</formula>
    </cfRule>
    <cfRule type="containsText" dxfId="724" priority="14" operator="containsText" text="Open">
      <formula>NOT(ISERROR(SEARCH("Open",J1)))</formula>
    </cfRule>
    <cfRule type="containsText" dxfId="723" priority="15" operator="containsText" text="Inprogress">
      <formula>NOT(ISERROR(SEARCH("Inprogress",J1)))</formula>
    </cfRule>
  </conditionalFormatting>
  <conditionalFormatting sqref="I3:I8">
    <cfRule type="containsText" dxfId="722" priority="10" operator="containsText" text="Closed">
      <formula>NOT(ISERROR(SEARCH("Closed",I3)))</formula>
    </cfRule>
    <cfRule type="containsText" dxfId="721" priority="11" operator="containsText" text="Open">
      <formula>NOT(ISERROR(SEARCH("Open",I3)))</formula>
    </cfRule>
    <cfRule type="containsText" dxfId="720" priority="12" operator="containsText" text="Inprogress">
      <formula>NOT(ISERROR(SEARCH("Inprogress",I3)))</formula>
    </cfRule>
  </conditionalFormatting>
  <conditionalFormatting sqref="I2">
    <cfRule type="containsText" dxfId="719" priority="7" operator="containsText" text="Closed">
      <formula>NOT(ISERROR(SEARCH("Closed",I2)))</formula>
    </cfRule>
    <cfRule type="containsText" dxfId="718" priority="8" operator="containsText" text="Open">
      <formula>NOT(ISERROR(SEARCH("Open",I2)))</formula>
    </cfRule>
    <cfRule type="containsText" dxfId="717" priority="9" operator="containsText" text="Inprogress">
      <formula>NOT(ISERROR(SEARCH("Inprogress",I2)))</formula>
    </cfRule>
  </conditionalFormatting>
  <conditionalFormatting sqref="I11:I12">
    <cfRule type="containsText" dxfId="716" priority="4" operator="containsText" text="Closed">
      <formula>NOT(ISERROR(SEARCH("Closed",I11)))</formula>
    </cfRule>
    <cfRule type="containsText" dxfId="715" priority="5" operator="containsText" text="Open">
      <formula>NOT(ISERROR(SEARCH("Open",I11)))</formula>
    </cfRule>
    <cfRule type="containsText" dxfId="714" priority="6" operator="containsText" text="Inprogress">
      <formula>NOT(ISERROR(SEARCH("Inprogress",I11)))</formula>
    </cfRule>
  </conditionalFormatting>
  <conditionalFormatting sqref="I13:I17">
    <cfRule type="containsText" dxfId="713" priority="1" operator="containsText" text="Closed">
      <formula>NOT(ISERROR(SEARCH("Closed",I13)))</formula>
    </cfRule>
    <cfRule type="containsText" dxfId="712" priority="2" operator="containsText" text="Open">
      <formula>NOT(ISERROR(SEARCH("Open",I13)))</formula>
    </cfRule>
    <cfRule type="containsText" dxfId="711" priority="3" operator="containsText" text="Inprogress">
      <formula>NOT(ISERROR(SEARCH("Inprogress",I13)))</formula>
    </cfRule>
  </conditionalFormatting>
  <dataValidations count="11">
    <dataValidation type="list" showErrorMessage="1" sqref="P1" xr:uid="{F745E96C-6F1D-4C9D-9E0A-0902B9EC1A81}">
      <formula1>"Qadir,Rijo,Karthik,Sushmitha,None,TBD"</formula1>
    </dataValidation>
    <dataValidation type="list" showErrorMessage="1" sqref="R1" xr:uid="{0E041C30-4FFF-4335-8E15-78A0306D9AFD}">
      <formula1>"Qadir,Rijo,Karthik,None,TBD"</formula1>
    </dataValidation>
    <dataValidation type="list" showErrorMessage="1" sqref="Q1" xr:uid="{A7D293FD-C102-4955-8F47-40156DF3845A}">
      <formula1>"Pass,Fail(BacktoDev),DB Script tests in QA DB,TBD"</formula1>
    </dataValidation>
    <dataValidation type="list" showErrorMessage="1" sqref="AC1" xr:uid="{39BB5ACE-D881-4474-AFD3-5E046078C012}">
      <formula1>"Pending-Waiting for Customer confirmation, Approved-Satisified AC,Not Approved-New minor changes requested(Back to Dev),NA,TBD"</formula1>
    </dataValidation>
    <dataValidation type="list" showErrorMessage="1" sqref="AB1" xr:uid="{BF7E6332-8623-40FE-8CCB-4BB920B2C125}">
      <formula1>"Approved-Satisified AC,Not Approved(Back to Dev),NA,TBD"</formula1>
    </dataValidation>
    <dataValidation type="list" showErrorMessage="1" sqref="S1:T1 X1 AA1" xr:uid="{DB19E1FA-1FF7-4056-A72A-4A5871FD09BB}">
      <formula1>"No issues found,Issues observed(BacktoDev),DB Script tests in QA DB,NA,TBD"</formula1>
    </dataValidation>
    <dataValidation type="list" showErrorMessage="1" sqref="Y1:Z1 W1 O1" xr:uid="{512AE8AC-CA88-47B7-8DFA-A7A24291F81B}">
      <formula1>"Open,Inprogress,Completed,TBD,NA"</formula1>
    </dataValidation>
    <dataValidation allowBlank="1" showInputMessage="1" showErrorMessage="1" sqref="AD1:AE1" xr:uid="{FBD0F4B3-11F9-4A8F-AE35-24936CF8F2A1}"/>
    <dataValidation showErrorMessage="1" sqref="I1" xr:uid="{FFAB3A2D-C014-4728-ABCB-7D9FA027491B}"/>
    <dataValidation type="list" allowBlank="1" showErrorMessage="1" sqref="J1" xr:uid="{DD9571EC-8E57-400E-91EF-3A0FA6E8E82F}">
      <formula1>"Open,Inprogress,Closed"</formula1>
    </dataValidation>
    <dataValidation type="list" allowBlank="1" showInputMessage="1" showErrorMessage="1" sqref="AE2:AE17" xr:uid="{4479B444-50A1-4B5A-AE25-109FC7C44ADA}">
      <formula1>"Exceeds Expectation,Meets Expectation,Needs improvements"</formula1>
    </dataValidation>
  </dataValidations>
  <hyperlinks>
    <hyperlink ref="T6" r:id="rId1" xr:uid="{7C9B6D68-AAE2-4DA0-B1AA-76907ABEDE10}"/>
    <hyperlink ref="T13" r:id="rId2" xr:uid="{187276B8-2D65-4839-83E3-453560A9B6C1}"/>
    <hyperlink ref="T7" r:id="rId3" xr:uid="{54131D31-9A88-40D7-B8AC-83FE7C43711E}"/>
    <hyperlink ref="T4" r:id="rId4" xr:uid="{C70C27D7-B4A0-4142-A1F7-993D8CC62C43}"/>
    <hyperlink ref="T9" r:id="rId5" xr:uid="{1C2833BE-8349-4823-B3C6-8FA5D6235110}"/>
    <hyperlink ref="T15" r:id="rId6" xr:uid="{9B5E2F42-463C-4479-9EEA-109D861D53F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7334792-6AC5-4BB8-9718-7A0623643A6C}">
          <x14:formula1>
            <xm:f>Settings!$C$3:$C$20</xm:f>
          </x14:formula1>
          <xm:sqref>I2:I8 I11:I17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5F44-C4A9-4800-B756-F00F921AD387}">
  <dimension ref="A1:M7"/>
  <sheetViews>
    <sheetView topLeftCell="G3" workbookViewId="0">
      <selection activeCell="H5" sqref="H5"/>
    </sheetView>
  </sheetViews>
  <sheetFormatPr defaultRowHeight="12.75"/>
  <cols>
    <col min="1" max="1" width="4.7109375" bestFit="1" customWidth="1"/>
    <col min="2" max="2" width="46.5703125" customWidth="1"/>
    <col min="3" max="3" width="12.85546875" customWidth="1"/>
    <col min="7" max="7" width="45" customWidth="1"/>
    <col min="8" max="8" width="12" customWidth="1"/>
    <col min="10" max="10" width="7.85546875" customWidth="1"/>
    <col min="11" max="11" width="14.140625" customWidth="1"/>
    <col min="12" max="12" width="17.5703125" customWidth="1"/>
    <col min="13" max="13" width="51.5703125" customWidth="1"/>
  </cols>
  <sheetData>
    <row r="1" spans="1:13" ht="40.5">
      <c r="A1" s="108" t="s">
        <v>266</v>
      </c>
      <c r="B1" s="108" t="s">
        <v>10</v>
      </c>
      <c r="C1" s="404" t="s">
        <v>267</v>
      </c>
      <c r="D1" s="404" t="s">
        <v>268</v>
      </c>
      <c r="E1" s="108" t="s">
        <v>269</v>
      </c>
      <c r="F1" s="404" t="s">
        <v>270</v>
      </c>
      <c r="G1" s="404" t="s">
        <v>271</v>
      </c>
      <c r="H1" s="108" t="s">
        <v>272</v>
      </c>
      <c r="I1" s="108" t="s">
        <v>273</v>
      </c>
      <c r="J1" s="108" t="s">
        <v>274</v>
      </c>
      <c r="K1" s="108" t="s">
        <v>275</v>
      </c>
      <c r="L1" s="332" t="s">
        <v>276</v>
      </c>
      <c r="M1" s="405" t="s">
        <v>277</v>
      </c>
    </row>
    <row r="2" spans="1:13" ht="27.75" customHeight="1">
      <c r="A2" s="93">
        <v>1</v>
      </c>
      <c r="B2" s="146" t="s">
        <v>1301</v>
      </c>
      <c r="C2" s="123" t="s">
        <v>1115</v>
      </c>
      <c r="D2" s="93"/>
      <c r="E2" s="96" t="s">
        <v>317</v>
      </c>
      <c r="F2" s="93" t="s">
        <v>1302</v>
      </c>
      <c r="G2" s="96" t="s">
        <v>1185</v>
      </c>
      <c r="H2" s="93" t="s">
        <v>517</v>
      </c>
      <c r="I2" s="93" t="s">
        <v>518</v>
      </c>
      <c r="J2" s="93" t="s">
        <v>519</v>
      </c>
      <c r="K2" s="151" t="s">
        <v>1303</v>
      </c>
      <c r="L2" s="62" t="s">
        <v>529</v>
      </c>
      <c r="M2" s="96" t="s">
        <v>1304</v>
      </c>
    </row>
    <row r="3" spans="1:13" ht="39.75" customHeight="1">
      <c r="A3" s="93">
        <v>2</v>
      </c>
      <c r="B3" s="146" t="s">
        <v>1301</v>
      </c>
      <c r="C3" s="653">
        <v>24838</v>
      </c>
      <c r="D3" s="93"/>
      <c r="E3" s="96" t="s">
        <v>391</v>
      </c>
      <c r="F3" s="93" t="s">
        <v>1302</v>
      </c>
      <c r="G3" s="96" t="s">
        <v>1305</v>
      </c>
      <c r="H3" s="93" t="s">
        <v>517</v>
      </c>
      <c r="I3" s="93" t="s">
        <v>518</v>
      </c>
      <c r="J3" s="165" t="s">
        <v>525</v>
      </c>
      <c r="K3" s="93" t="s">
        <v>576</v>
      </c>
      <c r="L3" s="62" t="s">
        <v>532</v>
      </c>
      <c r="M3" s="96" t="s">
        <v>1306</v>
      </c>
    </row>
    <row r="4" spans="1:13" ht="48">
      <c r="A4" s="93">
        <v>3</v>
      </c>
      <c r="B4" s="146" t="s">
        <v>1301</v>
      </c>
      <c r="C4" s="653">
        <v>25869</v>
      </c>
      <c r="D4" s="93"/>
      <c r="E4" s="93" t="s">
        <v>315</v>
      </c>
      <c r="F4" s="93" t="s">
        <v>1302</v>
      </c>
      <c r="G4" s="96" t="s">
        <v>1307</v>
      </c>
      <c r="H4" s="93" t="s">
        <v>517</v>
      </c>
      <c r="I4" s="93" t="s">
        <v>518</v>
      </c>
      <c r="J4" s="165" t="s">
        <v>525</v>
      </c>
      <c r="K4" s="93" t="s">
        <v>576</v>
      </c>
      <c r="L4" s="62" t="s">
        <v>529</v>
      </c>
      <c r="M4" s="96" t="s">
        <v>1308</v>
      </c>
    </row>
    <row r="5" spans="1:13" ht="93" customHeight="1">
      <c r="A5" s="93">
        <v>4</v>
      </c>
      <c r="B5" s="146" t="s">
        <v>1301</v>
      </c>
      <c r="C5" s="653" t="s">
        <v>1169</v>
      </c>
      <c r="D5" s="93"/>
      <c r="E5" s="96" t="s">
        <v>1309</v>
      </c>
      <c r="F5" s="93" t="s">
        <v>1302</v>
      </c>
      <c r="G5" s="96" t="s">
        <v>1310</v>
      </c>
      <c r="H5" s="93" t="s">
        <v>517</v>
      </c>
      <c r="I5" s="93" t="s">
        <v>518</v>
      </c>
      <c r="J5" s="93" t="s">
        <v>519</v>
      </c>
      <c r="K5" s="151" t="s">
        <v>1303</v>
      </c>
      <c r="L5" s="62" t="s">
        <v>529</v>
      </c>
      <c r="M5" s="96" t="s">
        <v>1311</v>
      </c>
    </row>
    <row r="6" spans="1:13" ht="48" customHeight="1">
      <c r="A6" s="93">
        <v>5</v>
      </c>
      <c r="B6" s="146" t="s">
        <v>1301</v>
      </c>
      <c r="C6" s="123" t="s">
        <v>1312</v>
      </c>
      <c r="D6" s="93"/>
      <c r="E6" s="93" t="s">
        <v>313</v>
      </c>
      <c r="F6" s="93" t="s">
        <v>1302</v>
      </c>
      <c r="G6" s="96" t="s">
        <v>1313</v>
      </c>
      <c r="H6" s="93" t="s">
        <v>517</v>
      </c>
      <c r="I6" s="93" t="s">
        <v>518</v>
      </c>
      <c r="J6" s="93" t="s">
        <v>519</v>
      </c>
      <c r="K6" s="93" t="s">
        <v>576</v>
      </c>
      <c r="L6" s="62" t="s">
        <v>529</v>
      </c>
      <c r="M6" s="96" t="s">
        <v>1314</v>
      </c>
    </row>
    <row r="7" spans="1:13" ht="36">
      <c r="A7" s="93">
        <v>6</v>
      </c>
      <c r="B7" s="146" t="s">
        <v>1301</v>
      </c>
      <c r="C7" s="123">
        <v>26570</v>
      </c>
      <c r="D7" s="93"/>
      <c r="E7" s="93" t="s">
        <v>313</v>
      </c>
      <c r="F7" s="93" t="s">
        <v>1302</v>
      </c>
      <c r="G7" s="96" t="s">
        <v>1315</v>
      </c>
      <c r="H7" s="93" t="s">
        <v>517</v>
      </c>
      <c r="I7" s="93" t="s">
        <v>518</v>
      </c>
      <c r="J7" s="93" t="s">
        <v>519</v>
      </c>
      <c r="K7" s="151" t="s">
        <v>329</v>
      </c>
      <c r="L7" s="62" t="s">
        <v>529</v>
      </c>
      <c r="M7" s="96" t="s">
        <v>1316</v>
      </c>
    </row>
  </sheetData>
  <conditionalFormatting sqref="K2">
    <cfRule type="containsText" dxfId="710" priority="7" operator="containsText" text="Closed">
      <formula>NOT(ISERROR(SEARCH("Closed",K2)))</formula>
    </cfRule>
    <cfRule type="containsText" dxfId="709" priority="8" operator="containsText" text="Open">
      <formula>NOT(ISERROR(SEARCH("Open",K2)))</formula>
    </cfRule>
    <cfRule type="containsText" dxfId="708" priority="9" operator="containsText" text="Inprogress">
      <formula>NOT(ISERROR(SEARCH("Inprogress",K2)))</formula>
    </cfRule>
  </conditionalFormatting>
  <conditionalFormatting sqref="K5">
    <cfRule type="containsText" dxfId="707" priority="4" operator="containsText" text="Closed">
      <formula>NOT(ISERROR(SEARCH("Closed",K5)))</formula>
    </cfRule>
    <cfRule type="containsText" dxfId="706" priority="5" operator="containsText" text="Open">
      <formula>NOT(ISERROR(SEARCH("Open",K5)))</formula>
    </cfRule>
    <cfRule type="containsText" dxfId="705" priority="6" operator="containsText" text="Inprogress">
      <formula>NOT(ISERROR(SEARCH("Inprogress",K5)))</formula>
    </cfRule>
  </conditionalFormatting>
  <conditionalFormatting sqref="K7">
    <cfRule type="containsText" dxfId="704" priority="1" operator="containsText" text="Closed">
      <formula>NOT(ISERROR(SEARCH("Closed",K7)))</formula>
    </cfRule>
    <cfRule type="containsText" dxfId="703" priority="2" operator="containsText" text="Open">
      <formula>NOT(ISERROR(SEARCH("Open",K7)))</formula>
    </cfRule>
    <cfRule type="containsText" dxfId="702" priority="3" operator="containsText" text="Inprogress">
      <formula>NOT(ISERROR(SEARCH("Inprogress",K7)))</formula>
    </cfRule>
  </conditionalFormatting>
  <dataValidations count="1">
    <dataValidation type="list" allowBlank="1" showErrorMessage="1" sqref="J3:J4" xr:uid="{94420ECE-DF2A-444F-BC5F-01E8BF461D98}">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970BA42A-32D7-416D-8C03-BFF78683A207}">
          <x14:formula1>
            <xm:f>Settings!$C$3:$C$20</xm:f>
          </x14:formula1>
          <xm:sqref>K2 K5 K7</xm:sqref>
        </x14:dataValidation>
        <x14:dataValidation type="list" allowBlank="1" showErrorMessage="1" xr:uid="{AB1DD9DE-9198-4D1D-8678-A5F9C886BE70}">
          <x14:formula1>
            <xm:f>Details!$A$2:$A$10</xm:f>
          </x14:formula1>
          <xm:sqref>L2:L7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45B24-B987-4316-ADE2-FBDAC28522A7}">
  <dimension ref="A1:M11"/>
  <sheetViews>
    <sheetView topLeftCell="B1" workbookViewId="0">
      <selection activeCell="J4" sqref="J4"/>
    </sheetView>
  </sheetViews>
  <sheetFormatPr defaultRowHeight="12.75"/>
  <cols>
    <col min="1" max="1" width="10.7109375" customWidth="1"/>
    <col min="2" max="2" width="26.140625" customWidth="1"/>
    <col min="3" max="3" width="13.28515625" customWidth="1"/>
    <col min="4" max="4" width="13" customWidth="1"/>
    <col min="5" max="5" width="11.140625" customWidth="1"/>
    <col min="6" max="6" width="14.140625" customWidth="1"/>
    <col min="7" max="7" width="41.42578125" customWidth="1"/>
    <col min="9" max="9" width="12.7109375" customWidth="1"/>
    <col min="11" max="11" width="28" customWidth="1"/>
    <col min="12" max="12" width="17.140625" customWidth="1"/>
    <col min="13" max="13" width="34.5703125" customWidth="1"/>
  </cols>
  <sheetData>
    <row r="1" spans="1:13" ht="26.25" customHeight="1">
      <c r="A1" s="108" t="s">
        <v>266</v>
      </c>
      <c r="B1" s="108" t="s">
        <v>10</v>
      </c>
      <c r="C1" s="404" t="s">
        <v>267</v>
      </c>
      <c r="D1" s="404" t="s">
        <v>268</v>
      </c>
      <c r="E1" s="108" t="s">
        <v>269</v>
      </c>
      <c r="F1" s="404" t="s">
        <v>270</v>
      </c>
      <c r="G1" s="404" t="s">
        <v>271</v>
      </c>
      <c r="H1" s="108" t="s">
        <v>272</v>
      </c>
      <c r="I1" s="108" t="s">
        <v>273</v>
      </c>
      <c r="J1" s="108" t="s">
        <v>274</v>
      </c>
      <c r="K1" s="108" t="s">
        <v>275</v>
      </c>
      <c r="L1" s="332" t="s">
        <v>276</v>
      </c>
      <c r="M1" s="405" t="s">
        <v>277</v>
      </c>
    </row>
    <row r="2" spans="1:13" ht="48" customHeight="1">
      <c r="A2" s="93">
        <v>1</v>
      </c>
      <c r="B2" s="656" t="s">
        <v>1079</v>
      </c>
      <c r="C2" s="123">
        <v>26570</v>
      </c>
      <c r="D2" s="93"/>
      <c r="E2" s="96" t="s">
        <v>313</v>
      </c>
      <c r="F2" s="93" t="s">
        <v>522</v>
      </c>
      <c r="G2" s="96" t="s">
        <v>1080</v>
      </c>
      <c r="H2" s="93" t="s">
        <v>517</v>
      </c>
      <c r="I2" s="93" t="s">
        <v>518</v>
      </c>
      <c r="J2" s="93" t="s">
        <v>525</v>
      </c>
      <c r="K2" s="93" t="s">
        <v>576</v>
      </c>
      <c r="L2" s="62" t="s">
        <v>529</v>
      </c>
      <c r="M2" s="96" t="s">
        <v>1316</v>
      </c>
    </row>
    <row r="3" spans="1:13" ht="48">
      <c r="A3" s="93">
        <v>2</v>
      </c>
      <c r="B3" s="656" t="s">
        <v>1079</v>
      </c>
      <c r="C3" s="123" t="s">
        <v>1102</v>
      </c>
      <c r="D3" s="93"/>
      <c r="E3" s="93" t="s">
        <v>315</v>
      </c>
      <c r="F3" s="93" t="s">
        <v>522</v>
      </c>
      <c r="G3" s="96" t="s">
        <v>1103</v>
      </c>
      <c r="H3" s="93" t="s">
        <v>517</v>
      </c>
      <c r="I3" s="93" t="s">
        <v>518</v>
      </c>
      <c r="J3" s="93" t="s">
        <v>519</v>
      </c>
      <c r="K3" s="93" t="s">
        <v>576</v>
      </c>
      <c r="L3" s="62" t="s">
        <v>529</v>
      </c>
      <c r="M3" s="96" t="s">
        <v>1317</v>
      </c>
    </row>
    <row r="4" spans="1:13" ht="36">
      <c r="A4" s="93">
        <v>3</v>
      </c>
      <c r="B4" s="656" t="s">
        <v>1079</v>
      </c>
      <c r="C4" s="653" t="s">
        <v>1110</v>
      </c>
      <c r="D4" s="93"/>
      <c r="E4" s="96" t="s">
        <v>317</v>
      </c>
      <c r="F4" s="93" t="s">
        <v>522</v>
      </c>
      <c r="G4" s="96" t="s">
        <v>1111</v>
      </c>
      <c r="H4" s="93" t="s">
        <v>517</v>
      </c>
      <c r="I4" s="93" t="s">
        <v>518</v>
      </c>
      <c r="J4" s="93" t="s">
        <v>525</v>
      </c>
      <c r="K4" s="93" t="s">
        <v>576</v>
      </c>
      <c r="L4" s="62" t="s">
        <v>529</v>
      </c>
      <c r="M4" s="93" t="s">
        <v>1318</v>
      </c>
    </row>
    <row r="5" spans="1:13" ht="48">
      <c r="A5" s="93">
        <v>4</v>
      </c>
      <c r="B5" s="656" t="s">
        <v>1079</v>
      </c>
      <c r="C5" s="653" t="s">
        <v>1115</v>
      </c>
      <c r="D5" s="93"/>
      <c r="E5" s="93" t="s">
        <v>317</v>
      </c>
      <c r="F5" s="93" t="s">
        <v>522</v>
      </c>
      <c r="G5" s="96" t="s">
        <v>1116</v>
      </c>
      <c r="H5" s="93" t="s">
        <v>517</v>
      </c>
      <c r="I5" s="93" t="s">
        <v>518</v>
      </c>
      <c r="J5" s="93" t="s">
        <v>519</v>
      </c>
      <c r="K5" s="151" t="s">
        <v>1117</v>
      </c>
      <c r="L5" s="62" t="s">
        <v>529</v>
      </c>
      <c r="M5" s="96" t="s">
        <v>1319</v>
      </c>
    </row>
    <row r="6" spans="1:13" ht="36">
      <c r="A6" s="93">
        <v>5</v>
      </c>
      <c r="B6" s="656" t="s">
        <v>1079</v>
      </c>
      <c r="C6" s="123">
        <v>26621</v>
      </c>
      <c r="D6" s="93"/>
      <c r="E6" s="93" t="s">
        <v>315</v>
      </c>
      <c r="F6" s="93" t="s">
        <v>522</v>
      </c>
      <c r="G6" s="96" t="s">
        <v>1120</v>
      </c>
      <c r="H6" s="93" t="s">
        <v>517</v>
      </c>
      <c r="I6" s="93" t="s">
        <v>518</v>
      </c>
      <c r="J6" s="93" t="s">
        <v>525</v>
      </c>
      <c r="K6" s="93" t="s">
        <v>576</v>
      </c>
      <c r="L6" s="62" t="s">
        <v>529</v>
      </c>
      <c r="M6" s="96" t="s">
        <v>1320</v>
      </c>
    </row>
    <row r="7" spans="1:13" ht="36">
      <c r="A7" s="93">
        <v>6</v>
      </c>
      <c r="B7" s="656" t="s">
        <v>1079</v>
      </c>
      <c r="C7" s="143">
        <v>26628</v>
      </c>
      <c r="D7" s="93"/>
      <c r="E7" s="96" t="s">
        <v>313</v>
      </c>
      <c r="F7" s="93" t="s">
        <v>522</v>
      </c>
      <c r="G7" s="96" t="s">
        <v>1139</v>
      </c>
      <c r="H7" s="93" t="s">
        <v>517</v>
      </c>
      <c r="I7" s="93" t="s">
        <v>518</v>
      </c>
      <c r="J7" s="93" t="s">
        <v>525</v>
      </c>
      <c r="K7" s="93" t="s">
        <v>576</v>
      </c>
      <c r="L7" s="62" t="s">
        <v>529</v>
      </c>
      <c r="M7" s="96" t="s">
        <v>1321</v>
      </c>
    </row>
    <row r="8" spans="1:13" ht="48">
      <c r="A8" s="93">
        <v>7</v>
      </c>
      <c r="B8" s="656" t="s">
        <v>1079</v>
      </c>
      <c r="C8" s="657">
        <v>26388</v>
      </c>
      <c r="D8" s="93"/>
      <c r="E8" s="96" t="s">
        <v>313</v>
      </c>
      <c r="F8" s="93" t="s">
        <v>522</v>
      </c>
      <c r="G8" s="96" t="s">
        <v>1143</v>
      </c>
      <c r="H8" s="93" t="s">
        <v>1322</v>
      </c>
      <c r="I8" s="93" t="s">
        <v>518</v>
      </c>
      <c r="J8" s="93" t="s">
        <v>525</v>
      </c>
      <c r="K8" s="93" t="s">
        <v>576</v>
      </c>
      <c r="L8" s="62" t="s">
        <v>529</v>
      </c>
      <c r="M8" s="96" t="s">
        <v>1323</v>
      </c>
    </row>
    <row r="9" spans="1:13" ht="60">
      <c r="A9" s="93">
        <v>8</v>
      </c>
      <c r="B9" s="656" t="s">
        <v>1079</v>
      </c>
      <c r="C9" s="657" t="s">
        <v>1154</v>
      </c>
      <c r="D9" s="93"/>
      <c r="E9" s="93" t="s">
        <v>315</v>
      </c>
      <c r="F9" s="93" t="s">
        <v>1324</v>
      </c>
      <c r="G9" s="96" t="s">
        <v>1155</v>
      </c>
      <c r="H9" s="93" t="s">
        <v>1322</v>
      </c>
      <c r="I9" s="93" t="s">
        <v>518</v>
      </c>
      <c r="J9" s="93" t="s">
        <v>519</v>
      </c>
      <c r="K9" s="93" t="s">
        <v>576</v>
      </c>
      <c r="L9" s="62" t="s">
        <v>1325</v>
      </c>
      <c r="M9" s="96" t="s">
        <v>1326</v>
      </c>
    </row>
    <row r="10" spans="1:13" ht="36">
      <c r="A10" s="118">
        <v>9</v>
      </c>
      <c r="B10" s="656" t="s">
        <v>1079</v>
      </c>
      <c r="C10" s="143">
        <v>26653</v>
      </c>
      <c r="D10" s="93"/>
      <c r="E10" s="96" t="s">
        <v>315</v>
      </c>
      <c r="F10" s="93" t="s">
        <v>522</v>
      </c>
      <c r="G10" s="96" t="s">
        <v>1163</v>
      </c>
      <c r="H10" s="93" t="s">
        <v>1322</v>
      </c>
      <c r="I10" s="93" t="s">
        <v>518</v>
      </c>
      <c r="J10" s="93" t="s">
        <v>525</v>
      </c>
      <c r="K10" s="93" t="s">
        <v>576</v>
      </c>
      <c r="L10" s="62" t="s">
        <v>529</v>
      </c>
      <c r="M10" s="96" t="s">
        <v>1327</v>
      </c>
    </row>
    <row r="11" spans="1:13" ht="142.5">
      <c r="A11" s="93">
        <v>10</v>
      </c>
      <c r="B11" s="659" t="s">
        <v>1079</v>
      </c>
      <c r="C11" s="653" t="s">
        <v>1169</v>
      </c>
      <c r="D11" s="93"/>
      <c r="E11" s="96" t="s">
        <v>317</v>
      </c>
      <c r="F11" s="93" t="s">
        <v>1302</v>
      </c>
      <c r="G11" s="96" t="s">
        <v>1310</v>
      </c>
      <c r="H11" s="93" t="s">
        <v>517</v>
      </c>
      <c r="I11" s="93" t="s">
        <v>518</v>
      </c>
      <c r="J11" s="93" t="s">
        <v>519</v>
      </c>
      <c r="K11" s="93" t="s">
        <v>576</v>
      </c>
      <c r="L11" s="62" t="s">
        <v>529</v>
      </c>
      <c r="M11" s="96" t="s">
        <v>1311</v>
      </c>
    </row>
  </sheetData>
  <conditionalFormatting sqref="K5">
    <cfRule type="containsText" dxfId="701" priority="4" operator="containsText" text="Closed">
      <formula>NOT(ISERROR(SEARCH("Closed",K5)))</formula>
    </cfRule>
    <cfRule type="containsText" dxfId="700" priority="5" operator="containsText" text="Open">
      <formula>NOT(ISERROR(SEARCH("Open",K5)))</formula>
    </cfRule>
    <cfRule type="containsText" dxfId="699" priority="6" operator="containsText" text="Inprogress">
      <formula>NOT(ISERROR(SEARCH("Inprogress",K5)))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45D4FE59-809E-4F01-9EA0-17CC30190015}">
          <x14:formula1>
            <xm:f>Details!$A$2:$A$10</xm:f>
          </x14:formula1>
          <xm:sqref>L2:L11</xm:sqref>
        </x14:dataValidation>
        <x14:dataValidation type="list" allowBlank="1" showErrorMessage="1" xr:uid="{658ECCD0-C8F8-4BB7-8344-15D0CED16524}">
          <x14:formula1>
            <xm:f>Settings!$C$3:$C$20</xm:f>
          </x14:formula1>
          <xm:sqref>K5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293CF-9F4F-491A-8B43-7B7A81CE1D2C}">
  <dimension ref="A1:AX17"/>
  <sheetViews>
    <sheetView workbookViewId="0">
      <pane ySplit="1" topLeftCell="A12" activePane="bottomLeft" state="frozen"/>
      <selection pane="bottomLeft" activeCell="G12" sqref="G12"/>
    </sheetView>
  </sheetViews>
  <sheetFormatPr defaultRowHeight="12.75"/>
  <cols>
    <col min="2" max="2" width="19.7109375" customWidth="1"/>
    <col min="3" max="3" width="12.28515625" customWidth="1"/>
    <col min="4" max="4" width="9.42578125" bestFit="1" customWidth="1"/>
    <col min="5" max="5" width="15.140625" customWidth="1"/>
    <col min="7" max="7" width="11.85546875" customWidth="1"/>
    <col min="8" max="8" width="37" customWidth="1"/>
    <col min="9" max="9" width="16.7109375" customWidth="1"/>
    <col min="13" max="13" width="16.140625" customWidth="1"/>
    <col min="14" max="14" width="13.5703125" customWidth="1"/>
    <col min="15" max="15" width="11.42578125" customWidth="1"/>
    <col min="20" max="20" width="25.140625" customWidth="1"/>
    <col min="21" max="21" width="15" customWidth="1"/>
    <col min="22" max="22" width="14.85546875" customWidth="1"/>
    <col min="30" max="30" width="22.5703125" customWidth="1"/>
    <col min="31" max="31" width="14" customWidth="1"/>
    <col min="32" max="32" width="51.7109375" customWidth="1"/>
    <col min="33" max="33" width="29.140625" customWidth="1"/>
    <col min="34" max="34" width="14.28515625" style="100" customWidth="1"/>
    <col min="35" max="35" width="24.42578125" customWidth="1"/>
    <col min="36" max="36" width="27.5703125" customWidth="1"/>
    <col min="37" max="37" width="23" customWidth="1"/>
    <col min="38" max="38" width="26.7109375" customWidth="1"/>
    <col min="39" max="39" width="15.5703125" customWidth="1"/>
    <col min="40" max="40" width="15.140625" customWidth="1"/>
    <col min="41" max="41" width="18.7109375" customWidth="1"/>
    <col min="42" max="42" width="24.28515625" customWidth="1"/>
    <col min="43" max="43" width="17.28515625" customWidth="1"/>
    <col min="44" max="44" width="23.5703125" customWidth="1"/>
    <col min="46" max="46" width="52.28515625" bestFit="1" customWidth="1"/>
    <col min="48" max="48" width="21.28515625" customWidth="1"/>
    <col min="49" max="49" width="15.5703125" customWidth="1"/>
    <col min="50" max="50" width="22" customWidth="1"/>
  </cols>
  <sheetData>
    <row r="1" spans="1:50" ht="67.5">
      <c r="A1" s="247" t="s">
        <v>266</v>
      </c>
      <c r="B1" s="247" t="s">
        <v>4</v>
      </c>
      <c r="C1" s="247" t="s">
        <v>2</v>
      </c>
      <c r="D1" s="247" t="s">
        <v>3</v>
      </c>
      <c r="E1" s="247" t="s">
        <v>278</v>
      </c>
      <c r="F1" s="247" t="s">
        <v>269</v>
      </c>
      <c r="G1" s="247" t="s">
        <v>279</v>
      </c>
      <c r="H1" s="543"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46008</v>
      </c>
      <c r="AG1" s="519">
        <v>46009</v>
      </c>
      <c r="AH1" s="518">
        <v>46010</v>
      </c>
      <c r="AI1" s="519">
        <v>46013</v>
      </c>
      <c r="AJ1" s="519">
        <v>46014</v>
      </c>
      <c r="AK1" s="518">
        <v>46015</v>
      </c>
      <c r="AL1" s="518">
        <v>46017</v>
      </c>
      <c r="AM1" s="518">
        <v>46020</v>
      </c>
      <c r="AN1" s="518">
        <v>46021</v>
      </c>
      <c r="AO1" s="518">
        <v>46022</v>
      </c>
      <c r="AP1" s="518">
        <v>46023</v>
      </c>
      <c r="AQ1" s="518">
        <v>46024</v>
      </c>
      <c r="AR1" s="651">
        <v>46027</v>
      </c>
      <c r="AS1" s="651">
        <v>46028</v>
      </c>
      <c r="AT1" s="518">
        <v>46029</v>
      </c>
      <c r="AU1" s="651">
        <v>46030</v>
      </c>
      <c r="AV1" s="651">
        <v>46031</v>
      </c>
      <c r="AW1" s="651">
        <v>46034</v>
      </c>
      <c r="AX1" s="518">
        <v>46035</v>
      </c>
    </row>
    <row r="2" spans="1:50" ht="45" customHeight="1">
      <c r="A2" s="96">
        <v>1</v>
      </c>
      <c r="B2" s="96" t="s">
        <v>671</v>
      </c>
      <c r="C2" s="624">
        <v>46008</v>
      </c>
      <c r="D2" s="624">
        <v>46035</v>
      </c>
      <c r="E2" s="146" t="s">
        <v>1301</v>
      </c>
      <c r="F2" s="96" t="s">
        <v>465</v>
      </c>
      <c r="G2" s="96">
        <v>50907</v>
      </c>
      <c r="H2" s="96" t="s">
        <v>1328</v>
      </c>
      <c r="I2" s="151" t="s">
        <v>306</v>
      </c>
      <c r="J2" s="96">
        <v>1</v>
      </c>
      <c r="K2" s="96">
        <v>0.5</v>
      </c>
      <c r="L2" s="96">
        <v>2</v>
      </c>
      <c r="M2" s="96" t="s">
        <v>320</v>
      </c>
      <c r="N2" s="96" t="s">
        <v>320</v>
      </c>
      <c r="O2" s="96" t="s">
        <v>320</v>
      </c>
      <c r="P2" s="96" t="s">
        <v>320</v>
      </c>
      <c r="Q2" s="96" t="s">
        <v>320</v>
      </c>
      <c r="R2" s="96" t="s">
        <v>320</v>
      </c>
      <c r="S2" s="96" t="s">
        <v>320</v>
      </c>
      <c r="T2" s="96" t="s">
        <v>320</v>
      </c>
      <c r="U2" s="96" t="s">
        <v>320</v>
      </c>
      <c r="V2" s="96" t="s">
        <v>320</v>
      </c>
      <c r="W2" s="96" t="s">
        <v>320</v>
      </c>
      <c r="X2" s="96" t="s">
        <v>320</v>
      </c>
      <c r="Y2" s="96" t="s">
        <v>320</v>
      </c>
      <c r="Z2" s="96" t="s">
        <v>320</v>
      </c>
      <c r="AA2" s="96" t="s">
        <v>320</v>
      </c>
      <c r="AB2" s="96" t="s">
        <v>320</v>
      </c>
      <c r="AC2" s="96" t="s">
        <v>320</v>
      </c>
      <c r="AD2" s="96" t="s">
        <v>1329</v>
      </c>
      <c r="AE2" s="490" t="s">
        <v>423</v>
      </c>
      <c r="AF2" s="96" t="s">
        <v>1330</v>
      </c>
      <c r="AG2" s="96" t="s">
        <v>1331</v>
      </c>
      <c r="AH2" s="96" t="s">
        <v>12</v>
      </c>
      <c r="AI2" s="96" t="s">
        <v>434</v>
      </c>
      <c r="AJ2" s="96" t="s">
        <v>434</v>
      </c>
      <c r="AK2" s="96" t="s">
        <v>434</v>
      </c>
      <c r="AL2" s="96" t="s">
        <v>434</v>
      </c>
      <c r="AM2" s="96" t="s">
        <v>434</v>
      </c>
      <c r="AN2" s="96" t="s">
        <v>434</v>
      </c>
      <c r="AO2" s="96" t="s">
        <v>434</v>
      </c>
      <c r="AP2" s="96" t="s">
        <v>494</v>
      </c>
      <c r="AQ2" s="96" t="s">
        <v>434</v>
      </c>
      <c r="AR2" s="96" t="s">
        <v>434</v>
      </c>
      <c r="AS2" s="96" t="s">
        <v>434</v>
      </c>
      <c r="AT2" s="96" t="s">
        <v>434</v>
      </c>
      <c r="AU2" s="96" t="s">
        <v>434</v>
      </c>
      <c r="AV2" s="96" t="s">
        <v>434</v>
      </c>
      <c r="AW2" s="96" t="s">
        <v>434</v>
      </c>
      <c r="AX2" s="96" t="s">
        <v>434</v>
      </c>
    </row>
    <row r="3" spans="1:50" ht="60">
      <c r="A3" s="96">
        <v>2</v>
      </c>
      <c r="B3" s="96" t="s">
        <v>671</v>
      </c>
      <c r="C3" s="624">
        <v>46008</v>
      </c>
      <c r="D3" s="624">
        <v>46035</v>
      </c>
      <c r="E3" s="146" t="s">
        <v>1301</v>
      </c>
      <c r="F3" s="96" t="s">
        <v>465</v>
      </c>
      <c r="G3" s="96">
        <v>48447</v>
      </c>
      <c r="H3" s="96" t="s">
        <v>1332</v>
      </c>
      <c r="I3" s="151" t="s">
        <v>306</v>
      </c>
      <c r="J3" s="96">
        <v>2</v>
      </c>
      <c r="K3" s="96">
        <v>2.75</v>
      </c>
      <c r="L3" s="96">
        <v>11</v>
      </c>
      <c r="M3" s="96" t="s">
        <v>320</v>
      </c>
      <c r="N3" s="96" t="s">
        <v>320</v>
      </c>
      <c r="O3" s="96" t="s">
        <v>320</v>
      </c>
      <c r="P3" s="96" t="s">
        <v>320</v>
      </c>
      <c r="Q3" s="96" t="s">
        <v>320</v>
      </c>
      <c r="R3" s="96" t="s">
        <v>320</v>
      </c>
      <c r="S3" s="96" t="s">
        <v>320</v>
      </c>
      <c r="T3" s="96" t="s">
        <v>320</v>
      </c>
      <c r="U3" s="96" t="s">
        <v>320</v>
      </c>
      <c r="V3" s="96" t="s">
        <v>320</v>
      </c>
      <c r="W3" s="96" t="s">
        <v>320</v>
      </c>
      <c r="X3" s="96" t="s">
        <v>320</v>
      </c>
      <c r="Y3" s="96" t="s">
        <v>320</v>
      </c>
      <c r="Z3" s="96" t="s">
        <v>320</v>
      </c>
      <c r="AA3" s="96" t="s">
        <v>320</v>
      </c>
      <c r="AB3" s="96" t="s">
        <v>320</v>
      </c>
      <c r="AC3" s="96" t="s">
        <v>320</v>
      </c>
      <c r="AD3" s="96" t="s">
        <v>1333</v>
      </c>
      <c r="AE3" s="490" t="s">
        <v>423</v>
      </c>
      <c r="AF3" s="96" t="s">
        <v>1334</v>
      </c>
      <c r="AG3" s="96" t="s">
        <v>1331</v>
      </c>
      <c r="AH3" s="96" t="s">
        <v>411</v>
      </c>
      <c r="AI3" s="96" t="s">
        <v>1335</v>
      </c>
      <c r="AJ3" s="96" t="s">
        <v>1336</v>
      </c>
      <c r="AK3" s="96" t="s">
        <v>434</v>
      </c>
      <c r="AL3" s="96" t="s">
        <v>434</v>
      </c>
      <c r="AM3" s="96" t="s">
        <v>434</v>
      </c>
      <c r="AN3" s="96" t="s">
        <v>434</v>
      </c>
      <c r="AO3" s="96" t="s">
        <v>434</v>
      </c>
      <c r="AP3" s="96" t="s">
        <v>494</v>
      </c>
      <c r="AQ3" s="96" t="s">
        <v>434</v>
      </c>
      <c r="AR3" s="96"/>
      <c r="AS3" s="96" t="s">
        <v>434</v>
      </c>
      <c r="AT3" s="96" t="s">
        <v>434</v>
      </c>
      <c r="AU3" s="96" t="s">
        <v>434</v>
      </c>
      <c r="AV3" s="96" t="s">
        <v>434</v>
      </c>
      <c r="AW3" s="96" t="s">
        <v>434</v>
      </c>
      <c r="AX3" s="96" t="s">
        <v>434</v>
      </c>
    </row>
    <row r="4" spans="1:50" ht="118.5">
      <c r="A4" s="96">
        <v>3</v>
      </c>
      <c r="B4" s="96" t="s">
        <v>671</v>
      </c>
      <c r="C4" s="624">
        <v>46008</v>
      </c>
      <c r="D4" s="624">
        <v>46035</v>
      </c>
      <c r="E4" s="146" t="s">
        <v>1301</v>
      </c>
      <c r="F4" s="96" t="s">
        <v>313</v>
      </c>
      <c r="G4" s="96">
        <v>44321</v>
      </c>
      <c r="H4" s="96" t="s">
        <v>1337</v>
      </c>
      <c r="I4" s="151" t="s">
        <v>306</v>
      </c>
      <c r="J4" s="96">
        <v>5</v>
      </c>
      <c r="K4" s="96">
        <v>9</v>
      </c>
      <c r="L4" s="96">
        <v>37.25</v>
      </c>
      <c r="M4" s="624">
        <v>46008</v>
      </c>
      <c r="N4" s="624">
        <v>46015</v>
      </c>
      <c r="O4" s="96" t="s">
        <v>12</v>
      </c>
      <c r="P4" s="96" t="s">
        <v>315</v>
      </c>
      <c r="Q4" s="96" t="s">
        <v>316</v>
      </c>
      <c r="R4" s="96" t="s">
        <v>317</v>
      </c>
      <c r="S4" s="96" t="s">
        <v>316</v>
      </c>
      <c r="T4" s="130" t="s">
        <v>1338</v>
      </c>
      <c r="U4" s="624">
        <v>46021</v>
      </c>
      <c r="V4" s="624">
        <v>46021</v>
      </c>
      <c r="W4" s="96" t="s">
        <v>316</v>
      </c>
      <c r="X4" s="96" t="s">
        <v>319</v>
      </c>
      <c r="Y4" s="96" t="s">
        <v>319</v>
      </c>
      <c r="Z4" s="96" t="s">
        <v>320</v>
      </c>
      <c r="AA4" s="96" t="s">
        <v>316</v>
      </c>
      <c r="AB4" s="96" t="s">
        <v>316</v>
      </c>
      <c r="AC4" s="96" t="s">
        <v>316</v>
      </c>
      <c r="AD4" s="96" t="s">
        <v>1339</v>
      </c>
      <c r="AE4" s="490" t="s">
        <v>423</v>
      </c>
      <c r="AF4" s="96" t="s">
        <v>1340</v>
      </c>
      <c r="AG4" s="96" t="s">
        <v>1341</v>
      </c>
      <c r="AH4" s="96" t="s">
        <v>1342</v>
      </c>
      <c r="AI4" s="96" t="s">
        <v>1343</v>
      </c>
      <c r="AJ4" s="96" t="s">
        <v>1344</v>
      </c>
      <c r="AK4" s="96" t="s">
        <v>1345</v>
      </c>
      <c r="AL4" s="96" t="s">
        <v>1346</v>
      </c>
      <c r="AM4" s="96" t="s">
        <v>1347</v>
      </c>
      <c r="AN4" s="96" t="s">
        <v>1348</v>
      </c>
      <c r="AO4" s="96" t="s">
        <v>1298</v>
      </c>
      <c r="AP4" s="96" t="s">
        <v>494</v>
      </c>
      <c r="AQ4" s="96" t="s">
        <v>1349</v>
      </c>
      <c r="AR4" s="96" t="s">
        <v>1350</v>
      </c>
      <c r="AS4" s="96" t="s">
        <v>434</v>
      </c>
      <c r="AT4" s="96" t="s">
        <v>434</v>
      </c>
      <c r="AU4" s="96" t="s">
        <v>434</v>
      </c>
      <c r="AV4" s="96" t="s">
        <v>434</v>
      </c>
      <c r="AW4" s="96" t="s">
        <v>434</v>
      </c>
      <c r="AX4" s="96" t="s">
        <v>434</v>
      </c>
    </row>
    <row r="5" spans="1:50" ht="130.5">
      <c r="A5" s="96">
        <v>4</v>
      </c>
      <c r="B5" s="96" t="s">
        <v>671</v>
      </c>
      <c r="C5" s="624">
        <v>46008</v>
      </c>
      <c r="D5" s="624">
        <v>46035</v>
      </c>
      <c r="E5" s="146" t="s">
        <v>1301</v>
      </c>
      <c r="F5" s="96" t="s">
        <v>317</v>
      </c>
      <c r="G5" s="96">
        <v>49897</v>
      </c>
      <c r="H5" s="96" t="s">
        <v>1085</v>
      </c>
      <c r="I5" s="151" t="s">
        <v>399</v>
      </c>
      <c r="J5" s="96">
        <v>3</v>
      </c>
      <c r="K5" s="96">
        <v>10.37</v>
      </c>
      <c r="L5" s="96">
        <v>41.5</v>
      </c>
      <c r="M5" s="624">
        <v>46009</v>
      </c>
      <c r="N5" s="96" t="s">
        <v>320</v>
      </c>
      <c r="O5" s="96" t="s">
        <v>320</v>
      </c>
      <c r="P5" s="96" t="s">
        <v>320</v>
      </c>
      <c r="Q5" s="96" t="s">
        <v>320</v>
      </c>
      <c r="R5" s="96" t="s">
        <v>320</v>
      </c>
      <c r="S5" s="96" t="s">
        <v>320</v>
      </c>
      <c r="T5" s="96" t="s">
        <v>320</v>
      </c>
      <c r="U5" s="96" t="s">
        <v>320</v>
      </c>
      <c r="V5" s="96" t="s">
        <v>320</v>
      </c>
      <c r="W5" s="96" t="s">
        <v>320</v>
      </c>
      <c r="X5" s="96" t="s">
        <v>320</v>
      </c>
      <c r="Y5" s="96" t="s">
        <v>320</v>
      </c>
      <c r="Z5" s="96" t="s">
        <v>320</v>
      </c>
      <c r="AA5" s="96" t="s">
        <v>320</v>
      </c>
      <c r="AB5" s="96" t="s">
        <v>320</v>
      </c>
      <c r="AC5" s="96" t="s">
        <v>320</v>
      </c>
      <c r="AD5" s="96" t="s">
        <v>1351</v>
      </c>
      <c r="AE5" s="490" t="s">
        <v>423</v>
      </c>
      <c r="AF5" s="96" t="s">
        <v>1352</v>
      </c>
      <c r="AG5" s="96" t="s">
        <v>1353</v>
      </c>
      <c r="AH5" s="96" t="s">
        <v>1354</v>
      </c>
      <c r="AI5" s="96" t="s">
        <v>1355</v>
      </c>
      <c r="AJ5" s="96" t="s">
        <v>1356</v>
      </c>
      <c r="AK5" s="96" t="s">
        <v>1357</v>
      </c>
      <c r="AL5" s="96" t="s">
        <v>1358</v>
      </c>
      <c r="AM5" s="96" t="s">
        <v>1359</v>
      </c>
      <c r="AN5" s="96" t="s">
        <v>1360</v>
      </c>
      <c r="AO5" s="96" t="s">
        <v>1361</v>
      </c>
      <c r="AP5" s="96" t="s">
        <v>494</v>
      </c>
      <c r="AQ5" s="96" t="s">
        <v>1362</v>
      </c>
      <c r="AR5" s="96" t="s">
        <v>1363</v>
      </c>
      <c r="AS5" s="96" t="s">
        <v>1364</v>
      </c>
      <c r="AT5" s="96" t="s">
        <v>1365</v>
      </c>
      <c r="AU5" s="96" t="s">
        <v>434</v>
      </c>
      <c r="AV5" s="96" t="s">
        <v>434</v>
      </c>
      <c r="AW5" s="96" t="s">
        <v>1366</v>
      </c>
      <c r="AX5" s="96" t="s">
        <v>1367</v>
      </c>
    </row>
    <row r="6" spans="1:50" ht="60">
      <c r="A6" s="96">
        <v>5</v>
      </c>
      <c r="B6" s="96" t="s">
        <v>671</v>
      </c>
      <c r="C6" s="624">
        <v>46008</v>
      </c>
      <c r="D6" s="624">
        <v>46035</v>
      </c>
      <c r="E6" s="146" t="s">
        <v>1301</v>
      </c>
      <c r="F6" s="96" t="s">
        <v>317</v>
      </c>
      <c r="G6" s="96" t="s">
        <v>1115</v>
      </c>
      <c r="H6" s="96" t="s">
        <v>1185</v>
      </c>
      <c r="I6" s="151" t="s">
        <v>1303</v>
      </c>
      <c r="J6" s="96">
        <v>0</v>
      </c>
      <c r="K6" s="96">
        <v>1.5</v>
      </c>
      <c r="L6" s="96">
        <v>6</v>
      </c>
      <c r="M6" s="624">
        <v>46008</v>
      </c>
      <c r="N6" s="96" t="s">
        <v>320</v>
      </c>
      <c r="O6" s="96" t="s">
        <v>320</v>
      </c>
      <c r="P6" s="96" t="s">
        <v>320</v>
      </c>
      <c r="Q6" s="96" t="s">
        <v>320</v>
      </c>
      <c r="R6" s="96" t="s">
        <v>320</v>
      </c>
      <c r="S6" s="96" t="s">
        <v>320</v>
      </c>
      <c r="T6" s="96" t="s">
        <v>320</v>
      </c>
      <c r="U6" s="96" t="s">
        <v>320</v>
      </c>
      <c r="V6" s="96" t="s">
        <v>320</v>
      </c>
      <c r="W6" s="96" t="s">
        <v>320</v>
      </c>
      <c r="X6" s="96" t="s">
        <v>320</v>
      </c>
      <c r="Y6" s="96" t="s">
        <v>320</v>
      </c>
      <c r="Z6" s="96" t="s">
        <v>320</v>
      </c>
      <c r="AA6" s="96" t="s">
        <v>320</v>
      </c>
      <c r="AB6" s="96" t="s">
        <v>320</v>
      </c>
      <c r="AC6" s="96" t="s">
        <v>320</v>
      </c>
      <c r="AD6" s="96" t="s">
        <v>1368</v>
      </c>
      <c r="AE6" s="490" t="s">
        <v>423</v>
      </c>
      <c r="AF6" s="96" t="s">
        <v>1369</v>
      </c>
      <c r="AG6" s="96" t="s">
        <v>1370</v>
      </c>
      <c r="AH6" s="96" t="s">
        <v>1371</v>
      </c>
      <c r="AI6" s="96" t="s">
        <v>1371</v>
      </c>
      <c r="AJ6" s="96" t="s">
        <v>1371</v>
      </c>
      <c r="AK6" s="96" t="s">
        <v>1371</v>
      </c>
      <c r="AL6" s="96" t="s">
        <v>1358</v>
      </c>
      <c r="AM6" s="96" t="s">
        <v>1371</v>
      </c>
      <c r="AN6" s="96" t="s">
        <v>1371</v>
      </c>
      <c r="AO6" s="96" t="s">
        <v>1371</v>
      </c>
      <c r="AP6" s="96" t="s">
        <v>494</v>
      </c>
      <c r="AQ6" s="96" t="s">
        <v>1371</v>
      </c>
      <c r="AR6" s="96" t="s">
        <v>1372</v>
      </c>
      <c r="AS6" s="96" t="s">
        <v>1372</v>
      </c>
      <c r="AT6" s="96" t="s">
        <v>1372</v>
      </c>
      <c r="AU6" s="96" t="s">
        <v>1372</v>
      </c>
      <c r="AV6" s="96" t="s">
        <v>434</v>
      </c>
      <c r="AW6" s="96" t="s">
        <v>434</v>
      </c>
      <c r="AX6" s="96" t="s">
        <v>434</v>
      </c>
    </row>
    <row r="7" spans="1:50" ht="60">
      <c r="A7" s="96">
        <v>6</v>
      </c>
      <c r="B7" s="96" t="s">
        <v>671</v>
      </c>
      <c r="C7" s="624">
        <v>46008</v>
      </c>
      <c r="D7" s="624">
        <v>46035</v>
      </c>
      <c r="E7" s="146" t="s">
        <v>1301</v>
      </c>
      <c r="F7" s="96" t="s">
        <v>1373</v>
      </c>
      <c r="G7" s="554">
        <v>24838</v>
      </c>
      <c r="H7" s="96" t="s">
        <v>1305</v>
      </c>
      <c r="I7" s="151" t="s">
        <v>376</v>
      </c>
      <c r="J7" s="96">
        <v>3</v>
      </c>
      <c r="K7" s="96">
        <v>5.12</v>
      </c>
      <c r="L7" s="96">
        <v>20.5</v>
      </c>
      <c r="M7" s="624">
        <v>46008</v>
      </c>
      <c r="N7" s="624">
        <v>45669</v>
      </c>
      <c r="O7" s="96" t="s">
        <v>12</v>
      </c>
      <c r="P7" s="96"/>
      <c r="Q7" s="96"/>
      <c r="R7" s="96"/>
      <c r="S7" s="96"/>
      <c r="T7" s="130" t="s">
        <v>1374</v>
      </c>
      <c r="U7" s="624">
        <v>45669</v>
      </c>
      <c r="V7" s="624">
        <v>45669</v>
      </c>
      <c r="W7" s="96" t="s">
        <v>316</v>
      </c>
      <c r="X7" s="96" t="s">
        <v>319</v>
      </c>
      <c r="Y7" s="96" t="s">
        <v>319</v>
      </c>
      <c r="Z7" s="96" t="s">
        <v>320</v>
      </c>
      <c r="AA7" s="96" t="s">
        <v>316</v>
      </c>
      <c r="AB7" s="96" t="s">
        <v>1375</v>
      </c>
      <c r="AC7" s="96"/>
      <c r="AD7" s="96" t="s">
        <v>1376</v>
      </c>
      <c r="AE7" s="490" t="s">
        <v>423</v>
      </c>
      <c r="AF7" s="96" t="s">
        <v>1377</v>
      </c>
      <c r="AG7" s="96" t="s">
        <v>1378</v>
      </c>
      <c r="AH7" s="96" t="s">
        <v>1379</v>
      </c>
      <c r="AI7" s="96" t="s">
        <v>1379</v>
      </c>
      <c r="AJ7" s="96" t="s">
        <v>1379</v>
      </c>
      <c r="AK7" s="96" t="s">
        <v>1380</v>
      </c>
      <c r="AL7" s="96" t="s">
        <v>1381</v>
      </c>
      <c r="AM7" s="96" t="s">
        <v>1382</v>
      </c>
      <c r="AN7" s="96" t="s">
        <v>1383</v>
      </c>
      <c r="AO7" s="96"/>
      <c r="AP7" s="96" t="s">
        <v>494</v>
      </c>
      <c r="AQ7" s="554" t="s">
        <v>1384</v>
      </c>
      <c r="AR7" s="96" t="s">
        <v>1385</v>
      </c>
      <c r="AS7" s="96" t="s">
        <v>1386</v>
      </c>
      <c r="AT7" s="96" t="s">
        <v>1387</v>
      </c>
      <c r="AU7" s="96" t="s">
        <v>1388</v>
      </c>
      <c r="AV7" s="96" t="s">
        <v>1388</v>
      </c>
      <c r="AW7" s="96" t="s">
        <v>1388</v>
      </c>
      <c r="AX7" s="96" t="s">
        <v>1389</v>
      </c>
    </row>
    <row r="8" spans="1:50" ht="72">
      <c r="A8" s="96">
        <v>7</v>
      </c>
      <c r="B8" s="96" t="s">
        <v>671</v>
      </c>
      <c r="C8" s="624">
        <v>46008</v>
      </c>
      <c r="D8" s="624">
        <v>46035</v>
      </c>
      <c r="E8" s="146" t="s">
        <v>1301</v>
      </c>
      <c r="F8" s="96" t="s">
        <v>315</v>
      </c>
      <c r="G8" s="554">
        <v>25869</v>
      </c>
      <c r="H8" s="96" t="s">
        <v>1307</v>
      </c>
      <c r="I8" s="151" t="s">
        <v>376</v>
      </c>
      <c r="J8" s="96">
        <v>5</v>
      </c>
      <c r="K8" s="96">
        <v>9.8699999999999992</v>
      </c>
      <c r="L8" s="96">
        <v>39.5</v>
      </c>
      <c r="M8" s="624">
        <v>46009</v>
      </c>
      <c r="N8" s="624">
        <v>46015</v>
      </c>
      <c r="O8" s="96" t="s">
        <v>12</v>
      </c>
      <c r="P8" s="96" t="s">
        <v>313</v>
      </c>
      <c r="Q8" s="96" t="s">
        <v>316</v>
      </c>
      <c r="R8" s="96" t="s">
        <v>317</v>
      </c>
      <c r="S8" s="96" t="s">
        <v>316</v>
      </c>
      <c r="T8" s="130" t="s">
        <v>1390</v>
      </c>
      <c r="U8" s="158">
        <v>46022</v>
      </c>
      <c r="V8" s="158">
        <v>46023</v>
      </c>
      <c r="W8" s="96" t="s">
        <v>316</v>
      </c>
      <c r="X8" s="96" t="s">
        <v>319</v>
      </c>
      <c r="Y8" s="96" t="s">
        <v>319</v>
      </c>
      <c r="Z8" s="96" t="s">
        <v>320</v>
      </c>
      <c r="AA8" s="96" t="s">
        <v>316</v>
      </c>
      <c r="AB8" s="96" t="s">
        <v>316</v>
      </c>
      <c r="AC8" s="96" t="s">
        <v>316</v>
      </c>
      <c r="AD8" s="96" t="s">
        <v>1391</v>
      </c>
      <c r="AE8" s="490" t="s">
        <v>423</v>
      </c>
      <c r="AF8" s="96"/>
      <c r="AG8" s="96" t="s">
        <v>1392</v>
      </c>
      <c r="AH8" s="96" t="s">
        <v>1393</v>
      </c>
      <c r="AI8" s="96" t="s">
        <v>1394</v>
      </c>
      <c r="AJ8" s="96" t="s">
        <v>1395</v>
      </c>
      <c r="AK8" s="96" t="s">
        <v>1396</v>
      </c>
      <c r="AL8" s="96" t="s">
        <v>1381</v>
      </c>
      <c r="AM8" s="96" t="s">
        <v>1397</v>
      </c>
      <c r="AN8" s="96" t="s">
        <v>1398</v>
      </c>
      <c r="AO8" s="96" t="s">
        <v>1399</v>
      </c>
      <c r="AP8" s="96" t="s">
        <v>494</v>
      </c>
      <c r="AQ8" s="96" t="s">
        <v>1298</v>
      </c>
      <c r="AR8" s="96" t="s">
        <v>1298</v>
      </c>
      <c r="AS8" s="96" t="s">
        <v>1400</v>
      </c>
      <c r="AT8" s="96" t="s">
        <v>1401</v>
      </c>
      <c r="AU8" s="96" t="s">
        <v>1402</v>
      </c>
      <c r="AV8" s="96" t="s">
        <v>1403</v>
      </c>
      <c r="AW8" s="96" t="s">
        <v>1404</v>
      </c>
      <c r="AX8" s="96" t="s">
        <v>945</v>
      </c>
    </row>
    <row r="9" spans="1:50" ht="202.5">
      <c r="A9" s="96">
        <v>8</v>
      </c>
      <c r="B9" s="96" t="s">
        <v>671</v>
      </c>
      <c r="C9" s="624">
        <v>46008</v>
      </c>
      <c r="D9" s="624">
        <v>46035</v>
      </c>
      <c r="E9" s="146" t="s">
        <v>1301</v>
      </c>
      <c r="F9" s="96" t="s">
        <v>1309</v>
      </c>
      <c r="G9" s="554" t="s">
        <v>1169</v>
      </c>
      <c r="H9" s="96" t="s">
        <v>1170</v>
      </c>
      <c r="I9" s="151" t="s">
        <v>1303</v>
      </c>
      <c r="J9" s="96">
        <v>0</v>
      </c>
      <c r="K9" s="96">
        <v>5.62</v>
      </c>
      <c r="L9" s="96">
        <v>22.5</v>
      </c>
      <c r="M9" s="624">
        <v>46009</v>
      </c>
      <c r="N9" s="96" t="s">
        <v>320</v>
      </c>
      <c r="O9" s="96" t="s">
        <v>320</v>
      </c>
      <c r="P9" s="96" t="s">
        <v>320</v>
      </c>
      <c r="Q9" s="96" t="s">
        <v>320</v>
      </c>
      <c r="R9" s="96" t="s">
        <v>320</v>
      </c>
      <c r="S9" s="96" t="s">
        <v>320</v>
      </c>
      <c r="T9" s="96" t="s">
        <v>320</v>
      </c>
      <c r="U9" s="96" t="s">
        <v>320</v>
      </c>
      <c r="V9" s="96" t="s">
        <v>320</v>
      </c>
      <c r="W9" s="96" t="s">
        <v>320</v>
      </c>
      <c r="X9" s="96" t="s">
        <v>320</v>
      </c>
      <c r="Y9" s="96" t="s">
        <v>320</v>
      </c>
      <c r="Z9" s="96" t="s">
        <v>320</v>
      </c>
      <c r="AA9" s="96" t="s">
        <v>320</v>
      </c>
      <c r="AB9" s="96" t="s">
        <v>320</v>
      </c>
      <c r="AC9" s="96" t="s">
        <v>320</v>
      </c>
      <c r="AD9" s="96"/>
      <c r="AE9" s="490" t="s">
        <v>423</v>
      </c>
      <c r="AF9" s="96"/>
      <c r="AG9" s="96" t="s">
        <v>1405</v>
      </c>
      <c r="AH9" s="96" t="s">
        <v>1406</v>
      </c>
      <c r="AI9" s="96" t="s">
        <v>1406</v>
      </c>
      <c r="AJ9" s="96" t="s">
        <v>1407</v>
      </c>
      <c r="AK9" s="96" t="s">
        <v>1408</v>
      </c>
      <c r="AL9" s="96" t="s">
        <v>1358</v>
      </c>
      <c r="AM9" s="96" t="s">
        <v>1409</v>
      </c>
      <c r="AN9" s="96" t="s">
        <v>1410</v>
      </c>
      <c r="AO9" s="96" t="s">
        <v>1410</v>
      </c>
      <c r="AP9" s="96" t="s">
        <v>494</v>
      </c>
      <c r="AQ9" s="96" t="s">
        <v>1410</v>
      </c>
      <c r="AR9" s="96" t="s">
        <v>1411</v>
      </c>
      <c r="AS9" s="96" t="s">
        <v>1412</v>
      </c>
      <c r="AT9" s="96" t="s">
        <v>1413</v>
      </c>
      <c r="AU9" s="96" t="s">
        <v>1414</v>
      </c>
      <c r="AV9" s="96" t="s">
        <v>1415</v>
      </c>
      <c r="AW9" s="96" t="s">
        <v>1416</v>
      </c>
      <c r="AX9" s="96" t="s">
        <v>1417</v>
      </c>
    </row>
    <row r="10" spans="1:50" ht="84">
      <c r="A10" s="96">
        <v>9</v>
      </c>
      <c r="B10" s="96" t="s">
        <v>671</v>
      </c>
      <c r="C10" s="624">
        <v>46008</v>
      </c>
      <c r="D10" s="624">
        <v>46035</v>
      </c>
      <c r="E10" s="146" t="s">
        <v>1301</v>
      </c>
      <c r="F10" s="96" t="s">
        <v>313</v>
      </c>
      <c r="G10" s="652">
        <v>49698</v>
      </c>
      <c r="H10" s="96" t="s">
        <v>1418</v>
      </c>
      <c r="I10" s="151" t="s">
        <v>306</v>
      </c>
      <c r="J10" s="96">
        <v>3</v>
      </c>
      <c r="K10" s="96">
        <v>8</v>
      </c>
      <c r="L10" s="96">
        <v>32</v>
      </c>
      <c r="M10" s="624">
        <v>46014</v>
      </c>
      <c r="N10" s="624">
        <v>46020</v>
      </c>
      <c r="O10" s="96" t="s">
        <v>12</v>
      </c>
      <c r="P10" s="96" t="s">
        <v>315</v>
      </c>
      <c r="Q10" s="96" t="s">
        <v>316</v>
      </c>
      <c r="R10" s="96" t="s">
        <v>317</v>
      </c>
      <c r="S10" s="96" t="s">
        <v>316</v>
      </c>
      <c r="T10" s="130" t="s">
        <v>1419</v>
      </c>
      <c r="U10" s="624">
        <v>46021</v>
      </c>
      <c r="V10" s="624">
        <v>46021</v>
      </c>
      <c r="W10" s="96" t="s">
        <v>316</v>
      </c>
      <c r="X10" s="96" t="s">
        <v>319</v>
      </c>
      <c r="Y10" s="96" t="s">
        <v>319</v>
      </c>
      <c r="Z10" s="96" t="s">
        <v>320</v>
      </c>
      <c r="AA10" s="96" t="s">
        <v>316</v>
      </c>
      <c r="AB10" s="96" t="s">
        <v>316</v>
      </c>
      <c r="AC10" s="96" t="s">
        <v>316</v>
      </c>
      <c r="AD10" s="96" t="s">
        <v>1420</v>
      </c>
      <c r="AE10" s="490" t="s">
        <v>423</v>
      </c>
      <c r="AF10" s="96"/>
      <c r="AG10" s="96"/>
      <c r="AH10" s="96"/>
      <c r="AI10" s="96"/>
      <c r="AJ10" s="96" t="s">
        <v>1421</v>
      </c>
      <c r="AK10" s="96" t="s">
        <v>1422</v>
      </c>
      <c r="AL10" s="96" t="s">
        <v>1423</v>
      </c>
      <c r="AM10" s="96" t="s">
        <v>1424</v>
      </c>
      <c r="AN10" s="96" t="s">
        <v>1425</v>
      </c>
      <c r="AO10" s="96" t="s">
        <v>607</v>
      </c>
      <c r="AP10" s="96" t="s">
        <v>494</v>
      </c>
      <c r="AQ10" s="96" t="s">
        <v>1426</v>
      </c>
      <c r="AR10" s="96" t="s">
        <v>1427</v>
      </c>
      <c r="AS10" s="96" t="s">
        <v>1428</v>
      </c>
      <c r="AT10" s="96" t="s">
        <v>434</v>
      </c>
      <c r="AU10" s="96" t="s">
        <v>434</v>
      </c>
      <c r="AV10" s="96" t="s">
        <v>434</v>
      </c>
      <c r="AW10" s="96" t="s">
        <v>434</v>
      </c>
      <c r="AX10" s="96" t="s">
        <v>434</v>
      </c>
    </row>
    <row r="11" spans="1:50" ht="60">
      <c r="A11" s="96">
        <v>10</v>
      </c>
      <c r="B11" s="96" t="s">
        <v>671</v>
      </c>
      <c r="C11" s="624">
        <v>46008</v>
      </c>
      <c r="D11" s="624">
        <v>46035</v>
      </c>
      <c r="E11" s="146" t="s">
        <v>1301</v>
      </c>
      <c r="F11" s="96" t="s">
        <v>315</v>
      </c>
      <c r="G11" s="96">
        <v>49284</v>
      </c>
      <c r="H11" s="96" t="s">
        <v>1429</v>
      </c>
      <c r="I11" s="151" t="s">
        <v>306</v>
      </c>
      <c r="J11" s="96">
        <v>3</v>
      </c>
      <c r="K11" s="96">
        <v>7.75</v>
      </c>
      <c r="L11" s="96">
        <v>31</v>
      </c>
      <c r="M11" s="624">
        <v>46014</v>
      </c>
      <c r="N11" s="624">
        <v>46021</v>
      </c>
      <c r="O11" s="96" t="s">
        <v>12</v>
      </c>
      <c r="P11" s="96" t="s">
        <v>313</v>
      </c>
      <c r="Q11" s="96" t="s">
        <v>316</v>
      </c>
      <c r="R11" s="96" t="s">
        <v>317</v>
      </c>
      <c r="S11" s="96" t="s">
        <v>316</v>
      </c>
      <c r="T11" s="130" t="s">
        <v>1430</v>
      </c>
      <c r="U11" s="158">
        <v>46022</v>
      </c>
      <c r="V11" s="158">
        <v>46023</v>
      </c>
      <c r="W11" s="96" t="s">
        <v>316</v>
      </c>
      <c r="X11" s="96" t="s">
        <v>319</v>
      </c>
      <c r="Y11" s="96" t="s">
        <v>319</v>
      </c>
      <c r="Z11" s="96" t="s">
        <v>320</v>
      </c>
      <c r="AA11" s="96" t="s">
        <v>316</v>
      </c>
      <c r="AB11" s="96" t="s">
        <v>316</v>
      </c>
      <c r="AC11" s="96" t="s">
        <v>316</v>
      </c>
      <c r="AD11" s="96" t="s">
        <v>1431</v>
      </c>
      <c r="AE11" s="490" t="s">
        <v>423</v>
      </c>
      <c r="AF11" s="96"/>
      <c r="AG11" s="96"/>
      <c r="AH11" s="96"/>
      <c r="AI11" s="96"/>
      <c r="AJ11" s="96"/>
      <c r="AK11" s="96" t="s">
        <v>1432</v>
      </c>
      <c r="AL11" s="96" t="s">
        <v>1381</v>
      </c>
      <c r="AM11" s="96" t="s">
        <v>1433</v>
      </c>
      <c r="AN11" s="96" t="s">
        <v>1434</v>
      </c>
      <c r="AO11" s="96" t="s">
        <v>1435</v>
      </c>
      <c r="AP11" s="96" t="s">
        <v>494</v>
      </c>
      <c r="AQ11" s="96" t="s">
        <v>1436</v>
      </c>
      <c r="AR11" s="96" t="s">
        <v>1436</v>
      </c>
      <c r="AS11" s="96" t="s">
        <v>1436</v>
      </c>
      <c r="AT11" s="96" t="s">
        <v>1437</v>
      </c>
      <c r="AU11" s="96" t="s">
        <v>1438</v>
      </c>
      <c r="AV11" s="96" t="s">
        <v>434</v>
      </c>
      <c r="AW11" s="96" t="s">
        <v>434</v>
      </c>
      <c r="AX11" s="96" t="s">
        <v>434</v>
      </c>
    </row>
    <row r="12" spans="1:50" ht="107.25">
      <c r="A12" s="96">
        <v>11</v>
      </c>
      <c r="B12" s="96" t="s">
        <v>671</v>
      </c>
      <c r="C12" s="624">
        <v>46008</v>
      </c>
      <c r="D12" s="624">
        <v>46035</v>
      </c>
      <c r="E12" s="146" t="s">
        <v>1301</v>
      </c>
      <c r="F12" s="96" t="s">
        <v>315</v>
      </c>
      <c r="G12" s="96">
        <v>48709</v>
      </c>
      <c r="H12" s="96" t="s">
        <v>1439</v>
      </c>
      <c r="I12" s="151" t="s">
        <v>380</v>
      </c>
      <c r="J12" s="96">
        <v>5</v>
      </c>
      <c r="K12" s="96">
        <v>6</v>
      </c>
      <c r="L12" s="96">
        <v>24</v>
      </c>
      <c r="M12" s="624">
        <v>46022</v>
      </c>
      <c r="N12" s="624">
        <v>46035</v>
      </c>
      <c r="O12" s="96" t="s">
        <v>12</v>
      </c>
      <c r="P12" s="96" t="s">
        <v>320</v>
      </c>
      <c r="Q12" s="96" t="s">
        <v>320</v>
      </c>
      <c r="R12" s="96" t="s">
        <v>320</v>
      </c>
      <c r="S12" s="96" t="s">
        <v>320</v>
      </c>
      <c r="T12" s="96" t="s">
        <v>320</v>
      </c>
      <c r="U12" s="96" t="s">
        <v>320</v>
      </c>
      <c r="V12" s="96" t="s">
        <v>320</v>
      </c>
      <c r="W12" s="96" t="s">
        <v>320</v>
      </c>
      <c r="X12" s="96" t="s">
        <v>320</v>
      </c>
      <c r="Y12" s="96" t="s">
        <v>320</v>
      </c>
      <c r="Z12" s="96" t="s">
        <v>320</v>
      </c>
      <c r="AA12" s="96" t="s">
        <v>320</v>
      </c>
      <c r="AB12" s="96" t="s">
        <v>320</v>
      </c>
      <c r="AC12" s="96" t="s">
        <v>320</v>
      </c>
      <c r="AD12" s="96" t="s">
        <v>1440</v>
      </c>
      <c r="AE12" s="490" t="s">
        <v>423</v>
      </c>
      <c r="AF12" s="96"/>
      <c r="AG12" s="96"/>
      <c r="AH12" s="96"/>
      <c r="AI12" s="96"/>
      <c r="AJ12" s="96"/>
      <c r="AK12" s="96"/>
      <c r="AL12" s="96"/>
      <c r="AM12" s="96"/>
      <c r="AN12" s="96"/>
      <c r="AO12" s="96" t="s">
        <v>1441</v>
      </c>
      <c r="AP12" s="96" t="s">
        <v>494</v>
      </c>
      <c r="AQ12" s="554" t="s">
        <v>1442</v>
      </c>
      <c r="AR12" s="96" t="s">
        <v>1443</v>
      </c>
      <c r="AS12" s="96" t="s">
        <v>1444</v>
      </c>
      <c r="AT12" s="96" t="s">
        <v>1445</v>
      </c>
      <c r="AU12" s="96" t="s">
        <v>1445</v>
      </c>
      <c r="AV12" s="96" t="s">
        <v>1446</v>
      </c>
      <c r="AW12" s="96" t="s">
        <v>1447</v>
      </c>
      <c r="AX12" s="96" t="s">
        <v>1448</v>
      </c>
    </row>
    <row r="13" spans="1:50" ht="130.5">
      <c r="A13" s="96">
        <v>12</v>
      </c>
      <c r="B13" s="96" t="s">
        <v>671</v>
      </c>
      <c r="C13" s="624">
        <v>46008</v>
      </c>
      <c r="D13" s="624">
        <v>46035</v>
      </c>
      <c r="E13" s="146" t="s">
        <v>1301</v>
      </c>
      <c r="F13" s="96" t="s">
        <v>313</v>
      </c>
      <c r="G13" s="96">
        <v>50372</v>
      </c>
      <c r="H13" s="96" t="s">
        <v>1449</v>
      </c>
      <c r="I13" s="151" t="s">
        <v>306</v>
      </c>
      <c r="J13" s="96">
        <v>3</v>
      </c>
      <c r="K13" s="96">
        <v>4.5</v>
      </c>
      <c r="L13" s="96">
        <v>18</v>
      </c>
      <c r="M13" s="624">
        <v>46022</v>
      </c>
      <c r="N13" s="624">
        <v>46028</v>
      </c>
      <c r="O13" s="96" t="s">
        <v>12</v>
      </c>
      <c r="P13" s="96" t="s">
        <v>315</v>
      </c>
      <c r="Q13" s="96" t="s">
        <v>316</v>
      </c>
      <c r="R13" s="96" t="s">
        <v>317</v>
      </c>
      <c r="S13" s="96" t="s">
        <v>316</v>
      </c>
      <c r="T13" s="130" t="s">
        <v>1450</v>
      </c>
      <c r="U13" s="158">
        <v>46031</v>
      </c>
      <c r="V13" s="158">
        <v>46031</v>
      </c>
      <c r="W13" s="96" t="s">
        <v>316</v>
      </c>
      <c r="X13" s="96" t="s">
        <v>319</v>
      </c>
      <c r="Y13" s="96" t="s">
        <v>319</v>
      </c>
      <c r="Z13" s="96" t="s">
        <v>320</v>
      </c>
      <c r="AA13" s="96" t="s">
        <v>316</v>
      </c>
      <c r="AB13" s="96" t="s">
        <v>316</v>
      </c>
      <c r="AC13" s="96" t="s">
        <v>316</v>
      </c>
      <c r="AD13" s="96" t="s">
        <v>1431</v>
      </c>
      <c r="AE13" s="490" t="s">
        <v>423</v>
      </c>
      <c r="AF13" s="96"/>
      <c r="AG13" s="96"/>
      <c r="AH13" s="96"/>
      <c r="AI13" s="96"/>
      <c r="AJ13" s="96"/>
      <c r="AK13" s="96"/>
      <c r="AL13" s="96"/>
      <c r="AM13" s="96"/>
      <c r="AN13" s="96"/>
      <c r="AO13" s="96" t="s">
        <v>1451</v>
      </c>
      <c r="AP13" s="96" t="s">
        <v>494</v>
      </c>
      <c r="AQ13" s="96" t="s">
        <v>1452</v>
      </c>
      <c r="AR13" s="96" t="s">
        <v>1453</v>
      </c>
      <c r="AS13" s="96" t="s">
        <v>1454</v>
      </c>
      <c r="AT13" s="96" t="s">
        <v>1455</v>
      </c>
      <c r="AU13" s="96" t="s">
        <v>1456</v>
      </c>
      <c r="AV13" s="96" t="s">
        <v>1457</v>
      </c>
      <c r="AW13" s="96" t="s">
        <v>1458</v>
      </c>
      <c r="AX13" s="96" t="s">
        <v>1459</v>
      </c>
    </row>
    <row r="14" spans="1:50" ht="36">
      <c r="A14" s="96">
        <v>13</v>
      </c>
      <c r="B14" s="96" t="s">
        <v>671</v>
      </c>
      <c r="C14" s="624">
        <v>46008</v>
      </c>
      <c r="D14" s="624">
        <v>46035</v>
      </c>
      <c r="E14" s="146" t="s">
        <v>1301</v>
      </c>
      <c r="F14" s="96" t="s">
        <v>313</v>
      </c>
      <c r="G14" s="96" t="s">
        <v>1312</v>
      </c>
      <c r="H14" s="96" t="s">
        <v>1313</v>
      </c>
      <c r="I14" s="151" t="s">
        <v>376</v>
      </c>
      <c r="J14" s="96">
        <v>0</v>
      </c>
      <c r="K14" s="96">
        <v>1</v>
      </c>
      <c r="L14" s="96">
        <v>4</v>
      </c>
      <c r="M14" s="624">
        <v>46029</v>
      </c>
      <c r="N14" s="624">
        <v>46029</v>
      </c>
      <c r="O14" s="96" t="s">
        <v>320</v>
      </c>
      <c r="P14" s="96" t="s">
        <v>320</v>
      </c>
      <c r="Q14" s="96" t="s">
        <v>320</v>
      </c>
      <c r="R14" s="96" t="s">
        <v>320</v>
      </c>
      <c r="S14" s="96" t="s">
        <v>320</v>
      </c>
      <c r="T14" s="96" t="s">
        <v>320</v>
      </c>
      <c r="U14" s="96" t="s">
        <v>320</v>
      </c>
      <c r="V14" s="96" t="s">
        <v>320</v>
      </c>
      <c r="W14" s="96" t="s">
        <v>320</v>
      </c>
      <c r="X14" s="96" t="s">
        <v>320</v>
      </c>
      <c r="Y14" s="96" t="s">
        <v>320</v>
      </c>
      <c r="Z14" s="96" t="s">
        <v>320</v>
      </c>
      <c r="AA14" s="96" t="s">
        <v>320</v>
      </c>
      <c r="AB14" s="96" t="s">
        <v>320</v>
      </c>
      <c r="AC14" s="96" t="s">
        <v>320</v>
      </c>
      <c r="AD14" s="146" t="s">
        <v>1460</v>
      </c>
      <c r="AE14" s="490" t="s">
        <v>423</v>
      </c>
      <c r="AF14" s="96"/>
      <c r="AG14" s="96"/>
      <c r="AH14" s="96"/>
      <c r="AI14" s="96"/>
      <c r="AJ14" s="96"/>
      <c r="AK14" s="96"/>
      <c r="AL14" s="96"/>
      <c r="AM14" s="96"/>
      <c r="AN14" s="96"/>
      <c r="AO14" s="96" t="s">
        <v>1461</v>
      </c>
      <c r="AP14" s="96"/>
      <c r="AQ14" s="96"/>
      <c r="AR14" s="96"/>
      <c r="AS14" s="96"/>
      <c r="AT14" s="96" t="s">
        <v>1462</v>
      </c>
      <c r="AU14" s="96"/>
      <c r="AV14" s="96" t="s">
        <v>1463</v>
      </c>
      <c r="AW14" s="96"/>
      <c r="AX14" s="96" t="s">
        <v>434</v>
      </c>
    </row>
    <row r="15" spans="1:50" ht="60">
      <c r="A15" s="96">
        <v>14</v>
      </c>
      <c r="B15" s="96" t="s">
        <v>671</v>
      </c>
      <c r="C15" s="624">
        <v>46008</v>
      </c>
      <c r="D15" s="624">
        <v>46035</v>
      </c>
      <c r="E15" s="146" t="s">
        <v>1464</v>
      </c>
      <c r="F15" s="96" t="s">
        <v>313</v>
      </c>
      <c r="G15" s="96">
        <v>26570</v>
      </c>
      <c r="H15" s="96" t="s">
        <v>1080</v>
      </c>
      <c r="I15" s="151" t="s">
        <v>579</v>
      </c>
      <c r="J15" s="96">
        <v>0</v>
      </c>
      <c r="K15" s="96">
        <v>1.5</v>
      </c>
      <c r="L15" s="96">
        <v>6</v>
      </c>
      <c r="M15" s="624">
        <v>46034</v>
      </c>
      <c r="N15" s="624">
        <v>46035</v>
      </c>
      <c r="O15" s="96" t="s">
        <v>12</v>
      </c>
      <c r="P15" s="96" t="s">
        <v>315</v>
      </c>
      <c r="Q15" s="96" t="s">
        <v>316</v>
      </c>
      <c r="R15" s="96" t="s">
        <v>317</v>
      </c>
      <c r="S15" s="96" t="s">
        <v>316</v>
      </c>
      <c r="T15" s="130" t="s">
        <v>1081</v>
      </c>
      <c r="U15" s="624">
        <v>46035</v>
      </c>
      <c r="V15" s="624">
        <v>46035</v>
      </c>
      <c r="W15" s="96" t="s">
        <v>316</v>
      </c>
      <c r="X15" s="96" t="s">
        <v>319</v>
      </c>
      <c r="Y15" s="96" t="s">
        <v>319</v>
      </c>
      <c r="Z15" s="96" t="s">
        <v>320</v>
      </c>
      <c r="AA15" s="96" t="s">
        <v>316</v>
      </c>
      <c r="AB15" s="96" t="s">
        <v>316</v>
      </c>
      <c r="AC15" s="96" t="s">
        <v>316</v>
      </c>
      <c r="AD15" s="96" t="s">
        <v>1465</v>
      </c>
      <c r="AE15" s="490" t="s">
        <v>423</v>
      </c>
      <c r="AF15" s="96"/>
      <c r="AG15" s="96"/>
      <c r="AH15" s="96"/>
      <c r="AI15" s="96"/>
      <c r="AJ15" s="96"/>
      <c r="AK15" s="96"/>
      <c r="AL15" s="96"/>
      <c r="AM15" s="96"/>
      <c r="AN15" s="96"/>
      <c r="AO15" s="96"/>
      <c r="AP15" s="96"/>
      <c r="AQ15" s="96"/>
      <c r="AR15" s="96"/>
      <c r="AS15" s="96"/>
      <c r="AT15" s="96"/>
      <c r="AU15" s="96"/>
      <c r="AV15" s="96"/>
      <c r="AW15" s="96" t="s">
        <v>1466</v>
      </c>
      <c r="AX15" s="96" t="s">
        <v>1467</v>
      </c>
    </row>
    <row r="16" spans="1:50" ht="96">
      <c r="A16" s="96">
        <v>15</v>
      </c>
      <c r="B16" s="96" t="s">
        <v>671</v>
      </c>
      <c r="C16" s="624">
        <v>46008</v>
      </c>
      <c r="D16" s="624">
        <v>46035</v>
      </c>
      <c r="E16" s="146" t="s">
        <v>1301</v>
      </c>
      <c r="F16" s="96" t="s">
        <v>315</v>
      </c>
      <c r="G16" s="96" t="s">
        <v>1468</v>
      </c>
      <c r="H16" s="96" t="s">
        <v>1469</v>
      </c>
      <c r="I16" s="151" t="s">
        <v>380</v>
      </c>
      <c r="J16" s="96">
        <v>2</v>
      </c>
      <c r="K16" s="96">
        <v>2.5</v>
      </c>
      <c r="L16" s="96">
        <v>10</v>
      </c>
      <c r="M16" s="624">
        <v>46031</v>
      </c>
      <c r="N16" s="624">
        <v>46035</v>
      </c>
      <c r="O16" s="96" t="s">
        <v>12</v>
      </c>
      <c r="P16" s="96" t="s">
        <v>320</v>
      </c>
      <c r="Q16" s="96" t="s">
        <v>320</v>
      </c>
      <c r="R16" s="96" t="s">
        <v>320</v>
      </c>
      <c r="S16" s="96" t="s">
        <v>320</v>
      </c>
      <c r="T16" s="96" t="s">
        <v>320</v>
      </c>
      <c r="U16" s="96" t="s">
        <v>320</v>
      </c>
      <c r="V16" s="96" t="s">
        <v>320</v>
      </c>
      <c r="W16" s="96" t="s">
        <v>320</v>
      </c>
      <c r="X16" s="96" t="s">
        <v>320</v>
      </c>
      <c r="Y16" s="96" t="s">
        <v>320</v>
      </c>
      <c r="Z16" s="96" t="s">
        <v>320</v>
      </c>
      <c r="AA16" s="96" t="s">
        <v>320</v>
      </c>
      <c r="AB16" s="96" t="s">
        <v>320</v>
      </c>
      <c r="AC16" s="96" t="s">
        <v>320</v>
      </c>
      <c r="AD16" s="96" t="s">
        <v>1440</v>
      </c>
      <c r="AE16" s="490" t="s">
        <v>423</v>
      </c>
      <c r="AF16" s="96"/>
      <c r="AG16" s="96"/>
      <c r="AH16" s="96"/>
      <c r="AI16" s="96"/>
      <c r="AJ16" s="96"/>
      <c r="AK16" s="96"/>
      <c r="AL16" s="96"/>
      <c r="AM16" s="96"/>
      <c r="AN16" s="96"/>
      <c r="AO16" s="96"/>
      <c r="AP16" s="96"/>
      <c r="AQ16" s="96"/>
      <c r="AR16" s="96"/>
      <c r="AS16" s="96"/>
      <c r="AT16" s="96"/>
      <c r="AU16" s="96"/>
      <c r="AV16" s="96"/>
      <c r="AW16" s="96"/>
      <c r="AX16" s="96" t="s">
        <v>1448</v>
      </c>
    </row>
    <row r="17" spans="1:50">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c r="AK17" s="96"/>
      <c r="AL17" s="96"/>
      <c r="AM17" s="96"/>
      <c r="AN17" s="96"/>
      <c r="AO17" s="96"/>
      <c r="AP17" s="96"/>
      <c r="AQ17" s="96"/>
      <c r="AR17" s="96"/>
      <c r="AS17" s="96"/>
      <c r="AT17" s="96"/>
      <c r="AU17" s="96"/>
      <c r="AV17" s="96"/>
      <c r="AW17" s="96"/>
      <c r="AX17" s="96"/>
    </row>
  </sheetData>
  <autoFilter ref="A1:AX16" xr:uid="{18F293CF-9F4F-491A-8B43-7B7A81CE1D2C}"/>
  <conditionalFormatting sqref="J1">
    <cfRule type="containsText" dxfId="698" priority="19" operator="containsText" text="Closed">
      <formula>NOT(ISERROR(SEARCH("Closed",J1)))</formula>
    </cfRule>
    <cfRule type="containsText" dxfId="697" priority="20" operator="containsText" text="Open">
      <formula>NOT(ISERROR(SEARCH("Open",J1)))</formula>
    </cfRule>
    <cfRule type="containsText" dxfId="696" priority="21" operator="containsText" text="Inprogress">
      <formula>NOT(ISERROR(SEARCH("Inprogress",J1)))</formula>
    </cfRule>
  </conditionalFormatting>
  <conditionalFormatting sqref="I2:I3">
    <cfRule type="containsText" dxfId="695" priority="13" operator="containsText" text="Closed">
      <formula>NOT(ISERROR(SEARCH("Closed",I2)))</formula>
    </cfRule>
    <cfRule type="containsText" dxfId="694" priority="14" operator="containsText" text="Open">
      <formula>NOT(ISERROR(SEARCH("Open",I2)))</formula>
    </cfRule>
    <cfRule type="containsText" dxfId="693" priority="15" operator="containsText" text="Inprogress">
      <formula>NOT(ISERROR(SEARCH("Inprogress",I2)))</formula>
    </cfRule>
  </conditionalFormatting>
  <conditionalFormatting sqref="I4:I5">
    <cfRule type="containsText" dxfId="692" priority="10" operator="containsText" text="Closed">
      <formula>NOT(ISERROR(SEARCH("Closed",I4)))</formula>
    </cfRule>
    <cfRule type="containsText" dxfId="691" priority="11" operator="containsText" text="Open">
      <formula>NOT(ISERROR(SEARCH("Open",I4)))</formula>
    </cfRule>
    <cfRule type="containsText" dxfId="690" priority="12" operator="containsText" text="Inprogress">
      <formula>NOT(ISERROR(SEARCH("Inprogress",I4)))</formula>
    </cfRule>
  </conditionalFormatting>
  <conditionalFormatting sqref="I6:I11 I13:I15">
    <cfRule type="containsText" dxfId="689" priority="7" operator="containsText" text="Closed">
      <formula>NOT(ISERROR(SEARCH("Closed",I6)))</formula>
    </cfRule>
    <cfRule type="containsText" dxfId="688" priority="8" operator="containsText" text="Open">
      <formula>NOT(ISERROR(SEARCH("Open",I6)))</formula>
    </cfRule>
    <cfRule type="containsText" dxfId="687" priority="9" operator="containsText" text="Inprogress">
      <formula>NOT(ISERROR(SEARCH("Inprogress",I6)))</formula>
    </cfRule>
  </conditionalFormatting>
  <conditionalFormatting sqref="I16">
    <cfRule type="containsText" dxfId="686" priority="4" operator="containsText" text="Closed">
      <formula>NOT(ISERROR(SEARCH("Closed",I16)))</formula>
    </cfRule>
    <cfRule type="containsText" dxfId="685" priority="5" operator="containsText" text="Open">
      <formula>NOT(ISERROR(SEARCH("Open",I16)))</formula>
    </cfRule>
    <cfRule type="containsText" dxfId="684" priority="6" operator="containsText" text="Inprogress">
      <formula>NOT(ISERROR(SEARCH("Inprogress",I16)))</formula>
    </cfRule>
  </conditionalFormatting>
  <conditionalFormatting sqref="I12">
    <cfRule type="containsText" dxfId="683" priority="1" operator="containsText" text="Closed">
      <formula>NOT(ISERROR(SEARCH("Closed",I12)))</formula>
    </cfRule>
    <cfRule type="containsText" dxfId="682" priority="2" operator="containsText" text="Open">
      <formula>NOT(ISERROR(SEARCH("Open",I12)))</formula>
    </cfRule>
    <cfRule type="containsText" dxfId="681" priority="3" operator="containsText" text="Inprogress">
      <formula>NOT(ISERROR(SEARCH("Inprogress",I12)))</formula>
    </cfRule>
  </conditionalFormatting>
  <dataValidations count="11">
    <dataValidation type="list" showErrorMessage="1" sqref="P1" xr:uid="{A0EBBAA3-A77E-4224-B17C-608FB2D5ED99}">
      <formula1>"Qadir,Rijo,Karthik,Sushmitha,None,TBD"</formula1>
    </dataValidation>
    <dataValidation type="list" showErrorMessage="1" sqref="R1" xr:uid="{B99482D6-621E-4AF6-90C6-C49236E88916}">
      <formula1>"Qadir,Rijo,Karthik,None,TBD"</formula1>
    </dataValidation>
    <dataValidation type="list" showErrorMessage="1" sqref="Q1" xr:uid="{057E1E0D-D036-4236-8C8B-3620F59B83BC}">
      <formula1>"Pass,Fail(BacktoDev),DB Script tests in QA DB,TBD"</formula1>
    </dataValidation>
    <dataValidation type="list" showErrorMessage="1" sqref="AC1" xr:uid="{8DAE713C-B10D-4F04-BF12-5BD84EF85818}">
      <formula1>"Pending-Waiting for Customer confirmation, Approved-Satisified AC,Not Approved-New minor changes requested(Back to Dev),NA,TBD"</formula1>
    </dataValidation>
    <dataValidation type="list" showErrorMessage="1" sqref="AB1" xr:uid="{AD191F03-F0FF-4418-81C7-A29DDF434614}">
      <formula1>"Approved-Satisified AC,Not Approved(Back to Dev),NA,TBD"</formula1>
    </dataValidation>
    <dataValidation type="list" showErrorMessage="1" sqref="S1:T1 X1 AA1" xr:uid="{245A9614-7E20-45DA-B2F1-77E821E49DBD}">
      <formula1>"No issues found,Issues observed(BacktoDev),DB Script tests in QA DB,NA,TBD"</formula1>
    </dataValidation>
    <dataValidation type="list" showErrorMessage="1" sqref="Y1:Z1 W1 O1" xr:uid="{37F9DAEE-732C-4BCC-838E-95984EB7B28A}">
      <formula1>"Open,Inprogress,Completed,TBD,NA"</formula1>
    </dataValidation>
    <dataValidation allowBlank="1" showInputMessage="1" showErrorMessage="1" sqref="AD1:AE1" xr:uid="{FA204976-AC42-4409-B336-327AD58A337C}"/>
    <dataValidation showErrorMessage="1" sqref="I1" xr:uid="{0DC98FCD-B46A-46AF-B957-37387B10503F}"/>
    <dataValidation type="list" allowBlank="1" showErrorMessage="1" sqref="J1" xr:uid="{3683D034-E25D-40B1-8607-28F19FA4287F}">
      <formula1>"Open,Inprogress,Closed"</formula1>
    </dataValidation>
    <dataValidation type="list" allowBlank="1" showInputMessage="1" showErrorMessage="1" sqref="AE2:AE16" xr:uid="{318FF645-7742-4DFB-9F63-235B7E23D56F}">
      <formula1>"Exceeds Expectation,Meets Expectation,Needs improvements"</formula1>
    </dataValidation>
  </dataValidations>
  <hyperlinks>
    <hyperlink ref="T11" r:id="rId1" xr:uid="{A44E5B7C-1753-4BA1-AB91-C89C649400F1}"/>
    <hyperlink ref="T8" r:id="rId2" xr:uid="{B879DA3D-9B94-4863-A454-12DFE4C59282}"/>
    <hyperlink ref="T4" r:id="rId3" xr:uid="{083CFE41-3504-4E01-A36C-FF996CD121A4}"/>
    <hyperlink ref="T10" r:id="rId4" xr:uid="{40EA4272-91BE-41D3-96A6-0E2EB37CCEE9}"/>
    <hyperlink ref="T7" r:id="rId5" xr:uid="{221FA556-D036-406E-858A-6A0444807722}"/>
    <hyperlink ref="T13" r:id="rId6" xr:uid="{AA14DCF7-2459-4068-8E1E-C5888051788A}"/>
    <hyperlink ref="T15" r:id="rId7" xr:uid="{43AED495-CE8D-444A-B0B5-7B06B1BD2DF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5FBE9C5-FC50-47E0-8B83-7EA411F40128}">
          <x14:formula1>
            <xm:f>Settings!$C$3:$C$20</xm:f>
          </x14:formula1>
          <xm:sqref>I2:I16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7625-CDC2-4632-933B-305101A35C98}">
  <dimension ref="A1:AO18"/>
  <sheetViews>
    <sheetView topLeftCell="G9" workbookViewId="0">
      <selection activeCell="H10" sqref="H10"/>
    </sheetView>
  </sheetViews>
  <sheetFormatPr defaultRowHeight="12.75"/>
  <cols>
    <col min="2" max="2" width="15.42578125" customWidth="1"/>
    <col min="3" max="3" width="10.140625" customWidth="1"/>
    <col min="4" max="4" width="12.140625" customWidth="1"/>
    <col min="5" max="5" width="43.5703125" customWidth="1"/>
    <col min="6" max="6" width="12.140625" customWidth="1"/>
    <col min="8" max="8" width="31.5703125" customWidth="1"/>
    <col min="9" max="9" width="21.140625" customWidth="1"/>
    <col min="13" max="13" width="13" customWidth="1"/>
    <col min="14" max="14" width="11.5703125" customWidth="1"/>
    <col min="15" max="15" width="11" customWidth="1"/>
    <col min="20" max="20" width="29.140625" customWidth="1"/>
    <col min="21" max="21" width="11.5703125" customWidth="1"/>
    <col min="22" max="22" width="10.85546875" customWidth="1"/>
    <col min="24" max="24" width="19.7109375" customWidth="1"/>
    <col min="30" max="30" width="33.85546875" customWidth="1"/>
    <col min="31" max="31" width="19.28515625" customWidth="1"/>
    <col min="32" max="32" width="31" customWidth="1"/>
    <col min="33" max="33" width="41.7109375" customWidth="1"/>
    <col min="34" max="34" width="41.85546875" customWidth="1"/>
    <col min="35" max="35" width="40.7109375" customWidth="1"/>
    <col min="36" max="36" width="42.5703125" customWidth="1"/>
    <col min="37" max="37" width="30.5703125" customWidth="1"/>
    <col min="38" max="38" width="14.5703125" customWidth="1"/>
    <col min="39" max="39" width="15.140625" customWidth="1"/>
    <col min="40" max="40" width="14.42578125" customWidth="1"/>
    <col min="41" max="41" width="13.42578125" customWidth="1"/>
  </cols>
  <sheetData>
    <row r="1" spans="1:41" ht="67.5">
      <c r="A1" s="247" t="s">
        <v>266</v>
      </c>
      <c r="B1" s="247" t="s">
        <v>4</v>
      </c>
      <c r="C1" s="247" t="s">
        <v>2</v>
      </c>
      <c r="D1" s="247" t="s">
        <v>3</v>
      </c>
      <c r="E1" s="247" t="s">
        <v>278</v>
      </c>
      <c r="F1" s="247" t="s">
        <v>269</v>
      </c>
      <c r="G1" s="247" t="s">
        <v>279</v>
      </c>
      <c r="H1" s="543"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45994</v>
      </c>
      <c r="AG1" s="519">
        <v>45995</v>
      </c>
      <c r="AH1" s="518">
        <v>45996</v>
      </c>
      <c r="AI1" s="519">
        <v>45999</v>
      </c>
      <c r="AJ1" s="519">
        <v>46000</v>
      </c>
      <c r="AK1" s="518">
        <v>46001</v>
      </c>
      <c r="AL1" s="518">
        <v>46002</v>
      </c>
      <c r="AM1" s="518">
        <v>46003</v>
      </c>
      <c r="AN1" s="518">
        <v>46006</v>
      </c>
      <c r="AO1" s="518">
        <v>46007</v>
      </c>
    </row>
    <row r="2" spans="1:41" ht="56.25" customHeight="1">
      <c r="A2" s="93">
        <v>1</v>
      </c>
      <c r="B2" s="93" t="s">
        <v>5</v>
      </c>
      <c r="C2" s="624">
        <v>45994</v>
      </c>
      <c r="D2" s="624">
        <v>46007</v>
      </c>
      <c r="E2" s="146" t="s">
        <v>1470</v>
      </c>
      <c r="F2" s="93" t="s">
        <v>465</v>
      </c>
      <c r="G2" s="93" t="s">
        <v>1471</v>
      </c>
      <c r="H2" s="235" t="s">
        <v>1472</v>
      </c>
      <c r="I2" s="151" t="s">
        <v>306</v>
      </c>
      <c r="J2" s="93">
        <v>3</v>
      </c>
      <c r="K2" s="93">
        <v>1.5</v>
      </c>
      <c r="L2" s="93">
        <v>6</v>
      </c>
      <c r="M2" s="93" t="s">
        <v>320</v>
      </c>
      <c r="N2" s="93" t="s">
        <v>320</v>
      </c>
      <c r="O2" s="93" t="s">
        <v>320</v>
      </c>
      <c r="P2" s="93" t="s">
        <v>320</v>
      </c>
      <c r="Q2" s="93" t="s">
        <v>320</v>
      </c>
      <c r="R2" s="93" t="s">
        <v>320</v>
      </c>
      <c r="S2" s="93" t="s">
        <v>320</v>
      </c>
      <c r="T2" s="93" t="s">
        <v>320</v>
      </c>
      <c r="U2" s="93" t="s">
        <v>320</v>
      </c>
      <c r="V2" s="93" t="s">
        <v>320</v>
      </c>
      <c r="W2" s="93" t="s">
        <v>320</v>
      </c>
      <c r="X2" s="93" t="s">
        <v>320</v>
      </c>
      <c r="Y2" s="93" t="s">
        <v>320</v>
      </c>
      <c r="Z2" s="93" t="s">
        <v>320</v>
      </c>
      <c r="AA2" s="93" t="s">
        <v>320</v>
      </c>
      <c r="AB2" s="93" t="s">
        <v>320</v>
      </c>
      <c r="AC2" s="93" t="s">
        <v>320</v>
      </c>
      <c r="AD2" s="536" t="s">
        <v>306</v>
      </c>
      <c r="AE2" s="490" t="s">
        <v>423</v>
      </c>
      <c r="AF2" s="96" t="s">
        <v>1473</v>
      </c>
      <c r="AG2" s="93" t="s">
        <v>1474</v>
      </c>
      <c r="AH2" s="93" t="s">
        <v>12</v>
      </c>
      <c r="AI2" s="93" t="s">
        <v>434</v>
      </c>
      <c r="AJ2" s="93" t="s">
        <v>434</v>
      </c>
      <c r="AK2" s="93" t="s">
        <v>434</v>
      </c>
      <c r="AL2" s="93" t="s">
        <v>434</v>
      </c>
      <c r="AM2" s="93" t="s">
        <v>434</v>
      </c>
      <c r="AN2" s="93" t="s">
        <v>434</v>
      </c>
      <c r="AO2" s="93" t="s">
        <v>434</v>
      </c>
    </row>
    <row r="3" spans="1:41" ht="48">
      <c r="A3" s="93">
        <v>2</v>
      </c>
      <c r="B3" s="93" t="s">
        <v>5</v>
      </c>
      <c r="C3" s="624">
        <v>45994</v>
      </c>
      <c r="D3" s="624">
        <v>46007</v>
      </c>
      <c r="E3" s="146" t="s">
        <v>1470</v>
      </c>
      <c r="F3" s="93" t="s">
        <v>313</v>
      </c>
      <c r="G3" s="93">
        <v>47277</v>
      </c>
      <c r="H3" s="96" t="s">
        <v>1475</v>
      </c>
      <c r="I3" s="151" t="s">
        <v>306</v>
      </c>
      <c r="J3" s="93">
        <v>3</v>
      </c>
      <c r="K3" s="93">
        <v>8</v>
      </c>
      <c r="L3" s="93">
        <v>32</v>
      </c>
      <c r="M3" s="171">
        <v>45994</v>
      </c>
      <c r="N3" s="171">
        <v>45982</v>
      </c>
      <c r="O3" s="93" t="s">
        <v>320</v>
      </c>
      <c r="P3" s="93" t="s">
        <v>320</v>
      </c>
      <c r="Q3" s="93" t="s">
        <v>320</v>
      </c>
      <c r="R3" s="93" t="s">
        <v>320</v>
      </c>
      <c r="S3" s="93" t="s">
        <v>320</v>
      </c>
      <c r="T3" s="93" t="s">
        <v>320</v>
      </c>
      <c r="U3" s="93" t="s">
        <v>320</v>
      </c>
      <c r="V3" s="93" t="s">
        <v>320</v>
      </c>
      <c r="W3" s="93" t="s">
        <v>320</v>
      </c>
      <c r="X3" s="93" t="s">
        <v>320</v>
      </c>
      <c r="Y3" s="93" t="s">
        <v>320</v>
      </c>
      <c r="Z3" s="93" t="s">
        <v>320</v>
      </c>
      <c r="AA3" s="93" t="s">
        <v>320</v>
      </c>
      <c r="AB3" s="96" t="s">
        <v>316</v>
      </c>
      <c r="AC3" s="96" t="s">
        <v>316</v>
      </c>
      <c r="AD3" s="536" t="s">
        <v>306</v>
      </c>
      <c r="AE3" s="490" t="s">
        <v>423</v>
      </c>
      <c r="AF3" s="96" t="s">
        <v>1476</v>
      </c>
      <c r="AG3" s="93" t="s">
        <v>1477</v>
      </c>
      <c r="AH3" s="93" t="s">
        <v>1477</v>
      </c>
      <c r="AI3" s="93" t="s">
        <v>1477</v>
      </c>
      <c r="AJ3" s="93" t="s">
        <v>1234</v>
      </c>
      <c r="AK3" s="93" t="s">
        <v>1234</v>
      </c>
      <c r="AL3" s="93" t="s">
        <v>1478</v>
      </c>
      <c r="AM3" s="93" t="s">
        <v>944</v>
      </c>
      <c r="AN3" s="96" t="s">
        <v>1479</v>
      </c>
      <c r="AO3" s="93" t="s">
        <v>434</v>
      </c>
    </row>
    <row r="4" spans="1:41" ht="48">
      <c r="A4" s="118">
        <v>3</v>
      </c>
      <c r="B4" s="118" t="s">
        <v>5</v>
      </c>
      <c r="C4" s="627">
        <v>45994</v>
      </c>
      <c r="D4" s="627">
        <v>46007</v>
      </c>
      <c r="E4" s="189" t="s">
        <v>1470</v>
      </c>
      <c r="F4" s="118" t="s">
        <v>313</v>
      </c>
      <c r="G4" s="134">
        <v>48446</v>
      </c>
      <c r="H4" s="119" t="s">
        <v>1480</v>
      </c>
      <c r="I4" s="536" t="s">
        <v>306</v>
      </c>
      <c r="J4" s="118">
        <v>5</v>
      </c>
      <c r="K4" s="118">
        <v>5</v>
      </c>
      <c r="L4" s="118">
        <v>20</v>
      </c>
      <c r="M4" s="649">
        <v>45994</v>
      </c>
      <c r="N4" s="649">
        <v>45995</v>
      </c>
      <c r="O4" s="93" t="s">
        <v>320</v>
      </c>
      <c r="P4" s="93" t="s">
        <v>320</v>
      </c>
      <c r="Q4" s="93" t="s">
        <v>320</v>
      </c>
      <c r="R4" s="93" t="s">
        <v>320</v>
      </c>
      <c r="S4" s="93" t="s">
        <v>320</v>
      </c>
      <c r="T4" s="93" t="s">
        <v>320</v>
      </c>
      <c r="U4" s="93" t="s">
        <v>320</v>
      </c>
      <c r="V4" s="93" t="s">
        <v>320</v>
      </c>
      <c r="W4" s="93" t="s">
        <v>320</v>
      </c>
      <c r="X4" s="93" t="s">
        <v>320</v>
      </c>
      <c r="Y4" s="93" t="s">
        <v>320</v>
      </c>
      <c r="Z4" s="93" t="s">
        <v>320</v>
      </c>
      <c r="AA4" s="93" t="s">
        <v>320</v>
      </c>
      <c r="AB4" s="96" t="s">
        <v>316</v>
      </c>
      <c r="AC4" s="96" t="s">
        <v>316</v>
      </c>
      <c r="AD4" s="536" t="s">
        <v>306</v>
      </c>
      <c r="AE4" s="490" t="s">
        <v>423</v>
      </c>
      <c r="AF4" s="119" t="s">
        <v>1481</v>
      </c>
      <c r="AG4" s="118" t="s">
        <v>1482</v>
      </c>
      <c r="AH4" s="118" t="s">
        <v>1482</v>
      </c>
      <c r="AI4" s="93" t="s">
        <v>1477</v>
      </c>
      <c r="AJ4" s="93" t="s">
        <v>1234</v>
      </c>
      <c r="AK4" s="96" t="s">
        <v>1483</v>
      </c>
      <c r="AL4" s="93" t="s">
        <v>944</v>
      </c>
      <c r="AM4" s="93" t="s">
        <v>944</v>
      </c>
      <c r="AN4" s="119" t="s">
        <v>1484</v>
      </c>
      <c r="AO4" s="118" t="s">
        <v>434</v>
      </c>
    </row>
    <row r="5" spans="1:41" ht="60">
      <c r="A5" s="93">
        <v>4</v>
      </c>
      <c r="B5" s="93" t="s">
        <v>5</v>
      </c>
      <c r="C5" s="624">
        <v>45994</v>
      </c>
      <c r="D5" s="624">
        <v>46007</v>
      </c>
      <c r="E5" s="146" t="s">
        <v>1470</v>
      </c>
      <c r="F5" s="93" t="s">
        <v>315</v>
      </c>
      <c r="G5" s="93" t="s">
        <v>1485</v>
      </c>
      <c r="H5" s="96" t="s">
        <v>1486</v>
      </c>
      <c r="I5" s="151" t="s">
        <v>376</v>
      </c>
      <c r="J5" s="93">
        <v>1</v>
      </c>
      <c r="K5" s="93">
        <v>1.08</v>
      </c>
      <c r="L5" s="93">
        <v>4.33</v>
      </c>
      <c r="M5" s="171">
        <v>45994</v>
      </c>
      <c r="N5" s="171">
        <v>46002</v>
      </c>
      <c r="O5" s="96" t="s">
        <v>12</v>
      </c>
      <c r="P5" s="96" t="s">
        <v>313</v>
      </c>
      <c r="Q5" s="96" t="s">
        <v>316</v>
      </c>
      <c r="R5" s="96" t="s">
        <v>317</v>
      </c>
      <c r="S5" s="96" t="s">
        <v>316</v>
      </c>
      <c r="T5" s="130" t="s">
        <v>1487</v>
      </c>
      <c r="U5" s="171">
        <v>46003</v>
      </c>
      <c r="V5" s="171">
        <v>46003</v>
      </c>
      <c r="W5" s="96" t="s">
        <v>316</v>
      </c>
      <c r="X5" s="96" t="s">
        <v>1488</v>
      </c>
      <c r="Y5" s="96" t="s">
        <v>319</v>
      </c>
      <c r="Z5" s="96" t="s">
        <v>320</v>
      </c>
      <c r="AA5" s="96" t="s">
        <v>316</v>
      </c>
      <c r="AB5" s="96" t="s">
        <v>316</v>
      </c>
      <c r="AC5" s="96" t="s">
        <v>316</v>
      </c>
      <c r="AD5" s="151" t="s">
        <v>376</v>
      </c>
      <c r="AE5" s="490" t="s">
        <v>423</v>
      </c>
      <c r="AF5" s="93"/>
      <c r="AG5" s="93" t="s">
        <v>1489</v>
      </c>
      <c r="AH5" s="93"/>
      <c r="AI5" s="118" t="s">
        <v>1482</v>
      </c>
      <c r="AJ5" s="93" t="s">
        <v>1490</v>
      </c>
      <c r="AK5" s="96" t="s">
        <v>1490</v>
      </c>
      <c r="AL5" s="93" t="s">
        <v>1491</v>
      </c>
      <c r="AM5" s="93" t="s">
        <v>1492</v>
      </c>
      <c r="AN5" s="96" t="s">
        <v>1493</v>
      </c>
      <c r="AO5" s="96" t="s">
        <v>945</v>
      </c>
    </row>
    <row r="6" spans="1:41" ht="84">
      <c r="A6" s="93">
        <v>5</v>
      </c>
      <c r="B6" s="93" t="s">
        <v>5</v>
      </c>
      <c r="C6" s="624">
        <v>45994</v>
      </c>
      <c r="D6" s="624">
        <v>46007</v>
      </c>
      <c r="E6" s="146" t="s">
        <v>1470</v>
      </c>
      <c r="F6" s="93" t="s">
        <v>315</v>
      </c>
      <c r="G6" s="93">
        <v>50907</v>
      </c>
      <c r="H6" s="96" t="s">
        <v>1328</v>
      </c>
      <c r="I6" s="536" t="s">
        <v>503</v>
      </c>
      <c r="J6" s="93">
        <v>5</v>
      </c>
      <c r="K6" s="93"/>
      <c r="L6" s="93">
        <v>31.5</v>
      </c>
      <c r="M6" s="171">
        <v>45994</v>
      </c>
      <c r="N6" s="171">
        <v>46006</v>
      </c>
      <c r="O6" s="96" t="s">
        <v>12</v>
      </c>
      <c r="P6" s="96" t="s">
        <v>313</v>
      </c>
      <c r="Q6" s="96" t="s">
        <v>316</v>
      </c>
      <c r="R6" s="96" t="s">
        <v>317</v>
      </c>
      <c r="S6" s="96" t="s">
        <v>316</v>
      </c>
      <c r="T6" s="130" t="s">
        <v>1494</v>
      </c>
      <c r="U6" s="171">
        <v>46006</v>
      </c>
      <c r="V6" s="171">
        <v>46006</v>
      </c>
      <c r="W6" s="96" t="s">
        <v>316</v>
      </c>
      <c r="X6" s="96" t="s">
        <v>319</v>
      </c>
      <c r="Y6" s="96" t="s">
        <v>319</v>
      </c>
      <c r="Z6" s="96" t="s">
        <v>320</v>
      </c>
      <c r="AA6" s="96" t="s">
        <v>316</v>
      </c>
      <c r="AB6" s="96" t="s">
        <v>316</v>
      </c>
      <c r="AC6" s="96" t="s">
        <v>316</v>
      </c>
      <c r="AD6" s="96" t="s">
        <v>1495</v>
      </c>
      <c r="AE6" s="490" t="s">
        <v>423</v>
      </c>
      <c r="AF6" s="93"/>
      <c r="AG6" s="96" t="s">
        <v>1496</v>
      </c>
      <c r="AH6" s="93"/>
      <c r="AI6" s="93" t="s">
        <v>1497</v>
      </c>
      <c r="AJ6" s="93" t="s">
        <v>493</v>
      </c>
      <c r="AK6" s="96" t="s">
        <v>1498</v>
      </c>
      <c r="AL6" s="93" t="s">
        <v>1499</v>
      </c>
      <c r="AM6" s="96" t="s">
        <v>1500</v>
      </c>
      <c r="AN6" s="93" t="s">
        <v>1003</v>
      </c>
      <c r="AO6" s="96" t="s">
        <v>1501</v>
      </c>
    </row>
    <row r="7" spans="1:41" ht="60">
      <c r="A7" s="93">
        <v>6</v>
      </c>
      <c r="B7" s="93" t="s">
        <v>5</v>
      </c>
      <c r="C7" s="624">
        <v>45994</v>
      </c>
      <c r="D7" s="624">
        <v>46007</v>
      </c>
      <c r="E7" s="146" t="s">
        <v>1470</v>
      </c>
      <c r="F7" s="93" t="s">
        <v>465</v>
      </c>
      <c r="G7" s="93">
        <v>50918</v>
      </c>
      <c r="H7" s="96" t="s">
        <v>1502</v>
      </c>
      <c r="I7" s="536" t="s">
        <v>306</v>
      </c>
      <c r="J7" s="93">
        <v>2</v>
      </c>
      <c r="K7" s="93">
        <v>2.75</v>
      </c>
      <c r="L7" s="93">
        <v>11</v>
      </c>
      <c r="M7" s="171">
        <v>45995</v>
      </c>
      <c r="N7" s="93" t="s">
        <v>320</v>
      </c>
      <c r="O7" s="93" t="s">
        <v>320</v>
      </c>
      <c r="P7" s="93" t="s">
        <v>320</v>
      </c>
      <c r="Q7" s="93" t="s">
        <v>320</v>
      </c>
      <c r="R7" s="93" t="s">
        <v>320</v>
      </c>
      <c r="S7" s="93" t="s">
        <v>320</v>
      </c>
      <c r="T7" s="93" t="s">
        <v>320</v>
      </c>
      <c r="U7" s="93" t="s">
        <v>320</v>
      </c>
      <c r="V7" s="93" t="s">
        <v>320</v>
      </c>
      <c r="W7" s="93" t="s">
        <v>320</v>
      </c>
      <c r="X7" s="93" t="s">
        <v>320</v>
      </c>
      <c r="Y7" s="93" t="s">
        <v>320</v>
      </c>
      <c r="Z7" s="93" t="s">
        <v>320</v>
      </c>
      <c r="AA7" s="93" t="s">
        <v>320</v>
      </c>
      <c r="AB7" s="96" t="s">
        <v>320</v>
      </c>
      <c r="AC7" s="96" t="s">
        <v>320</v>
      </c>
      <c r="AD7" s="536" t="s">
        <v>306</v>
      </c>
      <c r="AE7" s="490" t="s">
        <v>423</v>
      </c>
      <c r="AF7" s="93" t="s">
        <v>1503</v>
      </c>
      <c r="AG7" s="96" t="s">
        <v>1504</v>
      </c>
      <c r="AH7" s="100" t="s">
        <v>1505</v>
      </c>
      <c r="AI7" s="96" t="s">
        <v>1506</v>
      </c>
      <c r="AJ7" s="96" t="s">
        <v>1507</v>
      </c>
      <c r="AK7" s="96" t="s">
        <v>1508</v>
      </c>
      <c r="AL7" s="96" t="s">
        <v>1509</v>
      </c>
      <c r="AM7" s="93"/>
      <c r="AN7" s="96" t="s">
        <v>1459</v>
      </c>
      <c r="AO7" s="93" t="s">
        <v>434</v>
      </c>
    </row>
    <row r="8" spans="1:41" ht="60">
      <c r="A8" s="93">
        <v>7</v>
      </c>
      <c r="B8" s="93" t="s">
        <v>5</v>
      </c>
      <c r="C8" s="624">
        <v>45994</v>
      </c>
      <c r="D8" s="624">
        <v>46007</v>
      </c>
      <c r="E8" s="146" t="s">
        <v>1470</v>
      </c>
      <c r="F8" s="93" t="s">
        <v>317</v>
      </c>
      <c r="G8" s="93" t="s">
        <v>1510</v>
      </c>
      <c r="H8" s="96" t="s">
        <v>1511</v>
      </c>
      <c r="I8" s="93" t="s">
        <v>306</v>
      </c>
      <c r="J8" s="93">
        <v>0</v>
      </c>
      <c r="K8" s="93">
        <v>2.625</v>
      </c>
      <c r="L8" s="93">
        <v>10.5</v>
      </c>
      <c r="M8" s="171">
        <v>45994</v>
      </c>
      <c r="N8" s="93"/>
      <c r="O8" s="93"/>
      <c r="P8" s="93"/>
      <c r="Q8" s="93"/>
      <c r="R8" s="93"/>
      <c r="S8" s="93"/>
      <c r="T8" s="93"/>
      <c r="U8" s="93"/>
      <c r="V8" s="93"/>
      <c r="W8" s="93"/>
      <c r="X8" s="93"/>
      <c r="Y8" s="93"/>
      <c r="Z8" s="93"/>
      <c r="AA8" s="93"/>
      <c r="AB8" s="93"/>
      <c r="AC8" s="93"/>
      <c r="AD8" s="536" t="s">
        <v>306</v>
      </c>
      <c r="AE8" s="490" t="s">
        <v>423</v>
      </c>
      <c r="AF8" s="93"/>
      <c r="AG8" s="96" t="s">
        <v>1512</v>
      </c>
      <c r="AH8" s="93" t="s">
        <v>12</v>
      </c>
      <c r="AI8" s="93" t="s">
        <v>434</v>
      </c>
      <c r="AJ8" s="93" t="s">
        <v>434</v>
      </c>
      <c r="AK8" s="93" t="s">
        <v>434</v>
      </c>
      <c r="AL8" s="93" t="s">
        <v>434</v>
      </c>
      <c r="AM8" s="93" t="s">
        <v>434</v>
      </c>
      <c r="AN8" s="93" t="s">
        <v>434</v>
      </c>
      <c r="AO8" s="93" t="s">
        <v>434</v>
      </c>
    </row>
    <row r="9" spans="1:41" ht="84">
      <c r="A9" s="93">
        <v>8</v>
      </c>
      <c r="B9" s="93" t="s">
        <v>5</v>
      </c>
      <c r="C9" s="624">
        <v>45994</v>
      </c>
      <c r="D9" s="624">
        <v>46007</v>
      </c>
      <c r="E9" s="146" t="s">
        <v>1470</v>
      </c>
      <c r="F9" s="93" t="s">
        <v>317</v>
      </c>
      <c r="G9" s="135">
        <v>87052</v>
      </c>
      <c r="H9" s="96" t="s">
        <v>1513</v>
      </c>
      <c r="I9" s="536" t="s">
        <v>306</v>
      </c>
      <c r="J9" s="93">
        <v>0</v>
      </c>
      <c r="K9" s="93">
        <v>0.625</v>
      </c>
      <c r="L9" s="93">
        <v>2.5</v>
      </c>
      <c r="M9" s="171">
        <v>45994</v>
      </c>
      <c r="N9" s="171">
        <v>46007</v>
      </c>
      <c r="O9" s="93" t="s">
        <v>320</v>
      </c>
      <c r="P9" s="93" t="s">
        <v>320</v>
      </c>
      <c r="Q9" s="93" t="s">
        <v>320</v>
      </c>
      <c r="R9" s="93" t="s">
        <v>320</v>
      </c>
      <c r="S9" s="93" t="s">
        <v>320</v>
      </c>
      <c r="T9" s="93" t="s">
        <v>320</v>
      </c>
      <c r="U9" s="93" t="s">
        <v>320</v>
      </c>
      <c r="V9" s="93" t="s">
        <v>320</v>
      </c>
      <c r="W9" s="93" t="s">
        <v>320</v>
      </c>
      <c r="X9" s="93" t="s">
        <v>320</v>
      </c>
      <c r="Y9" s="93" t="s">
        <v>320</v>
      </c>
      <c r="Z9" s="93" t="s">
        <v>320</v>
      </c>
      <c r="AA9" s="93" t="s">
        <v>320</v>
      </c>
      <c r="AB9" s="93" t="s">
        <v>320</v>
      </c>
      <c r="AC9" s="93" t="s">
        <v>320</v>
      </c>
      <c r="AD9" s="536" t="s">
        <v>306</v>
      </c>
      <c r="AE9" s="490" t="s">
        <v>423</v>
      </c>
      <c r="AF9" s="93"/>
      <c r="AG9" s="96" t="s">
        <v>1514</v>
      </c>
      <c r="AH9" s="93" t="s">
        <v>940</v>
      </c>
      <c r="AI9" s="93" t="s">
        <v>1515</v>
      </c>
      <c r="AJ9" s="93" t="s">
        <v>1516</v>
      </c>
      <c r="AK9" s="93" t="s">
        <v>1516</v>
      </c>
      <c r="AL9" s="96" t="s">
        <v>1517</v>
      </c>
      <c r="AM9" s="93" t="s">
        <v>1518</v>
      </c>
      <c r="AN9" s="93" t="s">
        <v>434</v>
      </c>
      <c r="AO9" s="93" t="s">
        <v>434</v>
      </c>
    </row>
    <row r="10" spans="1:41" ht="36">
      <c r="A10" s="93">
        <v>9</v>
      </c>
      <c r="B10" s="93" t="s">
        <v>671</v>
      </c>
      <c r="C10" s="624">
        <v>45994</v>
      </c>
      <c r="D10" s="624">
        <v>46007</v>
      </c>
      <c r="E10" s="146" t="s">
        <v>1470</v>
      </c>
      <c r="F10" s="93" t="s">
        <v>317</v>
      </c>
      <c r="G10" s="93">
        <v>49950</v>
      </c>
      <c r="H10" s="96" t="s">
        <v>1519</v>
      </c>
      <c r="I10" s="93" t="s">
        <v>306</v>
      </c>
      <c r="J10" s="93">
        <v>2</v>
      </c>
      <c r="K10" s="93">
        <v>3</v>
      </c>
      <c r="L10" s="93">
        <v>12</v>
      </c>
      <c r="M10" s="171">
        <v>45994</v>
      </c>
      <c r="N10" s="171">
        <v>46007</v>
      </c>
      <c r="O10" s="93" t="s">
        <v>320</v>
      </c>
      <c r="P10" s="93" t="s">
        <v>320</v>
      </c>
      <c r="Q10" s="93" t="s">
        <v>320</v>
      </c>
      <c r="R10" s="93" t="s">
        <v>320</v>
      </c>
      <c r="S10" s="93" t="s">
        <v>320</v>
      </c>
      <c r="T10" s="93" t="s">
        <v>320</v>
      </c>
      <c r="U10" s="93" t="s">
        <v>320</v>
      </c>
      <c r="V10" s="93" t="s">
        <v>320</v>
      </c>
      <c r="W10" s="93" t="s">
        <v>320</v>
      </c>
      <c r="X10" s="93" t="s">
        <v>320</v>
      </c>
      <c r="Y10" s="93" t="s">
        <v>320</v>
      </c>
      <c r="Z10" s="93" t="s">
        <v>320</v>
      </c>
      <c r="AA10" s="93" t="s">
        <v>320</v>
      </c>
      <c r="AB10" s="93" t="s">
        <v>320</v>
      </c>
      <c r="AC10" s="93" t="s">
        <v>320</v>
      </c>
      <c r="AD10" s="96" t="s">
        <v>1520</v>
      </c>
      <c r="AE10" s="490" t="s">
        <v>423</v>
      </c>
      <c r="AF10" s="93"/>
      <c r="AG10" s="96" t="s">
        <v>1521</v>
      </c>
      <c r="AH10" s="93" t="s">
        <v>940</v>
      </c>
      <c r="AI10" s="96" t="s">
        <v>1521</v>
      </c>
      <c r="AJ10" s="93" t="s">
        <v>1516</v>
      </c>
      <c r="AK10" s="93" t="s">
        <v>1516</v>
      </c>
      <c r="AL10" s="96" t="s">
        <v>1522</v>
      </c>
      <c r="AM10" s="93" t="s">
        <v>1523</v>
      </c>
      <c r="AN10" s="96" t="s">
        <v>1524</v>
      </c>
      <c r="AO10" s="96" t="s">
        <v>1525</v>
      </c>
    </row>
    <row r="11" spans="1:41" ht="84">
      <c r="A11" s="93">
        <v>10</v>
      </c>
      <c r="B11" s="93" t="s">
        <v>671</v>
      </c>
      <c r="C11" s="624">
        <v>45994</v>
      </c>
      <c r="D11" s="624">
        <v>46007</v>
      </c>
      <c r="E11" s="146" t="s">
        <v>1470</v>
      </c>
      <c r="F11" s="93" t="s">
        <v>313</v>
      </c>
      <c r="G11" s="93">
        <v>48447</v>
      </c>
      <c r="H11" s="96" t="s">
        <v>1332</v>
      </c>
      <c r="I11" s="151" t="s">
        <v>503</v>
      </c>
      <c r="J11" s="93">
        <v>5</v>
      </c>
      <c r="K11" s="93"/>
      <c r="L11" s="93">
        <v>13</v>
      </c>
      <c r="M11" s="171">
        <v>45996</v>
      </c>
      <c r="N11" s="171">
        <v>45999</v>
      </c>
      <c r="O11" s="93" t="s">
        <v>320</v>
      </c>
      <c r="P11" s="93" t="s">
        <v>320</v>
      </c>
      <c r="Q11" s="93" t="s">
        <v>320</v>
      </c>
      <c r="R11" s="93" t="s">
        <v>320</v>
      </c>
      <c r="S11" s="93" t="s">
        <v>320</v>
      </c>
      <c r="T11" s="93" t="s">
        <v>320</v>
      </c>
      <c r="U11" s="93" t="s">
        <v>320</v>
      </c>
      <c r="V11" s="93" t="s">
        <v>320</v>
      </c>
      <c r="W11" s="93" t="s">
        <v>320</v>
      </c>
      <c r="X11" s="93" t="s">
        <v>320</v>
      </c>
      <c r="Y11" s="93" t="s">
        <v>320</v>
      </c>
      <c r="Z11" s="93" t="s">
        <v>320</v>
      </c>
      <c r="AA11" s="93" t="s">
        <v>320</v>
      </c>
      <c r="AB11" s="96" t="s">
        <v>316</v>
      </c>
      <c r="AC11" s="96" t="s">
        <v>316</v>
      </c>
      <c r="AD11" s="96" t="s">
        <v>1526</v>
      </c>
      <c r="AE11" s="490" t="s">
        <v>423</v>
      </c>
      <c r="AF11" s="93"/>
      <c r="AG11" s="93"/>
      <c r="AH11" s="93"/>
      <c r="AI11" s="93" t="s">
        <v>1527</v>
      </c>
      <c r="AJ11" s="96" t="s">
        <v>1528</v>
      </c>
      <c r="AK11" s="96" t="s">
        <v>1529</v>
      </c>
      <c r="AL11" s="96" t="s">
        <v>1529</v>
      </c>
      <c r="AM11" s="96" t="s">
        <v>1530</v>
      </c>
      <c r="AN11" s="96" t="s">
        <v>607</v>
      </c>
      <c r="AO11" s="96" t="s">
        <v>1531</v>
      </c>
    </row>
    <row r="12" spans="1:41" ht="63.75" customHeight="1">
      <c r="A12" s="93">
        <v>11</v>
      </c>
      <c r="B12" s="93" t="s">
        <v>671</v>
      </c>
      <c r="C12" s="624">
        <v>45994</v>
      </c>
      <c r="D12" s="624">
        <v>46007</v>
      </c>
      <c r="E12" s="146" t="s">
        <v>1532</v>
      </c>
      <c r="F12" s="93" t="s">
        <v>313</v>
      </c>
      <c r="G12" s="93">
        <v>25952</v>
      </c>
      <c r="H12" s="96" t="s">
        <v>1533</v>
      </c>
      <c r="I12" s="151" t="s">
        <v>376</v>
      </c>
      <c r="J12" s="93">
        <v>2</v>
      </c>
      <c r="K12" s="93">
        <v>2.5</v>
      </c>
      <c r="L12" s="93">
        <v>10</v>
      </c>
      <c r="M12" s="171">
        <v>46000</v>
      </c>
      <c r="N12" s="171">
        <v>46001</v>
      </c>
      <c r="O12" s="93" t="s">
        <v>320</v>
      </c>
      <c r="P12" s="93" t="s">
        <v>320</v>
      </c>
      <c r="Q12" s="93" t="s">
        <v>320</v>
      </c>
      <c r="R12" s="93" t="s">
        <v>320</v>
      </c>
      <c r="S12" s="93" t="s">
        <v>320</v>
      </c>
      <c r="T12" s="93" t="s">
        <v>320</v>
      </c>
      <c r="U12" s="93" t="s">
        <v>320</v>
      </c>
      <c r="V12" s="93" t="s">
        <v>320</v>
      </c>
      <c r="W12" s="93" t="s">
        <v>320</v>
      </c>
      <c r="X12" s="93" t="s">
        <v>320</v>
      </c>
      <c r="Y12" s="93" t="s">
        <v>320</v>
      </c>
      <c r="Z12" s="93" t="s">
        <v>320</v>
      </c>
      <c r="AA12" s="93" t="s">
        <v>320</v>
      </c>
      <c r="AB12" s="93" t="s">
        <v>320</v>
      </c>
      <c r="AC12" s="93" t="s">
        <v>320</v>
      </c>
      <c r="AD12" s="96" t="s">
        <v>1534</v>
      </c>
      <c r="AE12" s="490" t="s">
        <v>423</v>
      </c>
      <c r="AF12" s="93"/>
      <c r="AG12" s="93"/>
      <c r="AH12" s="93"/>
      <c r="AI12" s="93"/>
      <c r="AJ12" s="96" t="s">
        <v>1535</v>
      </c>
      <c r="AK12" s="96" t="s">
        <v>1536</v>
      </c>
      <c r="AL12" s="93" t="s">
        <v>562</v>
      </c>
      <c r="AM12" s="93" t="s">
        <v>434</v>
      </c>
      <c r="AN12" s="93" t="s">
        <v>434</v>
      </c>
      <c r="AO12" s="93"/>
    </row>
    <row r="13" spans="1:41" ht="60">
      <c r="A13" s="93">
        <v>12</v>
      </c>
      <c r="B13" s="93" t="s">
        <v>671</v>
      </c>
      <c r="C13" s="624">
        <v>45994</v>
      </c>
      <c r="D13" s="624">
        <v>46007</v>
      </c>
      <c r="E13" s="146" t="s">
        <v>1532</v>
      </c>
      <c r="F13" s="93" t="s">
        <v>313</v>
      </c>
      <c r="G13" s="93">
        <v>26436</v>
      </c>
      <c r="H13" s="96" t="s">
        <v>1537</v>
      </c>
      <c r="I13" s="151" t="s">
        <v>376</v>
      </c>
      <c r="J13" s="93">
        <v>2</v>
      </c>
      <c r="K13" s="93">
        <v>2.25</v>
      </c>
      <c r="L13" s="93">
        <v>9</v>
      </c>
      <c r="M13" s="171">
        <v>46002</v>
      </c>
      <c r="N13" s="171">
        <v>46002</v>
      </c>
      <c r="O13" s="96" t="s">
        <v>12</v>
      </c>
      <c r="P13" s="96" t="s">
        <v>315</v>
      </c>
      <c r="Q13" s="96" t="s">
        <v>316</v>
      </c>
      <c r="R13" s="96" t="s">
        <v>317</v>
      </c>
      <c r="S13" s="96" t="s">
        <v>316</v>
      </c>
      <c r="T13" s="130" t="s">
        <v>1538</v>
      </c>
      <c r="U13" s="158">
        <v>46003</v>
      </c>
      <c r="V13" s="158">
        <v>46003</v>
      </c>
      <c r="W13" s="96" t="s">
        <v>316</v>
      </c>
      <c r="X13" s="96" t="s">
        <v>319</v>
      </c>
      <c r="Y13" s="96" t="s">
        <v>319</v>
      </c>
      <c r="Z13" s="96" t="s">
        <v>320</v>
      </c>
      <c r="AA13" s="96" t="s">
        <v>316</v>
      </c>
      <c r="AB13" s="96" t="s">
        <v>316</v>
      </c>
      <c r="AC13" s="96" t="s">
        <v>316</v>
      </c>
      <c r="AD13" s="151" t="s">
        <v>376</v>
      </c>
      <c r="AE13" s="490" t="s">
        <v>423</v>
      </c>
      <c r="AF13" s="93"/>
      <c r="AG13" s="93"/>
      <c r="AH13" s="93"/>
      <c r="AI13" s="93"/>
      <c r="AJ13" s="93"/>
      <c r="AK13" s="93"/>
      <c r="AL13" s="93" t="s">
        <v>1539</v>
      </c>
      <c r="AM13" s="93" t="s">
        <v>1540</v>
      </c>
      <c r="AN13" s="96" t="s">
        <v>1541</v>
      </c>
      <c r="AO13" s="93"/>
    </row>
    <row r="14" spans="1:41" ht="72">
      <c r="A14" s="118">
        <v>13</v>
      </c>
      <c r="B14" s="118" t="s">
        <v>671</v>
      </c>
      <c r="C14" s="627">
        <v>45994</v>
      </c>
      <c r="D14" s="627">
        <v>46007</v>
      </c>
      <c r="E14" s="189" t="s">
        <v>1532</v>
      </c>
      <c r="F14" s="118" t="s">
        <v>313</v>
      </c>
      <c r="G14" s="135">
        <v>26348</v>
      </c>
      <c r="H14" s="119" t="s">
        <v>1542</v>
      </c>
      <c r="I14" s="536" t="s">
        <v>1303</v>
      </c>
      <c r="J14" s="118">
        <v>0.5</v>
      </c>
      <c r="K14" s="118"/>
      <c r="L14" s="118">
        <v>6</v>
      </c>
      <c r="M14" s="649">
        <v>46002</v>
      </c>
      <c r="N14" s="93" t="s">
        <v>320</v>
      </c>
      <c r="O14" s="93" t="s">
        <v>320</v>
      </c>
      <c r="P14" s="93" t="s">
        <v>320</v>
      </c>
      <c r="Q14" s="93" t="s">
        <v>320</v>
      </c>
      <c r="R14" s="93" t="s">
        <v>320</v>
      </c>
      <c r="S14" s="93" t="s">
        <v>320</v>
      </c>
      <c r="T14" s="93" t="s">
        <v>320</v>
      </c>
      <c r="U14" s="93" t="s">
        <v>320</v>
      </c>
      <c r="V14" s="93" t="s">
        <v>320</v>
      </c>
      <c r="W14" s="93" t="s">
        <v>320</v>
      </c>
      <c r="X14" s="93" t="s">
        <v>320</v>
      </c>
      <c r="Y14" s="93" t="s">
        <v>320</v>
      </c>
      <c r="Z14" s="93" t="s">
        <v>320</v>
      </c>
      <c r="AA14" s="93" t="s">
        <v>320</v>
      </c>
      <c r="AB14" s="93" t="s">
        <v>320</v>
      </c>
      <c r="AC14" s="93" t="s">
        <v>320</v>
      </c>
      <c r="AD14" s="119" t="s">
        <v>1543</v>
      </c>
      <c r="AE14" s="490" t="s">
        <v>423</v>
      </c>
      <c r="AF14" s="118"/>
      <c r="AG14" s="118"/>
      <c r="AH14" s="118"/>
      <c r="AI14" s="118"/>
      <c r="AJ14" s="118"/>
      <c r="AK14" s="118"/>
      <c r="AL14" s="118"/>
      <c r="AM14" s="119" t="s">
        <v>1544</v>
      </c>
      <c r="AN14" s="119" t="s">
        <v>1545</v>
      </c>
      <c r="AO14" s="119" t="s">
        <v>1546</v>
      </c>
    </row>
    <row r="15" spans="1:41" ht="60">
      <c r="A15" s="118">
        <v>14</v>
      </c>
      <c r="B15" s="118" t="s">
        <v>5</v>
      </c>
      <c r="C15" s="627">
        <v>45994</v>
      </c>
      <c r="D15" s="627">
        <v>46007</v>
      </c>
      <c r="E15" s="189" t="s">
        <v>1470</v>
      </c>
      <c r="F15" s="118" t="s">
        <v>315</v>
      </c>
      <c r="G15" s="118">
        <v>26417</v>
      </c>
      <c r="H15" s="119" t="s">
        <v>1547</v>
      </c>
      <c r="I15" s="536" t="s">
        <v>376</v>
      </c>
      <c r="J15" s="118">
        <v>0</v>
      </c>
      <c r="K15" s="118">
        <v>6.5</v>
      </c>
      <c r="L15" s="118">
        <v>26</v>
      </c>
      <c r="M15" s="649">
        <v>45996</v>
      </c>
      <c r="N15" s="649">
        <v>46002</v>
      </c>
      <c r="O15" s="119" t="s">
        <v>12</v>
      </c>
      <c r="P15" s="119" t="s">
        <v>313</v>
      </c>
      <c r="Q15" s="119" t="s">
        <v>316</v>
      </c>
      <c r="R15" s="119" t="s">
        <v>317</v>
      </c>
      <c r="S15" s="119" t="s">
        <v>316</v>
      </c>
      <c r="T15" s="170" t="s">
        <v>1548</v>
      </c>
      <c r="U15" s="644">
        <v>46003</v>
      </c>
      <c r="V15" s="644">
        <v>46003</v>
      </c>
      <c r="W15" s="119" t="s">
        <v>316</v>
      </c>
      <c r="X15" s="119" t="s">
        <v>319</v>
      </c>
      <c r="Y15" s="119" t="s">
        <v>319</v>
      </c>
      <c r="Z15" s="119" t="s">
        <v>320</v>
      </c>
      <c r="AA15" s="119" t="s">
        <v>316</v>
      </c>
      <c r="AB15" s="119" t="s">
        <v>316</v>
      </c>
      <c r="AC15" s="119" t="s">
        <v>316</v>
      </c>
      <c r="AD15" s="118" t="s">
        <v>1549</v>
      </c>
      <c r="AE15" s="490" t="s">
        <v>423</v>
      </c>
      <c r="AF15" s="118"/>
      <c r="AG15" s="118"/>
      <c r="AH15" s="118"/>
      <c r="AI15" s="118"/>
      <c r="AJ15" s="118"/>
      <c r="AK15" s="118"/>
      <c r="AL15" s="118"/>
      <c r="AM15" s="118"/>
      <c r="AN15" s="118"/>
      <c r="AO15" s="118" t="s">
        <v>12</v>
      </c>
    </row>
    <row r="16" spans="1:41" ht="48">
      <c r="A16" s="93">
        <v>15</v>
      </c>
      <c r="B16" s="93" t="s">
        <v>671</v>
      </c>
      <c r="C16" s="624">
        <v>45994</v>
      </c>
      <c r="D16" s="624">
        <v>46007</v>
      </c>
      <c r="E16" s="146" t="s">
        <v>1532</v>
      </c>
      <c r="F16" s="93" t="s">
        <v>315</v>
      </c>
      <c r="G16" s="93" t="s">
        <v>1550</v>
      </c>
      <c r="H16" s="96" t="s">
        <v>1305</v>
      </c>
      <c r="I16" s="151" t="s">
        <v>348</v>
      </c>
      <c r="J16" s="93">
        <v>3</v>
      </c>
      <c r="K16" s="93"/>
      <c r="L16" s="93">
        <v>3</v>
      </c>
      <c r="M16" s="171">
        <v>46007</v>
      </c>
      <c r="N16" s="93" t="s">
        <v>320</v>
      </c>
      <c r="O16" s="93" t="s">
        <v>320</v>
      </c>
      <c r="P16" s="93" t="s">
        <v>320</v>
      </c>
      <c r="Q16" s="93" t="s">
        <v>320</v>
      </c>
      <c r="R16" s="93" t="s">
        <v>320</v>
      </c>
      <c r="S16" s="93" t="s">
        <v>320</v>
      </c>
      <c r="T16" s="93" t="s">
        <v>320</v>
      </c>
      <c r="U16" s="93" t="s">
        <v>320</v>
      </c>
      <c r="V16" s="93" t="s">
        <v>320</v>
      </c>
      <c r="W16" s="93" t="s">
        <v>320</v>
      </c>
      <c r="X16" s="93" t="s">
        <v>320</v>
      </c>
      <c r="Y16" s="93" t="s">
        <v>320</v>
      </c>
      <c r="Z16" s="93" t="s">
        <v>320</v>
      </c>
      <c r="AA16" s="93" t="s">
        <v>320</v>
      </c>
      <c r="AB16" s="93" t="s">
        <v>320</v>
      </c>
      <c r="AC16" s="93" t="s">
        <v>320</v>
      </c>
      <c r="AD16" s="96" t="s">
        <v>1551</v>
      </c>
      <c r="AE16" s="490" t="s">
        <v>423</v>
      </c>
      <c r="AF16" s="93"/>
      <c r="AG16" s="93"/>
      <c r="AH16" s="93"/>
      <c r="AI16" s="93"/>
      <c r="AJ16" s="93"/>
      <c r="AK16" s="93"/>
      <c r="AL16" s="93"/>
      <c r="AM16" s="93"/>
      <c r="AN16" s="93"/>
      <c r="AO16" s="96" t="s">
        <v>1552</v>
      </c>
    </row>
    <row r="17" spans="1:41" ht="48">
      <c r="A17" s="118">
        <v>16</v>
      </c>
      <c r="B17" s="118" t="s">
        <v>671</v>
      </c>
      <c r="C17" s="627">
        <v>45994</v>
      </c>
      <c r="D17" s="627">
        <v>46007</v>
      </c>
      <c r="E17" s="189" t="s">
        <v>1532</v>
      </c>
      <c r="F17" s="118" t="s">
        <v>313</v>
      </c>
      <c r="G17" s="118">
        <v>44321</v>
      </c>
      <c r="H17" s="119" t="s">
        <v>1337</v>
      </c>
      <c r="I17" s="118" t="s">
        <v>399</v>
      </c>
      <c r="J17" s="118">
        <v>5</v>
      </c>
      <c r="K17" s="118"/>
      <c r="L17" s="118"/>
      <c r="M17" s="649">
        <v>46007</v>
      </c>
      <c r="N17" s="118" t="s">
        <v>320</v>
      </c>
      <c r="O17" s="118" t="s">
        <v>320</v>
      </c>
      <c r="P17" s="118" t="s">
        <v>320</v>
      </c>
      <c r="Q17" s="118" t="s">
        <v>320</v>
      </c>
      <c r="R17" s="118" t="s">
        <v>320</v>
      </c>
      <c r="S17" s="118" t="s">
        <v>320</v>
      </c>
      <c r="T17" s="118" t="s">
        <v>320</v>
      </c>
      <c r="U17" s="118" t="s">
        <v>320</v>
      </c>
      <c r="V17" s="118" t="s">
        <v>320</v>
      </c>
      <c r="W17" s="118" t="s">
        <v>320</v>
      </c>
      <c r="X17" s="118" t="s">
        <v>320</v>
      </c>
      <c r="Y17" s="118" t="s">
        <v>320</v>
      </c>
      <c r="Z17" s="118" t="s">
        <v>320</v>
      </c>
      <c r="AA17" s="118" t="s">
        <v>320</v>
      </c>
      <c r="AB17" s="118" t="s">
        <v>320</v>
      </c>
      <c r="AC17" s="118" t="s">
        <v>320</v>
      </c>
      <c r="AD17" s="119" t="s">
        <v>1551</v>
      </c>
      <c r="AE17" s="561" t="s">
        <v>423</v>
      </c>
      <c r="AF17" s="118"/>
      <c r="AG17" s="118"/>
      <c r="AH17" s="118"/>
      <c r="AI17" s="118"/>
      <c r="AJ17" s="93"/>
      <c r="AK17" s="93"/>
      <c r="AL17" s="93"/>
      <c r="AM17" s="93"/>
      <c r="AN17" s="93"/>
      <c r="AO17" s="96" t="s">
        <v>1553</v>
      </c>
    </row>
    <row r="18" spans="1:41" ht="30" customHeight="1">
      <c r="A18" s="93">
        <v>17</v>
      </c>
      <c r="B18" s="93" t="s">
        <v>671</v>
      </c>
      <c r="C18" s="624">
        <v>45994</v>
      </c>
      <c r="D18" s="624">
        <v>46007</v>
      </c>
      <c r="E18" s="146" t="s">
        <v>1532</v>
      </c>
      <c r="F18" s="93" t="s">
        <v>317</v>
      </c>
      <c r="G18" s="93" t="s">
        <v>1115</v>
      </c>
      <c r="H18" s="93" t="s">
        <v>1185</v>
      </c>
      <c r="I18" s="151" t="s">
        <v>1303</v>
      </c>
      <c r="J18" s="93">
        <v>0</v>
      </c>
      <c r="K18" s="93"/>
      <c r="L18" s="93"/>
      <c r="M18" s="171">
        <v>46007</v>
      </c>
      <c r="N18" s="93" t="s">
        <v>320</v>
      </c>
      <c r="O18" s="93" t="s">
        <v>320</v>
      </c>
      <c r="P18" s="93" t="s">
        <v>320</v>
      </c>
      <c r="Q18" s="93" t="s">
        <v>320</v>
      </c>
      <c r="R18" s="93" t="s">
        <v>320</v>
      </c>
      <c r="S18" s="93" t="s">
        <v>320</v>
      </c>
      <c r="T18" s="93" t="s">
        <v>320</v>
      </c>
      <c r="U18" s="93" t="s">
        <v>320</v>
      </c>
      <c r="V18" s="93" t="s">
        <v>320</v>
      </c>
      <c r="W18" s="93" t="s">
        <v>320</v>
      </c>
      <c r="X18" s="93" t="s">
        <v>320</v>
      </c>
      <c r="Y18" s="93" t="s">
        <v>320</v>
      </c>
      <c r="Z18" s="93" t="s">
        <v>320</v>
      </c>
      <c r="AA18" s="93" t="s">
        <v>320</v>
      </c>
      <c r="AB18" s="93" t="s">
        <v>320</v>
      </c>
      <c r="AC18" s="93" t="s">
        <v>320</v>
      </c>
      <c r="AD18" s="96" t="s">
        <v>1554</v>
      </c>
      <c r="AE18" s="490" t="s">
        <v>423</v>
      </c>
      <c r="AF18" s="93"/>
      <c r="AG18" s="93"/>
      <c r="AH18" s="93"/>
      <c r="AI18" s="93"/>
    </row>
  </sheetData>
  <autoFilter ref="A1:AO15" xr:uid="{0DB07625-CDC2-4632-933B-305101A35C98}"/>
  <conditionalFormatting sqref="J1">
    <cfRule type="containsText" dxfId="680" priority="34" operator="containsText" text="Closed">
      <formula>NOT(ISERROR(SEARCH("Closed",J1)))</formula>
    </cfRule>
    <cfRule type="containsText" dxfId="679" priority="35" operator="containsText" text="Open">
      <formula>NOT(ISERROR(SEARCH("Open",J1)))</formula>
    </cfRule>
    <cfRule type="containsText" dxfId="678" priority="36" operator="containsText" text="Inprogress">
      <formula>NOT(ISERROR(SEARCH("Inprogress",J1)))</formula>
    </cfRule>
  </conditionalFormatting>
  <conditionalFormatting sqref="I2:I7">
    <cfRule type="containsText" dxfId="677" priority="31" operator="containsText" text="Closed">
      <formula>NOT(ISERROR(SEARCH("Closed",I2)))</formula>
    </cfRule>
    <cfRule type="containsText" dxfId="676" priority="32" operator="containsText" text="Open">
      <formula>NOT(ISERROR(SEARCH("Open",I2)))</formula>
    </cfRule>
    <cfRule type="containsText" dxfId="675" priority="33" operator="containsText" text="Inprogress">
      <formula>NOT(ISERROR(SEARCH("Inprogress",I2)))</formula>
    </cfRule>
  </conditionalFormatting>
  <conditionalFormatting sqref="I11:I14">
    <cfRule type="containsText" dxfId="674" priority="28" operator="containsText" text="Closed">
      <formula>NOT(ISERROR(SEARCH("Closed",I11)))</formula>
    </cfRule>
    <cfRule type="containsText" dxfId="673" priority="29" operator="containsText" text="Open">
      <formula>NOT(ISERROR(SEARCH("Open",I11)))</formula>
    </cfRule>
    <cfRule type="containsText" dxfId="672" priority="30" operator="containsText" text="Inprogress">
      <formula>NOT(ISERROR(SEARCH("Inprogress",I11)))</formula>
    </cfRule>
  </conditionalFormatting>
  <conditionalFormatting sqref="I9">
    <cfRule type="containsText" dxfId="671" priority="25" operator="containsText" text="Closed">
      <formula>NOT(ISERROR(SEARCH("Closed",I9)))</formula>
    </cfRule>
    <cfRule type="containsText" dxfId="670" priority="26" operator="containsText" text="Open">
      <formula>NOT(ISERROR(SEARCH("Open",I9)))</formula>
    </cfRule>
    <cfRule type="containsText" dxfId="669" priority="27" operator="containsText" text="Inprogress">
      <formula>NOT(ISERROR(SEARCH("Inprogress",I9)))</formula>
    </cfRule>
  </conditionalFormatting>
  <conditionalFormatting sqref="I15">
    <cfRule type="containsText" dxfId="668" priority="22" operator="containsText" text="Closed">
      <formula>NOT(ISERROR(SEARCH("Closed",I15)))</formula>
    </cfRule>
    <cfRule type="containsText" dxfId="667" priority="23" operator="containsText" text="Open">
      <formula>NOT(ISERROR(SEARCH("Open",I15)))</formula>
    </cfRule>
    <cfRule type="containsText" dxfId="666" priority="24" operator="containsText" text="Inprogress">
      <formula>NOT(ISERROR(SEARCH("Inprogress",I15)))</formula>
    </cfRule>
  </conditionalFormatting>
  <conditionalFormatting sqref="I16">
    <cfRule type="containsText" dxfId="665" priority="19" operator="containsText" text="Closed">
      <formula>NOT(ISERROR(SEARCH("Closed",I16)))</formula>
    </cfRule>
    <cfRule type="containsText" dxfId="664" priority="20" operator="containsText" text="Open">
      <formula>NOT(ISERROR(SEARCH("Open",I16)))</formula>
    </cfRule>
    <cfRule type="containsText" dxfId="663" priority="21" operator="containsText" text="Inprogress">
      <formula>NOT(ISERROR(SEARCH("Inprogress",I16)))</formula>
    </cfRule>
  </conditionalFormatting>
  <conditionalFormatting sqref="I18">
    <cfRule type="containsText" dxfId="662" priority="16" operator="containsText" text="Closed">
      <formula>NOT(ISERROR(SEARCH("Closed",I18)))</formula>
    </cfRule>
    <cfRule type="containsText" dxfId="661" priority="17" operator="containsText" text="Open">
      <formula>NOT(ISERROR(SEARCH("Open",I18)))</formula>
    </cfRule>
    <cfRule type="containsText" dxfId="660" priority="18" operator="containsText" text="Inprogress">
      <formula>NOT(ISERROR(SEARCH("Inprogress",I18)))</formula>
    </cfRule>
  </conditionalFormatting>
  <conditionalFormatting sqref="AD8:AD9">
    <cfRule type="containsText" dxfId="659" priority="13" operator="containsText" text="Closed">
      <formula>NOT(ISERROR(SEARCH("Closed",AD8)))</formula>
    </cfRule>
    <cfRule type="containsText" dxfId="658" priority="14" operator="containsText" text="Open">
      <formula>NOT(ISERROR(SEARCH("Open",AD8)))</formula>
    </cfRule>
    <cfRule type="containsText" dxfId="657" priority="15" operator="containsText" text="Inprogress">
      <formula>NOT(ISERROR(SEARCH("Inprogress",AD8)))</formula>
    </cfRule>
  </conditionalFormatting>
  <conditionalFormatting sqref="AD7">
    <cfRule type="containsText" dxfId="656" priority="10" operator="containsText" text="Closed">
      <formula>NOT(ISERROR(SEARCH("Closed",AD7)))</formula>
    </cfRule>
    <cfRule type="containsText" dxfId="655" priority="11" operator="containsText" text="Open">
      <formula>NOT(ISERROR(SEARCH("Open",AD7)))</formula>
    </cfRule>
    <cfRule type="containsText" dxfId="654" priority="12" operator="containsText" text="Inprogress">
      <formula>NOT(ISERROR(SEARCH("Inprogress",AD7)))</formula>
    </cfRule>
  </conditionalFormatting>
  <conditionalFormatting sqref="AD5">
    <cfRule type="containsText" dxfId="653" priority="7" operator="containsText" text="Closed">
      <formula>NOT(ISERROR(SEARCH("Closed",AD5)))</formula>
    </cfRule>
    <cfRule type="containsText" dxfId="652" priority="8" operator="containsText" text="Open">
      <formula>NOT(ISERROR(SEARCH("Open",AD5)))</formula>
    </cfRule>
    <cfRule type="containsText" dxfId="651" priority="9" operator="containsText" text="Inprogress">
      <formula>NOT(ISERROR(SEARCH("Inprogress",AD5)))</formula>
    </cfRule>
  </conditionalFormatting>
  <conditionalFormatting sqref="AD2:AD4">
    <cfRule type="containsText" dxfId="650" priority="4" operator="containsText" text="Closed">
      <formula>NOT(ISERROR(SEARCH("Closed",AD2)))</formula>
    </cfRule>
    <cfRule type="containsText" dxfId="649" priority="5" operator="containsText" text="Open">
      <formula>NOT(ISERROR(SEARCH("Open",AD2)))</formula>
    </cfRule>
    <cfRule type="containsText" dxfId="648" priority="6" operator="containsText" text="Inprogress">
      <formula>NOT(ISERROR(SEARCH("Inprogress",AD2)))</formula>
    </cfRule>
  </conditionalFormatting>
  <conditionalFormatting sqref="AD13">
    <cfRule type="containsText" dxfId="647" priority="1" operator="containsText" text="Closed">
      <formula>NOT(ISERROR(SEARCH("Closed",AD13)))</formula>
    </cfRule>
    <cfRule type="containsText" dxfId="646" priority="2" operator="containsText" text="Open">
      <formula>NOT(ISERROR(SEARCH("Open",AD13)))</formula>
    </cfRule>
    <cfRule type="containsText" dxfId="645" priority="3" operator="containsText" text="Inprogress">
      <formula>NOT(ISERROR(SEARCH("Inprogress",AD13)))</formula>
    </cfRule>
  </conditionalFormatting>
  <dataValidations count="11">
    <dataValidation type="list" allowBlank="1" showErrorMessage="1" sqref="J1" xr:uid="{E78C18CC-02A5-4070-95DD-5DD0C4A8C667}">
      <formula1>"Open,Inprogress,Closed"</formula1>
    </dataValidation>
    <dataValidation showErrorMessage="1" sqref="I1" xr:uid="{3E43C01E-BF6C-44A0-8276-8CB1A302A339}"/>
    <dataValidation allowBlank="1" showInputMessage="1" showErrorMessage="1" sqref="AD1:AE1" xr:uid="{E5BD0D78-E194-49FF-B3CF-5785E0C01521}"/>
    <dataValidation type="list" showErrorMessage="1" sqref="Y1:Z1 W1 O1" xr:uid="{22D3D87B-7A29-45DA-978C-18C23E5B407B}">
      <formula1>"Open,Inprogress,Completed,TBD,NA"</formula1>
    </dataValidation>
    <dataValidation type="list" showErrorMessage="1" sqref="S1:T1 X1 AA1" xr:uid="{E6EA62B5-A1FD-4C9F-B37C-FCE0D315AB6D}">
      <formula1>"No issues found,Issues observed(BacktoDev),DB Script tests in QA DB,NA,TBD"</formula1>
    </dataValidation>
    <dataValidation type="list" showErrorMessage="1" sqref="AB1" xr:uid="{F0803963-1333-4EED-8610-DF428D0B6893}">
      <formula1>"Approved-Satisified AC,Not Approved(Back to Dev),NA,TBD"</formula1>
    </dataValidation>
    <dataValidation type="list" showErrorMessage="1" sqref="AC1" xr:uid="{1B96CDA9-07CC-4FF8-A474-206729BB431D}">
      <formula1>"Pending-Waiting for Customer confirmation, Approved-Satisified AC,Not Approved-New minor changes requested(Back to Dev),NA,TBD"</formula1>
    </dataValidation>
    <dataValidation type="list" showErrorMessage="1" sqref="Q1" xr:uid="{C6191002-43F4-48CC-984C-1DAE354BC937}">
      <formula1>"Pass,Fail(BacktoDev),DB Script tests in QA DB,TBD"</formula1>
    </dataValidation>
    <dataValidation type="list" showErrorMessage="1" sqref="R1" xr:uid="{61D6832D-CD3B-4962-8DDB-6268217E4A62}">
      <formula1>"Qadir,Rijo,Karthik,None,TBD"</formula1>
    </dataValidation>
    <dataValidation type="list" showErrorMessage="1" sqref="P1" xr:uid="{01701BBB-909A-43DD-B9DC-280AA464C1CC}">
      <formula1>"Qadir,Rijo,Karthik,Sushmitha,None,TBD"</formula1>
    </dataValidation>
    <dataValidation type="list" allowBlank="1" showInputMessage="1" showErrorMessage="1" sqref="AE2:AE18" xr:uid="{512A43EB-9AFD-4751-9B69-DFA6956E4DA8}">
      <formula1>"Exceeds Expectation,Meets Expectation,Needs improvements"</formula1>
    </dataValidation>
  </dataValidations>
  <hyperlinks>
    <hyperlink ref="T13" r:id="rId1" xr:uid="{6A0D1950-79CC-47B2-AC24-3D4BD91F7F53}"/>
    <hyperlink ref="T5" r:id="rId2" xr:uid="{BD7A85A3-99C5-49EB-89BB-72201966A655}"/>
    <hyperlink ref="T15" r:id="rId3" xr:uid="{1169150D-1708-4378-9C33-4195E90C1234}"/>
    <hyperlink ref="T6" r:id="rId4" xr:uid="{792A9A81-5045-4168-A7AC-A27B5FB2CB6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3EF16A3F-F3B9-4721-B2BC-507D707D5845}">
          <x14:formula1>
            <xm:f>Settings!$C$3:$C$20</xm:f>
          </x14:formula1>
          <xm:sqref>I2:I7 I9 I11:I16 I18 AD7:AD9 AD2:AD5 AD13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9873-017A-447B-BEFE-E49F7CF4570D}">
  <dimension ref="A1:M9"/>
  <sheetViews>
    <sheetView topLeftCell="C1" workbookViewId="0">
      <selection activeCell="G7" sqref="G2:G7"/>
    </sheetView>
  </sheetViews>
  <sheetFormatPr defaultRowHeight="12.75"/>
  <cols>
    <col min="2" max="2" width="27.42578125" customWidth="1"/>
    <col min="3" max="3" width="10.140625" customWidth="1"/>
    <col min="7" max="7" width="45.28515625" customWidth="1"/>
    <col min="12" max="12" width="14.42578125" customWidth="1"/>
    <col min="13" max="13" width="38.42578125" customWidth="1"/>
  </cols>
  <sheetData>
    <row r="1" spans="1:13" ht="40.5">
      <c r="A1" s="108" t="s">
        <v>266</v>
      </c>
      <c r="B1" s="108" t="s">
        <v>10</v>
      </c>
      <c r="C1" s="404" t="s">
        <v>267</v>
      </c>
      <c r="D1" s="404" t="s">
        <v>268</v>
      </c>
      <c r="E1" s="108" t="s">
        <v>269</v>
      </c>
      <c r="F1" s="404" t="s">
        <v>270</v>
      </c>
      <c r="G1" s="404" t="s">
        <v>271</v>
      </c>
      <c r="H1" s="108" t="s">
        <v>272</v>
      </c>
      <c r="I1" s="108" t="s">
        <v>273</v>
      </c>
      <c r="J1" s="108" t="s">
        <v>274</v>
      </c>
      <c r="K1" s="108" t="s">
        <v>275</v>
      </c>
      <c r="L1" s="332" t="s">
        <v>276</v>
      </c>
      <c r="M1" s="405" t="s">
        <v>277</v>
      </c>
    </row>
    <row r="2" spans="1:13" ht="53.25" customHeight="1">
      <c r="A2" s="93">
        <v>1</v>
      </c>
      <c r="B2" s="93" t="s">
        <v>1470</v>
      </c>
      <c r="C2" s="93">
        <v>26417</v>
      </c>
      <c r="D2" s="93"/>
      <c r="E2" s="93" t="s">
        <v>315</v>
      </c>
      <c r="F2" s="93" t="s">
        <v>1302</v>
      </c>
      <c r="G2" s="96" t="s">
        <v>1555</v>
      </c>
      <c r="H2" s="93" t="s">
        <v>517</v>
      </c>
      <c r="I2" s="93" t="s">
        <v>518</v>
      </c>
      <c r="J2" s="93" t="s">
        <v>525</v>
      </c>
      <c r="K2" s="93" t="s">
        <v>576</v>
      </c>
      <c r="L2" s="62" t="s">
        <v>529</v>
      </c>
      <c r="M2" s="96" t="s">
        <v>1556</v>
      </c>
    </row>
    <row r="3" spans="1:13" ht="48">
      <c r="A3" s="93">
        <v>2</v>
      </c>
      <c r="B3" s="93" t="s">
        <v>1470</v>
      </c>
      <c r="C3" s="93" t="s">
        <v>1510</v>
      </c>
      <c r="D3" s="93"/>
      <c r="E3" s="93" t="s">
        <v>317</v>
      </c>
      <c r="F3" s="93" t="s">
        <v>1302</v>
      </c>
      <c r="G3" s="96" t="s">
        <v>1511</v>
      </c>
      <c r="H3" s="93" t="s">
        <v>517</v>
      </c>
      <c r="I3" s="93" t="s">
        <v>518</v>
      </c>
      <c r="J3" s="93" t="s">
        <v>519</v>
      </c>
      <c r="K3" s="93" t="s">
        <v>576</v>
      </c>
      <c r="L3" s="62" t="s">
        <v>529</v>
      </c>
      <c r="M3" s="96" t="s">
        <v>1557</v>
      </c>
    </row>
    <row r="4" spans="1:13" ht="50.25" customHeight="1">
      <c r="A4" s="93">
        <v>3</v>
      </c>
      <c r="B4" s="146" t="s">
        <v>1532</v>
      </c>
      <c r="C4" s="93">
        <v>25952</v>
      </c>
      <c r="D4" s="93"/>
      <c r="E4" s="93" t="s">
        <v>313</v>
      </c>
      <c r="F4" s="93" t="s">
        <v>1302</v>
      </c>
      <c r="G4" s="96" t="s">
        <v>1533</v>
      </c>
      <c r="H4" s="93" t="s">
        <v>517</v>
      </c>
      <c r="I4" s="93" t="s">
        <v>518</v>
      </c>
      <c r="J4" s="93" t="s">
        <v>519</v>
      </c>
      <c r="K4" s="93" t="s">
        <v>576</v>
      </c>
      <c r="L4" s="62" t="s">
        <v>529</v>
      </c>
      <c r="M4" s="96" t="s">
        <v>1558</v>
      </c>
    </row>
    <row r="5" spans="1:13" ht="36">
      <c r="A5" s="93">
        <v>4</v>
      </c>
      <c r="B5" s="146" t="s">
        <v>1532</v>
      </c>
      <c r="C5" s="93" t="s">
        <v>1115</v>
      </c>
      <c r="D5" s="93"/>
      <c r="E5" s="93" t="s">
        <v>317</v>
      </c>
      <c r="F5" s="93" t="s">
        <v>1302</v>
      </c>
      <c r="G5" s="93" t="s">
        <v>1185</v>
      </c>
      <c r="H5" s="93" t="s">
        <v>517</v>
      </c>
      <c r="I5" s="93" t="s">
        <v>518</v>
      </c>
      <c r="J5" s="93" t="s">
        <v>519</v>
      </c>
      <c r="K5" s="151" t="s">
        <v>1303</v>
      </c>
      <c r="L5" s="62" t="s">
        <v>529</v>
      </c>
      <c r="M5" s="96" t="s">
        <v>1559</v>
      </c>
    </row>
    <row r="6" spans="1:13" ht="55.5" customHeight="1">
      <c r="A6" s="93">
        <v>5</v>
      </c>
      <c r="B6" s="93" t="s">
        <v>1470</v>
      </c>
      <c r="C6">
        <v>26389</v>
      </c>
      <c r="D6" s="93"/>
      <c r="E6" s="93" t="s">
        <v>315</v>
      </c>
      <c r="F6" s="93" t="s">
        <v>1302</v>
      </c>
      <c r="G6" s="96" t="s">
        <v>1486</v>
      </c>
      <c r="H6" s="93" t="s">
        <v>517</v>
      </c>
      <c r="I6" s="93" t="s">
        <v>518</v>
      </c>
      <c r="J6" s="93" t="s">
        <v>525</v>
      </c>
      <c r="K6" s="93" t="s">
        <v>576</v>
      </c>
      <c r="L6" s="62" t="s">
        <v>529</v>
      </c>
      <c r="M6" s="96" t="s">
        <v>1560</v>
      </c>
    </row>
    <row r="7" spans="1:13" ht="73.5" customHeight="1">
      <c r="A7" s="93">
        <v>6</v>
      </c>
      <c r="B7" s="146" t="s">
        <v>1532</v>
      </c>
      <c r="C7" s="93">
        <v>26436</v>
      </c>
      <c r="D7" s="93"/>
      <c r="E7" s="93" t="s">
        <v>313</v>
      </c>
      <c r="F7" s="93" t="s">
        <v>1302</v>
      </c>
      <c r="G7" s="96" t="s">
        <v>1537</v>
      </c>
      <c r="H7" s="93" t="s">
        <v>517</v>
      </c>
      <c r="I7" s="93" t="s">
        <v>518</v>
      </c>
      <c r="J7" s="93" t="s">
        <v>525</v>
      </c>
      <c r="K7" s="93" t="s">
        <v>576</v>
      </c>
      <c r="L7" s="62" t="s">
        <v>526</v>
      </c>
      <c r="M7" s="96" t="s">
        <v>1561</v>
      </c>
    </row>
    <row r="8" spans="1:13">
      <c r="A8" s="93"/>
      <c r="B8" s="93"/>
      <c r="C8" s="93"/>
      <c r="D8" s="93"/>
      <c r="E8" s="93"/>
      <c r="F8" s="93"/>
      <c r="G8" s="93"/>
      <c r="H8" s="93"/>
      <c r="I8" s="93"/>
      <c r="J8" s="93"/>
      <c r="K8" s="93"/>
      <c r="L8" s="93"/>
      <c r="M8" s="93"/>
    </row>
    <row r="9" spans="1:13">
      <c r="A9" s="93"/>
      <c r="B9" s="93"/>
      <c r="C9" s="93"/>
      <c r="D9" s="93"/>
      <c r="E9" s="93"/>
      <c r="F9" s="93"/>
      <c r="G9" s="93"/>
      <c r="H9" s="93"/>
      <c r="I9" s="93"/>
      <c r="J9" s="93"/>
      <c r="K9" s="93"/>
      <c r="L9" s="93"/>
      <c r="M9" s="93"/>
    </row>
  </sheetData>
  <conditionalFormatting sqref="K5">
    <cfRule type="containsText" dxfId="644" priority="1" operator="containsText" text="Closed">
      <formula>NOT(ISERROR(SEARCH("Closed",K5)))</formula>
    </cfRule>
    <cfRule type="containsText" dxfId="643" priority="2" operator="containsText" text="Open">
      <formula>NOT(ISERROR(SEARCH("Open",K5)))</formula>
    </cfRule>
    <cfRule type="containsText" dxfId="642" priority="3" operator="containsText" text="Inprogress">
      <formula>NOT(ISERROR(SEARCH("Inprogress",K5)))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507D265C-78F7-40EE-9DE0-3977271CE674}">
          <x14:formula1>
            <xm:f>Settings!$C$3:$C$20</xm:f>
          </x14:formula1>
          <xm:sqref>K5</xm:sqref>
        </x14:dataValidation>
        <x14:dataValidation type="list" allowBlank="1" showErrorMessage="1" xr:uid="{D102BD50-ACB1-4FDB-A43C-846CBEE7DA0E}">
          <x14:formula1>
            <xm:f>Details!$A$2:$A$10</xm:f>
          </x14:formula1>
          <xm:sqref>L2:L7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0046-8BB1-4A31-B038-5680DEE9937B}">
  <dimension ref="A1:AO22"/>
  <sheetViews>
    <sheetView workbookViewId="0">
      <pane ySplit="1" topLeftCell="A5" activePane="bottomLeft" state="frozen"/>
      <selection pane="bottomLeft" activeCell="H6" sqref="H6"/>
    </sheetView>
  </sheetViews>
  <sheetFormatPr defaultRowHeight="12.75"/>
  <cols>
    <col min="1" max="1" width="11" customWidth="1"/>
    <col min="2" max="2" width="18.5703125" customWidth="1"/>
    <col min="3" max="3" width="11.140625" customWidth="1"/>
    <col min="4" max="4" width="9.140625" bestFit="1" customWidth="1"/>
    <col min="5" max="5" width="17.5703125" customWidth="1"/>
    <col min="6" max="6" width="15.140625" customWidth="1"/>
    <col min="7" max="7" width="15" customWidth="1"/>
    <col min="8" max="8" width="27.5703125" style="462" customWidth="1"/>
    <col min="9" max="9" width="21.140625" customWidth="1"/>
    <col min="12" max="12" width="16.140625" customWidth="1"/>
    <col min="13" max="14" width="10.42578125" bestFit="1" customWidth="1"/>
    <col min="15" max="15" width="13.140625" customWidth="1"/>
    <col min="17" max="17" width="17.140625" customWidth="1"/>
    <col min="18" max="18" width="15.85546875" customWidth="1"/>
    <col min="19" max="19" width="16.85546875" customWidth="1"/>
    <col min="20" max="20" width="21.85546875" customWidth="1"/>
    <col min="21" max="21" width="11.7109375" customWidth="1"/>
    <col min="22" max="22" width="12.5703125" customWidth="1"/>
    <col min="23" max="23" width="12.85546875" customWidth="1"/>
    <col min="24" max="24" width="24.140625" customWidth="1"/>
    <col min="25" max="25" width="15.42578125" customWidth="1"/>
    <col min="27" max="28" width="16.28515625" customWidth="1"/>
    <col min="29" max="29" width="15.42578125" customWidth="1"/>
    <col min="30" max="30" width="41" customWidth="1"/>
    <col min="31" max="31" width="18.140625" customWidth="1"/>
    <col min="32" max="32" width="20" customWidth="1"/>
    <col min="33" max="33" width="30.5703125" customWidth="1"/>
    <col min="34" max="34" width="31.85546875" customWidth="1"/>
    <col min="35" max="35" width="12.140625" customWidth="1"/>
    <col min="36" max="36" width="20" customWidth="1"/>
    <col min="37" max="37" width="26.7109375" customWidth="1"/>
    <col min="38" max="38" width="20.7109375" customWidth="1"/>
    <col min="39" max="39" width="13.85546875" customWidth="1"/>
    <col min="40" max="40" width="14.42578125" customWidth="1"/>
    <col min="41" max="41" width="12.140625" customWidth="1"/>
  </cols>
  <sheetData>
    <row r="1" spans="1:41" ht="40.5">
      <c r="A1" s="247" t="s">
        <v>266</v>
      </c>
      <c r="B1" s="247" t="s">
        <v>4</v>
      </c>
      <c r="C1" s="247" t="s">
        <v>2</v>
      </c>
      <c r="D1" s="247" t="s">
        <v>3</v>
      </c>
      <c r="E1" s="247" t="s">
        <v>278</v>
      </c>
      <c r="F1" s="247" t="s">
        <v>269</v>
      </c>
      <c r="G1" s="247" t="s">
        <v>279</v>
      </c>
      <c r="H1" s="543"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45980</v>
      </c>
      <c r="AG1" s="519">
        <v>45981</v>
      </c>
      <c r="AH1" s="518">
        <v>45982</v>
      </c>
      <c r="AI1" s="519">
        <v>45985</v>
      </c>
      <c r="AJ1" s="519">
        <v>45986</v>
      </c>
      <c r="AK1" s="518">
        <v>45987</v>
      </c>
      <c r="AL1" s="518">
        <v>45988</v>
      </c>
      <c r="AM1" s="518">
        <v>45989</v>
      </c>
      <c r="AN1" s="518">
        <v>45992</v>
      </c>
      <c r="AO1" s="518">
        <v>45993</v>
      </c>
    </row>
    <row r="2" spans="1:41" ht="69">
      <c r="A2" s="93">
        <v>1</v>
      </c>
      <c r="B2" s="151" t="s">
        <v>5</v>
      </c>
      <c r="C2" s="624">
        <v>45980</v>
      </c>
      <c r="D2" s="624">
        <v>45993</v>
      </c>
      <c r="E2" s="146" t="s">
        <v>1562</v>
      </c>
      <c r="F2" s="93" t="s">
        <v>1563</v>
      </c>
      <c r="G2" s="93">
        <v>50920</v>
      </c>
      <c r="H2" s="235" t="s">
        <v>1564</v>
      </c>
      <c r="I2" s="151" t="s">
        <v>503</v>
      </c>
      <c r="J2" s="93">
        <v>3</v>
      </c>
      <c r="K2" s="93">
        <v>12.625</v>
      </c>
      <c r="L2" s="93">
        <v>50.5</v>
      </c>
      <c r="M2" s="171">
        <v>45980</v>
      </c>
      <c r="N2" s="171">
        <v>45992</v>
      </c>
      <c r="O2" s="96" t="s">
        <v>12</v>
      </c>
      <c r="P2" s="96" t="s">
        <v>313</v>
      </c>
      <c r="Q2" s="96" t="s">
        <v>316</v>
      </c>
      <c r="R2" s="96" t="s">
        <v>317</v>
      </c>
      <c r="S2" s="96" t="s">
        <v>316</v>
      </c>
      <c r="T2" s="130" t="s">
        <v>1565</v>
      </c>
      <c r="U2" s="647">
        <v>45982</v>
      </c>
      <c r="V2" s="647">
        <v>45982</v>
      </c>
      <c r="W2" s="96" t="s">
        <v>316</v>
      </c>
      <c r="X2" s="96" t="s">
        <v>319</v>
      </c>
      <c r="Y2" s="96" t="s">
        <v>319</v>
      </c>
      <c r="Z2" s="96" t="s">
        <v>320</v>
      </c>
      <c r="AA2" s="96" t="s">
        <v>316</v>
      </c>
      <c r="AB2" s="96" t="s">
        <v>316</v>
      </c>
      <c r="AC2" s="96" t="s">
        <v>316</v>
      </c>
      <c r="AD2" s="96" t="s">
        <v>1566</v>
      </c>
      <c r="AE2" s="490" t="s">
        <v>423</v>
      </c>
      <c r="AF2" s="96" t="s">
        <v>1567</v>
      </c>
      <c r="AG2" s="96" t="s">
        <v>1568</v>
      </c>
      <c r="AH2" s="96" t="s">
        <v>1569</v>
      </c>
      <c r="AI2" s="96" t="s">
        <v>1570</v>
      </c>
      <c r="AJ2" s="96" t="s">
        <v>1571</v>
      </c>
      <c r="AK2" s="96" t="s">
        <v>1572</v>
      </c>
      <c r="AL2" s="96" t="s">
        <v>1573</v>
      </c>
      <c r="AM2" s="93" t="s">
        <v>1574</v>
      </c>
      <c r="AN2" s="96" t="s">
        <v>1575</v>
      </c>
      <c r="AO2" s="93" t="s">
        <v>1576</v>
      </c>
    </row>
    <row r="3" spans="1:41" ht="35.25">
      <c r="A3" s="93">
        <v>2</v>
      </c>
      <c r="B3" s="151" t="s">
        <v>5</v>
      </c>
      <c r="C3" s="624">
        <v>45980</v>
      </c>
      <c r="D3" s="624">
        <v>45993</v>
      </c>
      <c r="E3" s="146" t="s">
        <v>1562</v>
      </c>
      <c r="F3" s="93" t="s">
        <v>313</v>
      </c>
      <c r="G3" s="93" t="s">
        <v>1577</v>
      </c>
      <c r="H3" s="235" t="s">
        <v>1578</v>
      </c>
      <c r="I3" s="151" t="s">
        <v>376</v>
      </c>
      <c r="J3" s="93">
        <v>0</v>
      </c>
      <c r="K3" s="93">
        <v>1</v>
      </c>
      <c r="L3" s="93">
        <v>4</v>
      </c>
      <c r="M3" s="171">
        <v>45980</v>
      </c>
      <c r="N3" s="171">
        <v>45980</v>
      </c>
      <c r="O3" s="93" t="s">
        <v>320</v>
      </c>
      <c r="P3" s="93" t="s">
        <v>320</v>
      </c>
      <c r="Q3" s="93" t="s">
        <v>320</v>
      </c>
      <c r="R3" s="93" t="s">
        <v>320</v>
      </c>
      <c r="S3" s="93" t="s">
        <v>320</v>
      </c>
      <c r="T3" s="93" t="s">
        <v>320</v>
      </c>
      <c r="U3" s="93" t="s">
        <v>320</v>
      </c>
      <c r="V3" s="93" t="s">
        <v>320</v>
      </c>
      <c r="W3" s="93" t="s">
        <v>320</v>
      </c>
      <c r="X3" s="93" t="s">
        <v>320</v>
      </c>
      <c r="Y3" s="93" t="s">
        <v>320</v>
      </c>
      <c r="Z3" s="93" t="s">
        <v>320</v>
      </c>
      <c r="AA3" s="93" t="s">
        <v>320</v>
      </c>
      <c r="AB3" s="93" t="s">
        <v>320</v>
      </c>
      <c r="AC3" s="93" t="s">
        <v>320</v>
      </c>
      <c r="AD3" s="146" t="s">
        <v>1460</v>
      </c>
      <c r="AE3" s="490" t="s">
        <v>423</v>
      </c>
      <c r="AF3" s="96" t="s">
        <v>1579</v>
      </c>
      <c r="AG3" s="96" t="s">
        <v>1580</v>
      </c>
      <c r="AH3" s="96" t="s">
        <v>1581</v>
      </c>
      <c r="AI3" s="96" t="s">
        <v>1582</v>
      </c>
      <c r="AJ3" s="96" t="s">
        <v>1582</v>
      </c>
      <c r="AK3" s="96" t="s">
        <v>1582</v>
      </c>
      <c r="AL3" s="96" t="s">
        <v>1583</v>
      </c>
      <c r="AM3" s="93" t="s">
        <v>434</v>
      </c>
      <c r="AN3" s="93" t="s">
        <v>434</v>
      </c>
      <c r="AO3" s="93" t="s">
        <v>434</v>
      </c>
    </row>
    <row r="4" spans="1:41" ht="35.25">
      <c r="A4" s="93">
        <v>3</v>
      </c>
      <c r="B4" s="151" t="s">
        <v>5</v>
      </c>
      <c r="C4" s="624">
        <v>45980</v>
      </c>
      <c r="D4" s="624">
        <v>45993</v>
      </c>
      <c r="E4" s="146" t="s">
        <v>1562</v>
      </c>
      <c r="F4" s="93" t="s">
        <v>317</v>
      </c>
      <c r="G4" s="93" t="s">
        <v>1584</v>
      </c>
      <c r="H4" s="637" t="s">
        <v>1585</v>
      </c>
      <c r="I4" s="151" t="s">
        <v>376</v>
      </c>
      <c r="J4" s="93">
        <v>0</v>
      </c>
      <c r="K4" s="93">
        <v>0.75</v>
      </c>
      <c r="L4" s="93">
        <v>3</v>
      </c>
      <c r="M4" s="93" t="s">
        <v>320</v>
      </c>
      <c r="N4" s="93" t="s">
        <v>320</v>
      </c>
      <c r="O4" s="93" t="s">
        <v>320</v>
      </c>
      <c r="P4" s="93" t="s">
        <v>320</v>
      </c>
      <c r="Q4" s="93" t="s">
        <v>320</v>
      </c>
      <c r="R4" s="93" t="s">
        <v>320</v>
      </c>
      <c r="S4" s="93" t="s">
        <v>320</v>
      </c>
      <c r="T4" s="93" t="s">
        <v>320</v>
      </c>
      <c r="U4" s="93" t="s">
        <v>320</v>
      </c>
      <c r="V4" s="93" t="s">
        <v>320</v>
      </c>
      <c r="W4" s="93" t="s">
        <v>320</v>
      </c>
      <c r="X4" s="93" t="s">
        <v>320</v>
      </c>
      <c r="Y4" s="93" t="s">
        <v>320</v>
      </c>
      <c r="Z4" s="93" t="s">
        <v>320</v>
      </c>
      <c r="AA4" s="93" t="s">
        <v>320</v>
      </c>
      <c r="AB4" s="93" t="s">
        <v>320</v>
      </c>
      <c r="AC4" s="93" t="s">
        <v>320</v>
      </c>
      <c r="AD4" s="96" t="s">
        <v>1586</v>
      </c>
      <c r="AE4" s="490" t="s">
        <v>423</v>
      </c>
      <c r="AF4" s="93" t="s">
        <v>1587</v>
      </c>
      <c r="AG4" s="96" t="s">
        <v>1588</v>
      </c>
      <c r="AH4" s="96" t="s">
        <v>1589</v>
      </c>
      <c r="AI4" s="235" t="s">
        <v>434</v>
      </c>
      <c r="AJ4" s="235" t="s">
        <v>434</v>
      </c>
      <c r="AK4" s="93" t="s">
        <v>434</v>
      </c>
      <c r="AL4" s="96" t="s">
        <v>434</v>
      </c>
      <c r="AM4" s="93" t="s">
        <v>434</v>
      </c>
      <c r="AN4" s="93" t="s">
        <v>434</v>
      </c>
      <c r="AO4" s="93" t="s">
        <v>434</v>
      </c>
    </row>
    <row r="5" spans="1:41" ht="58.5">
      <c r="A5" s="93">
        <v>4</v>
      </c>
      <c r="B5" s="151" t="s">
        <v>5</v>
      </c>
      <c r="C5" s="624">
        <v>45980</v>
      </c>
      <c r="D5" s="624">
        <v>45993</v>
      </c>
      <c r="E5" s="146" t="s">
        <v>1590</v>
      </c>
      <c r="F5" s="93" t="s">
        <v>315</v>
      </c>
      <c r="G5" s="93">
        <v>50907</v>
      </c>
      <c r="H5" s="235" t="s">
        <v>1591</v>
      </c>
      <c r="I5" s="151" t="s">
        <v>553</v>
      </c>
      <c r="J5" s="93">
        <v>8</v>
      </c>
      <c r="K5" s="93">
        <v>3.87</v>
      </c>
      <c r="L5" s="93">
        <v>15.5</v>
      </c>
      <c r="M5" s="171">
        <v>45980</v>
      </c>
      <c r="N5" s="93" t="s">
        <v>320</v>
      </c>
      <c r="O5" s="93" t="s">
        <v>320</v>
      </c>
      <c r="P5" s="93" t="s">
        <v>320</v>
      </c>
      <c r="Q5" s="93" t="s">
        <v>320</v>
      </c>
      <c r="R5" s="93" t="s">
        <v>320</v>
      </c>
      <c r="S5" s="93" t="s">
        <v>320</v>
      </c>
      <c r="T5" s="93" t="s">
        <v>320</v>
      </c>
      <c r="U5" s="93" t="s">
        <v>320</v>
      </c>
      <c r="V5" s="93" t="s">
        <v>320</v>
      </c>
      <c r="W5" s="93" t="s">
        <v>320</v>
      </c>
      <c r="X5" s="93" t="s">
        <v>320</v>
      </c>
      <c r="Y5" s="93" t="s">
        <v>320</v>
      </c>
      <c r="Z5" s="93" t="s">
        <v>320</v>
      </c>
      <c r="AA5" s="93" t="s">
        <v>320</v>
      </c>
      <c r="AB5" s="93" t="s">
        <v>320</v>
      </c>
      <c r="AC5" s="93" t="s">
        <v>320</v>
      </c>
      <c r="AD5" s="96" t="s">
        <v>1592</v>
      </c>
      <c r="AE5" s="490" t="s">
        <v>423</v>
      </c>
      <c r="AF5" s="96" t="s">
        <v>1593</v>
      </c>
      <c r="AG5" s="96" t="s">
        <v>1594</v>
      </c>
      <c r="AH5" s="96" t="s">
        <v>1595</v>
      </c>
      <c r="AI5" s="96" t="s">
        <v>1596</v>
      </c>
      <c r="AJ5" s="96" t="s">
        <v>1596</v>
      </c>
      <c r="AK5" s="96" t="s">
        <v>1597</v>
      </c>
      <c r="AL5" s="96" t="s">
        <v>1598</v>
      </c>
      <c r="AM5" s="93" t="s">
        <v>434</v>
      </c>
      <c r="AN5" s="93" t="s">
        <v>434</v>
      </c>
      <c r="AO5" s="93" t="s">
        <v>434</v>
      </c>
    </row>
    <row r="6" spans="1:41" ht="84">
      <c r="A6" s="93">
        <v>5</v>
      </c>
      <c r="B6" s="151" t="s">
        <v>5</v>
      </c>
      <c r="C6" s="624">
        <v>45980</v>
      </c>
      <c r="D6" s="624">
        <v>45993</v>
      </c>
      <c r="E6" s="146" t="s">
        <v>1562</v>
      </c>
      <c r="F6" s="93" t="s">
        <v>317</v>
      </c>
      <c r="G6" s="129">
        <v>49950</v>
      </c>
      <c r="H6" s="235" t="s">
        <v>1599</v>
      </c>
      <c r="I6" s="151" t="s">
        <v>399</v>
      </c>
      <c r="J6" s="93">
        <v>2</v>
      </c>
      <c r="K6" s="93">
        <v>5.33</v>
      </c>
      <c r="L6" s="93">
        <v>21.33</v>
      </c>
      <c r="M6" s="171">
        <v>45980</v>
      </c>
      <c r="N6" s="93" t="s">
        <v>320</v>
      </c>
      <c r="O6" s="93" t="s">
        <v>320</v>
      </c>
      <c r="P6" s="93" t="s">
        <v>320</v>
      </c>
      <c r="Q6" s="93" t="s">
        <v>320</v>
      </c>
      <c r="R6" s="93" t="s">
        <v>320</v>
      </c>
      <c r="S6" s="93" t="s">
        <v>320</v>
      </c>
      <c r="T6" s="93" t="s">
        <v>320</v>
      </c>
      <c r="U6" s="93" t="s">
        <v>320</v>
      </c>
      <c r="V6" s="93" t="s">
        <v>320</v>
      </c>
      <c r="W6" s="93" t="s">
        <v>320</v>
      </c>
      <c r="X6" s="93" t="s">
        <v>320</v>
      </c>
      <c r="Y6" s="93" t="s">
        <v>320</v>
      </c>
      <c r="Z6" s="93" t="s">
        <v>320</v>
      </c>
      <c r="AA6" s="93" t="s">
        <v>320</v>
      </c>
      <c r="AB6" s="93" t="s">
        <v>320</v>
      </c>
      <c r="AC6" s="93" t="s">
        <v>320</v>
      </c>
      <c r="AD6" s="96" t="s">
        <v>1600</v>
      </c>
      <c r="AE6" s="490" t="s">
        <v>423</v>
      </c>
      <c r="AF6" s="93" t="s">
        <v>1601</v>
      </c>
      <c r="AG6" s="96" t="s">
        <v>1602</v>
      </c>
      <c r="AH6" s="96" t="s">
        <v>1603</v>
      </c>
      <c r="AI6" s="96" t="s">
        <v>1604</v>
      </c>
      <c r="AJ6" s="96" t="s">
        <v>1241</v>
      </c>
      <c r="AK6" s="93" t="s">
        <v>1241</v>
      </c>
      <c r="AL6" s="96" t="s">
        <v>434</v>
      </c>
      <c r="AM6" s="93" t="s">
        <v>1605</v>
      </c>
      <c r="AN6" s="93" t="s">
        <v>1606</v>
      </c>
      <c r="AO6" s="93" t="s">
        <v>1607</v>
      </c>
    </row>
    <row r="7" spans="1:41" ht="46.5">
      <c r="A7" s="93">
        <v>6</v>
      </c>
      <c r="B7" s="93" t="s">
        <v>5</v>
      </c>
      <c r="C7" s="624">
        <v>45980</v>
      </c>
      <c r="D7" s="624">
        <v>45993</v>
      </c>
      <c r="E7" s="146" t="s">
        <v>1590</v>
      </c>
      <c r="F7" s="93" t="s">
        <v>313</v>
      </c>
      <c r="G7" s="93">
        <v>47277</v>
      </c>
      <c r="H7" s="235" t="s">
        <v>1608</v>
      </c>
      <c r="I7" s="151" t="s">
        <v>338</v>
      </c>
      <c r="J7" s="93">
        <v>5</v>
      </c>
      <c r="K7" s="93">
        <v>1.5</v>
      </c>
      <c r="L7" s="93">
        <v>6</v>
      </c>
      <c r="M7" s="171">
        <v>45978</v>
      </c>
      <c r="N7" s="171">
        <v>45982</v>
      </c>
      <c r="O7" s="93" t="s">
        <v>320</v>
      </c>
      <c r="P7" s="93" t="s">
        <v>320</v>
      </c>
      <c r="Q7" s="93" t="s">
        <v>320</v>
      </c>
      <c r="R7" s="93" t="s">
        <v>320</v>
      </c>
      <c r="S7" s="93" t="s">
        <v>320</v>
      </c>
      <c r="T7" s="93" t="s">
        <v>320</v>
      </c>
      <c r="U7" s="93" t="s">
        <v>320</v>
      </c>
      <c r="V7" s="93" t="s">
        <v>320</v>
      </c>
      <c r="W7" s="93" t="s">
        <v>320</v>
      </c>
      <c r="X7" s="93" t="s">
        <v>320</v>
      </c>
      <c r="Y7" s="93" t="s">
        <v>320</v>
      </c>
      <c r="Z7" s="93" t="s">
        <v>320</v>
      </c>
      <c r="AA7" s="93" t="s">
        <v>320</v>
      </c>
      <c r="AB7" s="96" t="s">
        <v>316</v>
      </c>
      <c r="AC7" s="96" t="s">
        <v>316</v>
      </c>
      <c r="AD7" s="96" t="s">
        <v>1609</v>
      </c>
      <c r="AE7" s="490" t="s">
        <v>423</v>
      </c>
      <c r="AF7" s="96" t="s">
        <v>1610</v>
      </c>
      <c r="AG7" s="93" t="s">
        <v>1611</v>
      </c>
      <c r="AH7" s="96" t="s">
        <v>1612</v>
      </c>
      <c r="AI7" s="96" t="s">
        <v>1613</v>
      </c>
      <c r="AJ7" s="96" t="s">
        <v>1476</v>
      </c>
      <c r="AK7" s="93" t="s">
        <v>1614</v>
      </c>
      <c r="AL7" s="96" t="s">
        <v>1615</v>
      </c>
      <c r="AM7" s="93" t="s">
        <v>434</v>
      </c>
      <c r="AN7" s="93" t="s">
        <v>1616</v>
      </c>
      <c r="AO7" s="93" t="s">
        <v>1617</v>
      </c>
    </row>
    <row r="8" spans="1:41" ht="174">
      <c r="A8" s="93">
        <v>7</v>
      </c>
      <c r="B8" s="93" t="s">
        <v>5</v>
      </c>
      <c r="C8" s="624">
        <v>45980</v>
      </c>
      <c r="D8" s="624">
        <v>45993</v>
      </c>
      <c r="E8" s="146" t="s">
        <v>1562</v>
      </c>
      <c r="F8" s="93" t="s">
        <v>1618</v>
      </c>
      <c r="G8" s="93" t="s">
        <v>1619</v>
      </c>
      <c r="H8" s="235" t="s">
        <v>1620</v>
      </c>
      <c r="I8" s="151" t="s">
        <v>376</v>
      </c>
      <c r="J8" s="93">
        <v>0</v>
      </c>
      <c r="K8" s="93">
        <v>0</v>
      </c>
      <c r="L8" s="93">
        <v>0</v>
      </c>
      <c r="M8" s="93" t="s">
        <v>320</v>
      </c>
      <c r="N8" s="93" t="s">
        <v>320</v>
      </c>
      <c r="O8" s="93" t="s">
        <v>320</v>
      </c>
      <c r="P8" s="93" t="s">
        <v>320</v>
      </c>
      <c r="Q8" s="93" t="s">
        <v>320</v>
      </c>
      <c r="R8" s="93" t="s">
        <v>320</v>
      </c>
      <c r="S8" s="93" t="s">
        <v>320</v>
      </c>
      <c r="T8" s="93" t="s">
        <v>320</v>
      </c>
      <c r="U8" s="93" t="s">
        <v>320</v>
      </c>
      <c r="V8" s="93" t="s">
        <v>320</v>
      </c>
      <c r="W8" s="93" t="s">
        <v>320</v>
      </c>
      <c r="X8" s="93" t="s">
        <v>320</v>
      </c>
      <c r="Y8" s="93" t="s">
        <v>320</v>
      </c>
      <c r="Z8" s="93" t="s">
        <v>320</v>
      </c>
      <c r="AA8" s="93" t="s">
        <v>320</v>
      </c>
      <c r="AB8" s="93" t="s">
        <v>320</v>
      </c>
      <c r="AC8" s="93" t="s">
        <v>320</v>
      </c>
      <c r="AD8" s="146" t="s">
        <v>1621</v>
      </c>
      <c r="AE8" s="490" t="s">
        <v>423</v>
      </c>
      <c r="AF8" s="93" t="s">
        <v>1622</v>
      </c>
      <c r="AG8" s="96" t="s">
        <v>1623</v>
      </c>
      <c r="AH8" s="96" t="s">
        <v>1624</v>
      </c>
      <c r="AI8" s="96" t="s">
        <v>434</v>
      </c>
      <c r="AJ8" s="96" t="s">
        <v>434</v>
      </c>
      <c r="AK8" s="93" t="s">
        <v>434</v>
      </c>
      <c r="AL8" s="96" t="s">
        <v>434</v>
      </c>
      <c r="AM8" s="93" t="s">
        <v>434</v>
      </c>
      <c r="AN8" s="93" t="s">
        <v>434</v>
      </c>
      <c r="AO8" s="93" t="s">
        <v>434</v>
      </c>
    </row>
    <row r="9" spans="1:41" ht="81">
      <c r="A9" s="93">
        <v>8</v>
      </c>
      <c r="B9" s="93" t="s">
        <v>671</v>
      </c>
      <c r="C9" s="624">
        <v>45980</v>
      </c>
      <c r="D9" s="624">
        <v>45993</v>
      </c>
      <c r="E9" s="146" t="s">
        <v>1562</v>
      </c>
      <c r="F9" s="93" t="s">
        <v>313</v>
      </c>
      <c r="G9" s="612">
        <v>87003</v>
      </c>
      <c r="H9" s="235" t="s">
        <v>1625</v>
      </c>
      <c r="I9" s="151" t="s">
        <v>503</v>
      </c>
      <c r="J9" s="93">
        <v>0</v>
      </c>
      <c r="K9" s="93">
        <v>6.81</v>
      </c>
      <c r="L9" s="93">
        <v>27.25</v>
      </c>
      <c r="M9" s="634">
        <v>45981</v>
      </c>
      <c r="N9" s="93"/>
      <c r="O9" s="93" t="s">
        <v>320</v>
      </c>
      <c r="P9" s="93" t="s">
        <v>320</v>
      </c>
      <c r="Q9" s="93" t="s">
        <v>320</v>
      </c>
      <c r="R9" s="93" t="s">
        <v>320</v>
      </c>
      <c r="S9" s="93" t="s">
        <v>320</v>
      </c>
      <c r="T9" s="93" t="s">
        <v>320</v>
      </c>
      <c r="U9" s="93" t="s">
        <v>320</v>
      </c>
      <c r="V9" s="93" t="s">
        <v>320</v>
      </c>
      <c r="W9" s="93" t="s">
        <v>320</v>
      </c>
      <c r="X9" s="93" t="s">
        <v>320</v>
      </c>
      <c r="Y9" s="93" t="s">
        <v>320</v>
      </c>
      <c r="Z9" s="93" t="s">
        <v>320</v>
      </c>
      <c r="AA9" s="93" t="s">
        <v>320</v>
      </c>
      <c r="AB9" s="93" t="s">
        <v>320</v>
      </c>
      <c r="AC9" s="93" t="s">
        <v>320</v>
      </c>
      <c r="AD9" s="96" t="s">
        <v>1626</v>
      </c>
      <c r="AE9" s="490" t="s">
        <v>423</v>
      </c>
      <c r="AF9" s="93"/>
      <c r="AG9" s="96" t="s">
        <v>1627</v>
      </c>
      <c r="AH9" s="96" t="s">
        <v>1628</v>
      </c>
      <c r="AI9" s="96" t="s">
        <v>1629</v>
      </c>
      <c r="AJ9" s="96" t="s">
        <v>1630</v>
      </c>
      <c r="AK9" s="96" t="s">
        <v>1631</v>
      </c>
      <c r="AL9" s="96" t="s">
        <v>1516</v>
      </c>
      <c r="AM9" s="96" t="s">
        <v>1631</v>
      </c>
      <c r="AN9" s="96" t="s">
        <v>1631</v>
      </c>
      <c r="AO9" s="96" t="s">
        <v>1631</v>
      </c>
    </row>
    <row r="10" spans="1:41" s="462" customFormat="1" ht="69">
      <c r="A10" s="216">
        <v>9</v>
      </c>
      <c r="B10" s="635" t="s">
        <v>5</v>
      </c>
      <c r="C10" s="636">
        <v>45980</v>
      </c>
      <c r="D10" s="636">
        <v>45993</v>
      </c>
      <c r="E10" s="235" t="s">
        <v>1562</v>
      </c>
      <c r="F10" s="216" t="s">
        <v>1216</v>
      </c>
      <c r="G10" s="216">
        <v>50711</v>
      </c>
      <c r="H10" s="235" t="s">
        <v>1632</v>
      </c>
      <c r="I10" s="635" t="s">
        <v>306</v>
      </c>
      <c r="J10" s="216">
        <v>0.5</v>
      </c>
      <c r="K10" s="216">
        <v>0.5</v>
      </c>
      <c r="L10" s="216">
        <v>2</v>
      </c>
      <c r="M10" s="634">
        <v>45967</v>
      </c>
      <c r="N10" s="647">
        <v>45979</v>
      </c>
      <c r="O10" s="216" t="s">
        <v>320</v>
      </c>
      <c r="P10" s="216" t="s">
        <v>313</v>
      </c>
      <c r="Q10" s="216" t="s">
        <v>316</v>
      </c>
      <c r="R10" s="216" t="s">
        <v>317</v>
      </c>
      <c r="S10" s="216" t="s">
        <v>316</v>
      </c>
      <c r="T10" s="539" t="s">
        <v>1633</v>
      </c>
      <c r="U10" s="647">
        <v>45974</v>
      </c>
      <c r="V10" s="647">
        <v>45982</v>
      </c>
      <c r="W10" s="216" t="s">
        <v>320</v>
      </c>
      <c r="X10" s="216" t="s">
        <v>320</v>
      </c>
      <c r="Y10" s="216" t="s">
        <v>320</v>
      </c>
      <c r="Z10" s="216" t="s">
        <v>320</v>
      </c>
      <c r="AA10" s="216" t="s">
        <v>320</v>
      </c>
      <c r="AB10" s="216" t="s">
        <v>320</v>
      </c>
      <c r="AC10" s="216" t="s">
        <v>320</v>
      </c>
      <c r="AD10" s="235" t="s">
        <v>1634</v>
      </c>
      <c r="AE10" s="490" t="s">
        <v>423</v>
      </c>
      <c r="AF10" s="216"/>
      <c r="AG10" s="235" t="s">
        <v>1635</v>
      </c>
      <c r="AH10" s="235" t="s">
        <v>326</v>
      </c>
      <c r="AI10" s="235" t="s">
        <v>434</v>
      </c>
      <c r="AJ10" s="235" t="s">
        <v>434</v>
      </c>
      <c r="AK10" s="235" t="s">
        <v>434</v>
      </c>
      <c r="AL10" s="235" t="s">
        <v>434</v>
      </c>
      <c r="AM10" s="235" t="s">
        <v>434</v>
      </c>
      <c r="AN10" s="216" t="s">
        <v>434</v>
      </c>
      <c r="AO10" s="216" t="s">
        <v>434</v>
      </c>
    </row>
    <row r="11" spans="1:41" ht="58.5">
      <c r="A11" s="93">
        <v>10</v>
      </c>
      <c r="B11" s="93" t="s">
        <v>5</v>
      </c>
      <c r="C11" s="624">
        <v>45980</v>
      </c>
      <c r="D11" s="624">
        <v>45993</v>
      </c>
      <c r="E11" s="146" t="s">
        <v>1562</v>
      </c>
      <c r="F11" s="93" t="s">
        <v>1618</v>
      </c>
      <c r="G11" s="93" t="s">
        <v>1636</v>
      </c>
      <c r="H11" s="235" t="s">
        <v>1542</v>
      </c>
      <c r="I11" s="151" t="s">
        <v>1303</v>
      </c>
      <c r="J11" s="93">
        <v>1</v>
      </c>
      <c r="K11" s="93">
        <v>1</v>
      </c>
      <c r="L11" s="93">
        <v>4</v>
      </c>
      <c r="M11" s="93" t="s">
        <v>320</v>
      </c>
      <c r="N11" s="93" t="s">
        <v>320</v>
      </c>
      <c r="O11" s="93" t="s">
        <v>320</v>
      </c>
      <c r="P11" s="93" t="s">
        <v>320</v>
      </c>
      <c r="Q11" s="93" t="s">
        <v>320</v>
      </c>
      <c r="R11" s="93" t="s">
        <v>320</v>
      </c>
      <c r="S11" s="93" t="s">
        <v>320</v>
      </c>
      <c r="T11" s="93" t="s">
        <v>320</v>
      </c>
      <c r="U11" s="93" t="s">
        <v>320</v>
      </c>
      <c r="V11" s="93" t="s">
        <v>320</v>
      </c>
      <c r="W11" s="93" t="s">
        <v>320</v>
      </c>
      <c r="X11" s="93" t="s">
        <v>320</v>
      </c>
      <c r="Y11" s="93" t="s">
        <v>320</v>
      </c>
      <c r="Z11" s="93" t="s">
        <v>320</v>
      </c>
      <c r="AA11" s="93" t="s">
        <v>320</v>
      </c>
      <c r="AB11" s="93" t="s">
        <v>320</v>
      </c>
      <c r="AC11" s="93" t="s">
        <v>320</v>
      </c>
      <c r="AD11" s="96" t="s">
        <v>1637</v>
      </c>
      <c r="AE11" s="490" t="s">
        <v>423</v>
      </c>
      <c r="AF11" s="93"/>
      <c r="AG11" s="93"/>
      <c r="AH11" s="96" t="s">
        <v>1638</v>
      </c>
      <c r="AI11" s="96" t="s">
        <v>1639</v>
      </c>
      <c r="AJ11" s="96" t="s">
        <v>1639</v>
      </c>
      <c r="AK11" s="96" t="s">
        <v>1639</v>
      </c>
      <c r="AL11" s="96" t="s">
        <v>1639</v>
      </c>
      <c r="AM11" s="96" t="s">
        <v>1639</v>
      </c>
      <c r="AN11" s="96" t="s">
        <v>1639</v>
      </c>
      <c r="AO11" s="96" t="s">
        <v>1639</v>
      </c>
    </row>
    <row r="12" spans="1:41" ht="115.5">
      <c r="A12" s="93">
        <v>11</v>
      </c>
      <c r="B12" s="93" t="s">
        <v>5</v>
      </c>
      <c r="C12" s="624">
        <v>45980</v>
      </c>
      <c r="D12" s="624">
        <v>45993</v>
      </c>
      <c r="E12" s="146" t="s">
        <v>1562</v>
      </c>
      <c r="F12" s="93" t="s">
        <v>313</v>
      </c>
      <c r="G12" s="93">
        <v>50860</v>
      </c>
      <c r="H12" s="235" t="s">
        <v>1640</v>
      </c>
      <c r="I12" s="151" t="s">
        <v>306</v>
      </c>
      <c r="J12" s="93">
        <v>2</v>
      </c>
      <c r="K12" s="93">
        <v>3</v>
      </c>
      <c r="L12" s="93">
        <v>12</v>
      </c>
      <c r="M12" s="634">
        <v>45985</v>
      </c>
      <c r="N12" s="634">
        <v>45987</v>
      </c>
      <c r="O12" s="96" t="s">
        <v>12</v>
      </c>
      <c r="P12" s="96" t="s">
        <v>315</v>
      </c>
      <c r="Q12" s="96" t="s">
        <v>316</v>
      </c>
      <c r="R12" s="96" t="s">
        <v>317</v>
      </c>
      <c r="S12" s="96" t="s">
        <v>316</v>
      </c>
      <c r="T12" s="130" t="s">
        <v>1641</v>
      </c>
      <c r="U12" s="634">
        <v>45993</v>
      </c>
      <c r="V12" s="634">
        <v>45993</v>
      </c>
      <c r="W12" s="96" t="s">
        <v>316</v>
      </c>
      <c r="X12" s="96" t="s">
        <v>319</v>
      </c>
      <c r="Y12" s="96" t="s">
        <v>319</v>
      </c>
      <c r="Z12" s="96" t="s">
        <v>320</v>
      </c>
      <c r="AA12" s="96" t="s">
        <v>316</v>
      </c>
      <c r="AB12" s="96" t="s">
        <v>316</v>
      </c>
      <c r="AC12" s="96" t="s">
        <v>316</v>
      </c>
      <c r="AD12" s="96" t="s">
        <v>1642</v>
      </c>
      <c r="AE12" s="490" t="s">
        <v>423</v>
      </c>
      <c r="AF12" s="93"/>
      <c r="AG12" s="93"/>
      <c r="AH12" s="93"/>
      <c r="AI12" s="96" t="s">
        <v>1643</v>
      </c>
      <c r="AJ12" s="96" t="s">
        <v>1644</v>
      </c>
      <c r="AK12" s="96" t="s">
        <v>1645</v>
      </c>
      <c r="AL12" s="96" t="s">
        <v>1646</v>
      </c>
      <c r="AM12" s="93" t="s">
        <v>1647</v>
      </c>
      <c r="AN12" s="93" t="s">
        <v>1648</v>
      </c>
      <c r="AO12" s="93" t="s">
        <v>1649</v>
      </c>
    </row>
    <row r="13" spans="1:41" ht="35.25">
      <c r="A13" s="93">
        <v>12</v>
      </c>
      <c r="B13" s="93" t="s">
        <v>5</v>
      </c>
      <c r="C13" s="624">
        <v>45980</v>
      </c>
      <c r="D13" s="624">
        <v>45993</v>
      </c>
      <c r="E13" s="146" t="s">
        <v>1562</v>
      </c>
      <c r="F13" s="93" t="s">
        <v>313</v>
      </c>
      <c r="G13" s="93">
        <v>50910</v>
      </c>
      <c r="H13" s="235" t="s">
        <v>588</v>
      </c>
      <c r="I13" s="151" t="s">
        <v>306</v>
      </c>
      <c r="J13" s="93">
        <v>1</v>
      </c>
      <c r="K13" s="93">
        <v>0.5</v>
      </c>
      <c r="L13" s="93">
        <v>2</v>
      </c>
      <c r="M13" s="93" t="s">
        <v>320</v>
      </c>
      <c r="N13" s="93" t="s">
        <v>320</v>
      </c>
      <c r="O13" s="93" t="s">
        <v>320</v>
      </c>
      <c r="P13" s="93" t="s">
        <v>320</v>
      </c>
      <c r="Q13" s="93" t="s">
        <v>320</v>
      </c>
      <c r="R13" s="93" t="s">
        <v>320</v>
      </c>
      <c r="S13" s="93" t="s">
        <v>320</v>
      </c>
      <c r="T13" s="93" t="s">
        <v>320</v>
      </c>
      <c r="U13" s="93" t="s">
        <v>320</v>
      </c>
      <c r="V13" s="93" t="s">
        <v>320</v>
      </c>
      <c r="W13" s="93" t="s">
        <v>320</v>
      </c>
      <c r="X13" s="93" t="s">
        <v>320</v>
      </c>
      <c r="Y13" s="93" t="s">
        <v>320</v>
      </c>
      <c r="Z13" s="93" t="s">
        <v>320</v>
      </c>
      <c r="AA13" s="93" t="s">
        <v>320</v>
      </c>
      <c r="AB13" s="93" t="s">
        <v>320</v>
      </c>
      <c r="AC13" s="93" t="s">
        <v>320</v>
      </c>
      <c r="AD13" s="93" t="s">
        <v>1650</v>
      </c>
      <c r="AE13" s="490" t="s">
        <v>423</v>
      </c>
      <c r="AF13" s="93"/>
      <c r="AG13" s="93"/>
      <c r="AH13" s="93"/>
      <c r="AI13" s="93"/>
      <c r="AJ13" s="93"/>
      <c r="AK13" s="93"/>
      <c r="AL13" s="96" t="s">
        <v>1651</v>
      </c>
      <c r="AM13" s="93" t="s">
        <v>434</v>
      </c>
      <c r="AN13" s="93"/>
      <c r="AO13" s="93"/>
    </row>
    <row r="14" spans="1:41" ht="46.5">
      <c r="A14" s="93">
        <v>13</v>
      </c>
      <c r="B14" s="93" t="s">
        <v>5</v>
      </c>
      <c r="C14" s="624">
        <v>45980</v>
      </c>
      <c r="D14" s="624">
        <v>45993</v>
      </c>
      <c r="E14" s="146" t="s">
        <v>1562</v>
      </c>
      <c r="F14" s="93" t="s">
        <v>313</v>
      </c>
      <c r="G14" s="93">
        <v>50912</v>
      </c>
      <c r="H14" s="235" t="s">
        <v>596</v>
      </c>
      <c r="I14" s="151" t="s">
        <v>306</v>
      </c>
      <c r="J14" s="93">
        <v>5</v>
      </c>
      <c r="K14" s="93">
        <v>3</v>
      </c>
      <c r="L14" s="93">
        <v>11.5</v>
      </c>
      <c r="M14" s="93" t="s">
        <v>320</v>
      </c>
      <c r="N14" s="93" t="s">
        <v>320</v>
      </c>
      <c r="O14" s="93" t="s">
        <v>320</v>
      </c>
      <c r="P14" s="93" t="s">
        <v>320</v>
      </c>
      <c r="Q14" s="93" t="s">
        <v>320</v>
      </c>
      <c r="R14" s="93" t="s">
        <v>320</v>
      </c>
      <c r="S14" s="93" t="s">
        <v>320</v>
      </c>
      <c r="T14" s="93" t="s">
        <v>320</v>
      </c>
      <c r="U14" s="93" t="s">
        <v>320</v>
      </c>
      <c r="V14" s="93" t="s">
        <v>320</v>
      </c>
      <c r="W14" s="93" t="s">
        <v>320</v>
      </c>
      <c r="X14" s="93" t="s">
        <v>320</v>
      </c>
      <c r="Y14" s="93" t="s">
        <v>320</v>
      </c>
      <c r="Z14" s="93" t="s">
        <v>320</v>
      </c>
      <c r="AA14" s="93" t="s">
        <v>320</v>
      </c>
      <c r="AB14" s="93" t="s">
        <v>320</v>
      </c>
      <c r="AC14" s="93" t="s">
        <v>320</v>
      </c>
      <c r="AD14" s="93" t="s">
        <v>1650</v>
      </c>
      <c r="AE14" s="490" t="s">
        <v>423</v>
      </c>
      <c r="AF14" s="93"/>
      <c r="AG14" s="93"/>
      <c r="AH14" s="93"/>
      <c r="AI14" s="93"/>
      <c r="AJ14" s="93"/>
      <c r="AK14" s="93"/>
      <c r="AL14" s="96" t="s">
        <v>1652</v>
      </c>
      <c r="AM14" s="93" t="s">
        <v>1653</v>
      </c>
      <c r="AO14" s="93"/>
    </row>
    <row r="15" spans="1:41" ht="104.25">
      <c r="A15" s="93">
        <v>14</v>
      </c>
      <c r="B15" s="93" t="s">
        <v>5</v>
      </c>
      <c r="C15" s="624">
        <v>45980</v>
      </c>
      <c r="D15" s="624">
        <v>45993</v>
      </c>
      <c r="E15" s="146" t="s">
        <v>1562</v>
      </c>
      <c r="F15" s="93" t="s">
        <v>315</v>
      </c>
      <c r="G15" s="93">
        <v>50911</v>
      </c>
      <c r="H15" s="235" t="s">
        <v>1654</v>
      </c>
      <c r="I15" s="151" t="s">
        <v>306</v>
      </c>
      <c r="J15" s="93">
        <v>2</v>
      </c>
      <c r="K15" s="93">
        <v>2</v>
      </c>
      <c r="L15" s="93">
        <v>8</v>
      </c>
      <c r="M15" s="93" t="s">
        <v>320</v>
      </c>
      <c r="N15" s="93" t="s">
        <v>320</v>
      </c>
      <c r="O15" s="93" t="s">
        <v>320</v>
      </c>
      <c r="P15" s="93" t="s">
        <v>320</v>
      </c>
      <c r="Q15" s="93" t="s">
        <v>320</v>
      </c>
      <c r="R15" s="93" t="s">
        <v>320</v>
      </c>
      <c r="S15" s="93" t="s">
        <v>320</v>
      </c>
      <c r="T15" s="93" t="s">
        <v>320</v>
      </c>
      <c r="U15" s="93" t="s">
        <v>320</v>
      </c>
      <c r="V15" s="93" t="s">
        <v>320</v>
      </c>
      <c r="W15" s="93" t="s">
        <v>320</v>
      </c>
      <c r="X15" s="93" t="s">
        <v>320</v>
      </c>
      <c r="Y15" s="93" t="s">
        <v>320</v>
      </c>
      <c r="Z15" s="93" t="s">
        <v>320</v>
      </c>
      <c r="AA15" s="93" t="s">
        <v>320</v>
      </c>
      <c r="AB15" s="93" t="s">
        <v>320</v>
      </c>
      <c r="AC15" s="93" t="s">
        <v>320</v>
      </c>
      <c r="AD15" s="93" t="s">
        <v>1650</v>
      </c>
      <c r="AE15" s="490" t="s">
        <v>423</v>
      </c>
      <c r="AF15" s="93"/>
      <c r="AG15" s="93"/>
      <c r="AH15" s="93"/>
      <c r="AI15" s="93"/>
      <c r="AJ15" s="93"/>
      <c r="AK15" s="93"/>
      <c r="AL15" s="96" t="s">
        <v>1655</v>
      </c>
      <c r="AM15" s="93"/>
      <c r="AN15" s="93"/>
      <c r="AO15" s="93"/>
    </row>
    <row r="16" spans="1:41" ht="35.25">
      <c r="A16" s="93">
        <v>15</v>
      </c>
      <c r="B16" s="93" t="s">
        <v>5</v>
      </c>
      <c r="C16" s="624">
        <v>45980</v>
      </c>
      <c r="D16" s="624">
        <v>45993</v>
      </c>
      <c r="E16" s="146" t="s">
        <v>1562</v>
      </c>
      <c r="F16" s="93" t="s">
        <v>313</v>
      </c>
      <c r="G16" s="135">
        <v>50913</v>
      </c>
      <c r="H16" s="235" t="s">
        <v>1149</v>
      </c>
      <c r="I16" s="151" t="s">
        <v>306</v>
      </c>
      <c r="J16" s="93">
        <v>3</v>
      </c>
      <c r="K16" s="93">
        <v>2</v>
      </c>
      <c r="L16" s="93">
        <v>8</v>
      </c>
      <c r="M16" s="93" t="s">
        <v>320</v>
      </c>
      <c r="N16" s="93" t="s">
        <v>320</v>
      </c>
      <c r="O16" s="93" t="s">
        <v>320</v>
      </c>
      <c r="P16" s="93" t="s">
        <v>320</v>
      </c>
      <c r="Q16" s="93" t="s">
        <v>320</v>
      </c>
      <c r="R16" s="93" t="s">
        <v>320</v>
      </c>
      <c r="S16" s="93" t="s">
        <v>320</v>
      </c>
      <c r="T16" s="93" t="s">
        <v>320</v>
      </c>
      <c r="U16" s="93" t="s">
        <v>320</v>
      </c>
      <c r="V16" s="93" t="s">
        <v>320</v>
      </c>
      <c r="W16" s="93" t="s">
        <v>320</v>
      </c>
      <c r="X16" s="93" t="s">
        <v>320</v>
      </c>
      <c r="Y16" s="93" t="s">
        <v>320</v>
      </c>
      <c r="Z16" s="93" t="s">
        <v>320</v>
      </c>
      <c r="AA16" s="93" t="s">
        <v>320</v>
      </c>
      <c r="AB16" s="93" t="s">
        <v>320</v>
      </c>
      <c r="AC16" s="93" t="s">
        <v>320</v>
      </c>
      <c r="AD16" s="93" t="s">
        <v>1650</v>
      </c>
      <c r="AE16" s="490" t="s">
        <v>423</v>
      </c>
      <c r="AF16" s="93"/>
      <c r="AG16" s="93"/>
      <c r="AH16" s="93"/>
      <c r="AI16" s="93"/>
      <c r="AJ16" s="93"/>
      <c r="AK16" s="93"/>
      <c r="AL16" s="93"/>
      <c r="AM16" s="93" t="s">
        <v>1656</v>
      </c>
      <c r="AN16" s="93"/>
      <c r="AO16" s="93"/>
    </row>
    <row r="17" spans="1:41" ht="35.25">
      <c r="A17" s="93">
        <v>16</v>
      </c>
      <c r="B17" s="93" t="s">
        <v>5</v>
      </c>
      <c r="C17" s="624">
        <v>45980</v>
      </c>
      <c r="D17" s="624">
        <v>45993</v>
      </c>
      <c r="E17" s="146" t="s">
        <v>1562</v>
      </c>
      <c r="F17" s="93" t="s">
        <v>1657</v>
      </c>
      <c r="G17" s="93">
        <v>50916</v>
      </c>
      <c r="H17" s="235" t="s">
        <v>1658</v>
      </c>
      <c r="I17" s="151" t="s">
        <v>306</v>
      </c>
      <c r="J17" s="93">
        <v>3</v>
      </c>
      <c r="K17" s="93">
        <v>2</v>
      </c>
      <c r="L17" s="93">
        <v>8</v>
      </c>
      <c r="M17" s="93" t="s">
        <v>320</v>
      </c>
      <c r="N17" s="93" t="s">
        <v>320</v>
      </c>
      <c r="O17" s="93" t="s">
        <v>320</v>
      </c>
      <c r="P17" s="93" t="s">
        <v>320</v>
      </c>
      <c r="Q17" s="93" t="s">
        <v>320</v>
      </c>
      <c r="R17" s="93" t="s">
        <v>320</v>
      </c>
      <c r="S17" s="93" t="s">
        <v>320</v>
      </c>
      <c r="T17" s="93" t="s">
        <v>320</v>
      </c>
      <c r="U17" s="93" t="s">
        <v>320</v>
      </c>
      <c r="V17" s="93" t="s">
        <v>320</v>
      </c>
      <c r="W17" s="93" t="s">
        <v>320</v>
      </c>
      <c r="X17" s="93" t="s">
        <v>320</v>
      </c>
      <c r="Y17" s="93" t="s">
        <v>320</v>
      </c>
      <c r="Z17" s="93" t="s">
        <v>320</v>
      </c>
      <c r="AA17" s="93" t="s">
        <v>320</v>
      </c>
      <c r="AB17" s="93" t="s">
        <v>320</v>
      </c>
      <c r="AC17" s="93" t="s">
        <v>320</v>
      </c>
      <c r="AD17" s="96" t="s">
        <v>1659</v>
      </c>
      <c r="AE17" s="490" t="s">
        <v>423</v>
      </c>
      <c r="AF17" s="93"/>
      <c r="AG17" s="93"/>
      <c r="AH17" s="93"/>
      <c r="AI17" s="93"/>
      <c r="AJ17" s="93"/>
      <c r="AK17" s="93"/>
      <c r="AL17" s="93"/>
      <c r="AM17" s="93" t="s">
        <v>1660</v>
      </c>
      <c r="AN17" s="93" t="s">
        <v>12</v>
      </c>
      <c r="AO17" s="93"/>
    </row>
    <row r="18" spans="1:41" ht="190.5">
      <c r="A18" s="93">
        <v>17</v>
      </c>
      <c r="B18" s="93" t="s">
        <v>5</v>
      </c>
      <c r="C18" s="624">
        <v>45980</v>
      </c>
      <c r="D18" s="624">
        <v>45993</v>
      </c>
      <c r="E18" s="146" t="s">
        <v>1562</v>
      </c>
      <c r="F18" s="93" t="s">
        <v>465</v>
      </c>
      <c r="G18" s="93" t="s">
        <v>1471</v>
      </c>
      <c r="H18" s="235" t="s">
        <v>1472</v>
      </c>
      <c r="I18" s="151" t="s">
        <v>503</v>
      </c>
      <c r="J18" s="93">
        <v>3</v>
      </c>
      <c r="K18" s="93">
        <v>2.5</v>
      </c>
      <c r="L18" s="93">
        <v>10</v>
      </c>
      <c r="M18" s="93" t="s">
        <v>320</v>
      </c>
      <c r="N18" s="93" t="s">
        <v>320</v>
      </c>
      <c r="O18" s="93" t="s">
        <v>320</v>
      </c>
      <c r="P18" s="93" t="s">
        <v>320</v>
      </c>
      <c r="Q18" s="93" t="s">
        <v>320</v>
      </c>
      <c r="R18" s="93" t="s">
        <v>320</v>
      </c>
      <c r="S18" s="93" t="s">
        <v>320</v>
      </c>
      <c r="T18" s="93" t="s">
        <v>320</v>
      </c>
      <c r="U18" s="93" t="s">
        <v>320</v>
      </c>
      <c r="V18" s="93" t="s">
        <v>320</v>
      </c>
      <c r="W18" s="93" t="s">
        <v>320</v>
      </c>
      <c r="X18" s="93" t="s">
        <v>320</v>
      </c>
      <c r="Y18" s="93" t="s">
        <v>320</v>
      </c>
      <c r="Z18" s="93" t="s">
        <v>320</v>
      </c>
      <c r="AA18" s="93" t="s">
        <v>320</v>
      </c>
      <c r="AB18" s="93" t="s">
        <v>320</v>
      </c>
      <c r="AC18" s="93" t="s">
        <v>320</v>
      </c>
      <c r="AD18" s="96" t="s">
        <v>1661</v>
      </c>
      <c r="AE18" s="490" t="s">
        <v>423</v>
      </c>
      <c r="AF18" s="93"/>
      <c r="AG18" s="93"/>
      <c r="AH18" s="93"/>
      <c r="AI18" s="93"/>
      <c r="AJ18" s="93"/>
      <c r="AK18" s="93"/>
      <c r="AL18" s="93"/>
      <c r="AM18" s="96" t="s">
        <v>1662</v>
      </c>
      <c r="AN18" s="96" t="s">
        <v>1663</v>
      </c>
      <c r="AO18" s="93"/>
    </row>
    <row r="19" spans="1:41" ht="87">
      <c r="A19" s="93">
        <v>18</v>
      </c>
      <c r="B19" s="93" t="s">
        <v>5</v>
      </c>
      <c r="C19" s="624">
        <v>45980</v>
      </c>
      <c r="D19" s="624">
        <v>45993</v>
      </c>
      <c r="E19" s="146" t="s">
        <v>1562</v>
      </c>
      <c r="F19" s="93" t="s">
        <v>465</v>
      </c>
      <c r="G19" s="93">
        <v>50915</v>
      </c>
      <c r="H19" s="235" t="s">
        <v>1664</v>
      </c>
      <c r="I19" s="151" t="s">
        <v>306</v>
      </c>
      <c r="J19" s="93">
        <v>3</v>
      </c>
      <c r="K19" s="93">
        <v>0.75</v>
      </c>
      <c r="L19" s="93">
        <v>3</v>
      </c>
      <c r="M19" s="93" t="s">
        <v>320</v>
      </c>
      <c r="N19" s="93" t="s">
        <v>320</v>
      </c>
      <c r="O19" s="93" t="s">
        <v>320</v>
      </c>
      <c r="P19" s="93" t="s">
        <v>320</v>
      </c>
      <c r="Q19" s="93" t="s">
        <v>320</v>
      </c>
      <c r="R19" s="93" t="s">
        <v>320</v>
      </c>
      <c r="S19" s="93" t="s">
        <v>320</v>
      </c>
      <c r="T19" s="93" t="s">
        <v>320</v>
      </c>
      <c r="U19" s="93" t="s">
        <v>320</v>
      </c>
      <c r="V19" s="93" t="s">
        <v>320</v>
      </c>
      <c r="W19" s="93" t="s">
        <v>320</v>
      </c>
      <c r="X19" s="93" t="s">
        <v>320</v>
      </c>
      <c r="Y19" s="93" t="s">
        <v>320</v>
      </c>
      <c r="Z19" s="93" t="s">
        <v>320</v>
      </c>
      <c r="AA19" s="93" t="s">
        <v>320</v>
      </c>
      <c r="AB19" s="93" t="s">
        <v>320</v>
      </c>
      <c r="AC19" s="93" t="s">
        <v>320</v>
      </c>
      <c r="AD19" s="96" t="s">
        <v>1659</v>
      </c>
      <c r="AE19" s="490" t="s">
        <v>423</v>
      </c>
      <c r="AF19" s="93"/>
      <c r="AG19" s="93"/>
      <c r="AH19" s="93"/>
      <c r="AI19" s="93"/>
      <c r="AJ19" s="93"/>
      <c r="AK19" s="93"/>
      <c r="AL19" s="93"/>
      <c r="AM19" s="648" t="s">
        <v>1665</v>
      </c>
      <c r="AN19" s="93" t="s">
        <v>12</v>
      </c>
      <c r="AO19" s="93"/>
    </row>
    <row r="20" spans="1:41" ht="36">
      <c r="A20" s="93">
        <v>19</v>
      </c>
      <c r="B20" s="93" t="s">
        <v>5</v>
      </c>
      <c r="C20" s="624">
        <v>45980</v>
      </c>
      <c r="D20" s="624">
        <v>45993</v>
      </c>
      <c r="E20" s="146" t="s">
        <v>1562</v>
      </c>
      <c r="F20" s="93" t="s">
        <v>465</v>
      </c>
      <c r="G20" s="93">
        <v>50918</v>
      </c>
      <c r="H20" s="235" t="s">
        <v>1666</v>
      </c>
      <c r="I20" s="151" t="s">
        <v>553</v>
      </c>
      <c r="J20" s="93">
        <v>2</v>
      </c>
      <c r="K20" s="93">
        <v>0</v>
      </c>
      <c r="L20" s="93">
        <v>0</v>
      </c>
      <c r="M20" s="93" t="s">
        <v>320</v>
      </c>
      <c r="N20" s="93" t="s">
        <v>320</v>
      </c>
      <c r="O20" s="93" t="s">
        <v>320</v>
      </c>
      <c r="P20" s="93" t="s">
        <v>320</v>
      </c>
      <c r="Q20" s="93" t="s">
        <v>320</v>
      </c>
      <c r="R20" s="93" t="s">
        <v>320</v>
      </c>
      <c r="S20" s="93" t="s">
        <v>320</v>
      </c>
      <c r="T20" s="93" t="s">
        <v>320</v>
      </c>
      <c r="U20" s="93" t="s">
        <v>320</v>
      </c>
      <c r="V20" s="93" t="s">
        <v>320</v>
      </c>
      <c r="W20" s="93" t="s">
        <v>320</v>
      </c>
      <c r="X20" s="93" t="s">
        <v>320</v>
      </c>
      <c r="Y20" s="93" t="s">
        <v>320</v>
      </c>
      <c r="Z20" s="93" t="s">
        <v>320</v>
      </c>
      <c r="AA20" s="93" t="s">
        <v>320</v>
      </c>
      <c r="AB20" s="93" t="s">
        <v>320</v>
      </c>
      <c r="AC20" s="93" t="s">
        <v>320</v>
      </c>
      <c r="AD20" s="96" t="s">
        <v>1667</v>
      </c>
      <c r="AE20" s="490" t="s">
        <v>423</v>
      </c>
      <c r="AF20" s="93"/>
      <c r="AG20" s="93"/>
      <c r="AH20" s="93"/>
      <c r="AI20" s="93"/>
      <c r="AJ20" s="93"/>
      <c r="AK20" s="93"/>
      <c r="AL20" s="93"/>
      <c r="AM20" s="93"/>
      <c r="AN20" s="93"/>
      <c r="AO20" s="93"/>
    </row>
    <row r="21" spans="1:41">
      <c r="A21" s="93"/>
      <c r="B21" s="93"/>
      <c r="C21" s="93"/>
      <c r="D21" s="93"/>
      <c r="E21" s="93"/>
      <c r="F21" s="93"/>
      <c r="G21" s="93"/>
      <c r="H21" s="216"/>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row>
    <row r="22" spans="1:41">
      <c r="A22" s="93"/>
      <c r="B22" s="93"/>
      <c r="C22" s="93"/>
      <c r="D22" s="93"/>
      <c r="E22" s="93"/>
      <c r="F22" s="93"/>
      <c r="G22" s="93"/>
      <c r="H22" s="216"/>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row>
  </sheetData>
  <autoFilter ref="A1:AO1" xr:uid="{4B8B0046-8BB1-4A31-B038-5680DEE9937B}"/>
  <conditionalFormatting sqref="J1 I16:I20">
    <cfRule type="containsText" dxfId="641" priority="34" operator="containsText" text="Closed">
      <formula>NOT(ISERROR(SEARCH("Closed",I1)))</formula>
    </cfRule>
    <cfRule type="containsText" dxfId="640" priority="35" operator="containsText" text="Open">
      <formula>NOT(ISERROR(SEARCH("Open",I1)))</formula>
    </cfRule>
    <cfRule type="containsText" dxfId="639" priority="36" operator="containsText" text="Inprogress">
      <formula>NOT(ISERROR(SEARCH("Inprogress",I1)))</formula>
    </cfRule>
  </conditionalFormatting>
  <conditionalFormatting sqref="I3:I4">
    <cfRule type="containsText" dxfId="638" priority="31" operator="containsText" text="Closed">
      <formula>NOT(ISERROR(SEARCH("Closed",I3)))</formula>
    </cfRule>
    <cfRule type="containsText" dxfId="637" priority="32" operator="containsText" text="Open">
      <formula>NOT(ISERROR(SEARCH("Open",I3)))</formula>
    </cfRule>
    <cfRule type="containsText" dxfId="636" priority="33" operator="containsText" text="Inprogress">
      <formula>NOT(ISERROR(SEARCH("Inprogress",I3)))</formula>
    </cfRule>
  </conditionalFormatting>
  <conditionalFormatting sqref="I5:I6">
    <cfRule type="containsText" dxfId="635" priority="28" operator="containsText" text="Closed">
      <formula>NOT(ISERROR(SEARCH("Closed",I5)))</formula>
    </cfRule>
    <cfRule type="containsText" dxfId="634" priority="29" operator="containsText" text="Open">
      <formula>NOT(ISERROR(SEARCH("Open",I5)))</formula>
    </cfRule>
    <cfRule type="containsText" dxfId="633" priority="30" operator="containsText" text="Inprogress">
      <formula>NOT(ISERROR(SEARCH("Inprogress",I5)))</formula>
    </cfRule>
  </conditionalFormatting>
  <conditionalFormatting sqref="I2">
    <cfRule type="containsText" dxfId="632" priority="25" operator="containsText" text="Closed">
      <formula>NOT(ISERROR(SEARCH("Closed",I2)))</formula>
    </cfRule>
    <cfRule type="containsText" dxfId="631" priority="26" operator="containsText" text="Open">
      <formula>NOT(ISERROR(SEARCH("Open",I2)))</formula>
    </cfRule>
    <cfRule type="containsText" dxfId="630" priority="27" operator="containsText" text="Inprogress">
      <formula>NOT(ISERROR(SEARCH("Inprogress",I2)))</formula>
    </cfRule>
  </conditionalFormatting>
  <conditionalFormatting sqref="I10">
    <cfRule type="containsText" dxfId="629" priority="22" operator="containsText" text="Closed">
      <formula>NOT(ISERROR(SEARCH("Closed",I10)))</formula>
    </cfRule>
    <cfRule type="containsText" dxfId="628" priority="23" operator="containsText" text="Open">
      <formula>NOT(ISERROR(SEARCH("Open",I10)))</formula>
    </cfRule>
    <cfRule type="containsText" dxfId="627" priority="24" operator="containsText" text="Inprogress">
      <formula>NOT(ISERROR(SEARCH("Inprogress",I10)))</formula>
    </cfRule>
  </conditionalFormatting>
  <conditionalFormatting sqref="I8">
    <cfRule type="containsText" dxfId="626" priority="19" operator="containsText" text="Closed">
      <formula>NOT(ISERROR(SEARCH("Closed",I8)))</formula>
    </cfRule>
    <cfRule type="containsText" dxfId="625" priority="20" operator="containsText" text="Open">
      <formula>NOT(ISERROR(SEARCH("Open",I8)))</formula>
    </cfRule>
    <cfRule type="containsText" dxfId="624" priority="21" operator="containsText" text="Inprogress">
      <formula>NOT(ISERROR(SEARCH("Inprogress",I8)))</formula>
    </cfRule>
  </conditionalFormatting>
  <conditionalFormatting sqref="I11:I13">
    <cfRule type="containsText" dxfId="623" priority="16" operator="containsText" text="Closed">
      <formula>NOT(ISERROR(SEARCH("Closed",I11)))</formula>
    </cfRule>
    <cfRule type="containsText" dxfId="622" priority="17" operator="containsText" text="Open">
      <formula>NOT(ISERROR(SEARCH("Open",I11)))</formula>
    </cfRule>
    <cfRule type="containsText" dxfId="621" priority="18" operator="containsText" text="Inprogress">
      <formula>NOT(ISERROR(SEARCH("Inprogress",I11)))</formula>
    </cfRule>
  </conditionalFormatting>
  <conditionalFormatting sqref="I7">
    <cfRule type="containsText" dxfId="620" priority="13" operator="containsText" text="Closed">
      <formula>NOT(ISERROR(SEARCH("Closed",I7)))</formula>
    </cfRule>
    <cfRule type="containsText" dxfId="619" priority="14" operator="containsText" text="Open">
      <formula>NOT(ISERROR(SEARCH("Open",I7)))</formula>
    </cfRule>
    <cfRule type="containsText" dxfId="618" priority="15" operator="containsText" text="Inprogress">
      <formula>NOT(ISERROR(SEARCH("Inprogress",I7)))</formula>
    </cfRule>
  </conditionalFormatting>
  <conditionalFormatting sqref="I9">
    <cfRule type="containsText" dxfId="617" priority="10" operator="containsText" text="Closed">
      <formula>NOT(ISERROR(SEARCH("Closed",I9)))</formula>
    </cfRule>
    <cfRule type="containsText" dxfId="616" priority="11" operator="containsText" text="Open">
      <formula>NOT(ISERROR(SEARCH("Open",I9)))</formula>
    </cfRule>
    <cfRule type="containsText" dxfId="615" priority="12" operator="containsText" text="Inprogress">
      <formula>NOT(ISERROR(SEARCH("Inprogress",I9)))</formula>
    </cfRule>
  </conditionalFormatting>
  <conditionalFormatting sqref="I15">
    <cfRule type="containsText" dxfId="614" priority="7" operator="containsText" text="Closed">
      <formula>NOT(ISERROR(SEARCH("Closed",I15)))</formula>
    </cfRule>
    <cfRule type="containsText" dxfId="613" priority="8" operator="containsText" text="Open">
      <formula>NOT(ISERROR(SEARCH("Open",I15)))</formula>
    </cfRule>
    <cfRule type="containsText" dxfId="612" priority="9" operator="containsText" text="Inprogress">
      <formula>NOT(ISERROR(SEARCH("Inprogress",I15)))</formula>
    </cfRule>
  </conditionalFormatting>
  <conditionalFormatting sqref="I14">
    <cfRule type="containsText" dxfId="611" priority="4" operator="containsText" text="Closed">
      <formula>NOT(ISERROR(SEARCH("Closed",I14)))</formula>
    </cfRule>
    <cfRule type="containsText" dxfId="610" priority="5" operator="containsText" text="Open">
      <formula>NOT(ISERROR(SEARCH("Open",I14)))</formula>
    </cfRule>
    <cfRule type="containsText" dxfId="609" priority="6" operator="containsText" text="Inprogress">
      <formula>NOT(ISERROR(SEARCH("Inprogress",I14)))</formula>
    </cfRule>
  </conditionalFormatting>
  <dataValidations count="11">
    <dataValidation type="list" showErrorMessage="1" sqref="P1" xr:uid="{D9883518-75D6-48EE-A2E2-757BB2186240}">
      <formula1>"Qadir,Rijo,Karthik,Sushmitha,None,TBD"</formula1>
    </dataValidation>
    <dataValidation type="list" showErrorMessage="1" sqref="R1" xr:uid="{5C2F64AF-5200-4E50-AAB4-FD1BAB4E1C75}">
      <formula1>"Qadir,Rijo,Karthik,None,TBD"</formula1>
    </dataValidation>
    <dataValidation type="list" showErrorMessage="1" sqref="Q1" xr:uid="{FD6ECE16-72B6-449A-80CC-2F7C4B1D59D1}">
      <formula1>"Pass,Fail(BacktoDev),DB Script tests in QA DB,TBD"</formula1>
    </dataValidation>
    <dataValidation type="list" showErrorMessage="1" sqref="AC1" xr:uid="{2207B5DA-F4A5-495E-BEEC-FBFF27BF1C0B}">
      <formula1>"Pending-Waiting for Customer confirmation, Approved-Satisified AC,Not Approved-New minor changes requested(Back to Dev),NA,TBD"</formula1>
    </dataValidation>
    <dataValidation type="list" showErrorMessage="1" sqref="AB1" xr:uid="{102CB493-7C9A-484E-8F7A-3095443F8DB0}">
      <formula1>"Approved-Satisified AC,Not Approved(Back to Dev),NA,TBD"</formula1>
    </dataValidation>
    <dataValidation type="list" showErrorMessage="1" sqref="S1:T1 X1 AA1" xr:uid="{58BB0EA0-0B9E-4B3D-9675-829775597B66}">
      <formula1>"No issues found,Issues observed(BacktoDev),DB Script tests in QA DB,NA,TBD"</formula1>
    </dataValidation>
    <dataValidation type="list" showErrorMessage="1" sqref="Y1:Z1 W1 O1" xr:uid="{A239A69F-C5FB-40A4-875E-93F7D0EA16EE}">
      <formula1>"Open,Inprogress,Completed,TBD,NA"</formula1>
    </dataValidation>
    <dataValidation allowBlank="1" showInputMessage="1" showErrorMessage="1" sqref="AD1:AE1" xr:uid="{3C3FD009-A47F-4B2E-B84E-46095651C34F}"/>
    <dataValidation showErrorMessage="1" sqref="I1" xr:uid="{0E0B9AC0-7162-4162-8B05-13C9FCD598F3}"/>
    <dataValidation type="list" allowBlank="1" showErrorMessage="1" sqref="J1" xr:uid="{7D93F0FE-B8C1-4622-B1BF-E28CC2F7C290}">
      <formula1>"Open,Inprogress,Closed"</formula1>
    </dataValidation>
    <dataValidation type="list" allowBlank="1" showInputMessage="1" showErrorMessage="1" sqref="AE2:AE20" xr:uid="{60815CBB-3822-451E-93CD-07C3D364BD74}">
      <formula1>"Exceeds Expectation,Meets Expectation,Needs improvements"</formula1>
    </dataValidation>
  </dataValidations>
  <hyperlinks>
    <hyperlink ref="T10" r:id="rId1" xr:uid="{117EACBE-597F-49DB-B3E5-EE307A1A76AB}"/>
    <hyperlink ref="T12" r:id="rId2" xr:uid="{412E2DB0-38D3-4525-BE20-B327051D65D3}"/>
    <hyperlink ref="T2" r:id="rId3" xr:uid="{9839E0A3-7E40-470D-969B-1FA632AC027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FACCAED-6761-453B-A509-806C95949FD1}">
          <x14:formula1>
            <xm:f>Settings!$C$3:$C$20</xm:f>
          </x14:formula1>
          <xm:sqref>I2:I20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D4368-50B8-45EB-A4D5-9DDB4D142DCA}">
  <dimension ref="A1:M25"/>
  <sheetViews>
    <sheetView topLeftCell="C2" workbookViewId="0">
      <selection activeCell="J2" sqref="J2"/>
    </sheetView>
  </sheetViews>
  <sheetFormatPr defaultRowHeight="12.75"/>
  <cols>
    <col min="2" max="2" width="15.140625" customWidth="1"/>
    <col min="3" max="3" width="15" customWidth="1"/>
    <col min="4" max="4" width="10.140625" customWidth="1"/>
    <col min="6" max="6" width="19.140625" customWidth="1"/>
    <col min="7" max="7" width="64.28515625" customWidth="1"/>
    <col min="11" max="11" width="14.42578125" bestFit="1" customWidth="1"/>
    <col min="12" max="12" width="14.42578125" customWidth="1"/>
    <col min="13" max="13" width="33.85546875" customWidth="1"/>
  </cols>
  <sheetData>
    <row r="1" spans="1:13" ht="42.75" customHeight="1">
      <c r="A1" s="586" t="s">
        <v>266</v>
      </c>
      <c r="B1" s="155" t="s">
        <v>10</v>
      </c>
      <c r="C1" s="280" t="s">
        <v>267</v>
      </c>
      <c r="D1" s="280" t="s">
        <v>268</v>
      </c>
      <c r="E1" s="155" t="s">
        <v>269</v>
      </c>
      <c r="F1" s="280" t="s">
        <v>270</v>
      </c>
      <c r="G1" s="280" t="s">
        <v>271</v>
      </c>
      <c r="H1" s="155" t="s">
        <v>272</v>
      </c>
      <c r="I1" s="155" t="s">
        <v>273</v>
      </c>
      <c r="J1" s="155" t="s">
        <v>274</v>
      </c>
      <c r="K1" s="155" t="s">
        <v>275</v>
      </c>
      <c r="L1" s="605" t="s">
        <v>276</v>
      </c>
      <c r="M1" s="468" t="s">
        <v>277</v>
      </c>
    </row>
    <row r="2" spans="1:13" s="216" customFormat="1" ht="35.25">
      <c r="A2" s="216">
        <v>1</v>
      </c>
      <c r="B2" s="235" t="s">
        <v>1562</v>
      </c>
      <c r="C2" s="216">
        <v>50920</v>
      </c>
      <c r="E2" s="216" t="s">
        <v>315</v>
      </c>
      <c r="F2" s="512" t="s">
        <v>1668</v>
      </c>
      <c r="G2" s="146" t="s">
        <v>1669</v>
      </c>
      <c r="H2" s="165" t="s">
        <v>1670</v>
      </c>
      <c r="I2" s="512" t="s">
        <v>518</v>
      </c>
      <c r="J2" s="165" t="s">
        <v>525</v>
      </c>
      <c r="K2" s="512" t="s">
        <v>1671</v>
      </c>
      <c r="L2" s="62" t="s">
        <v>526</v>
      </c>
      <c r="M2" s="146" t="s">
        <v>1672</v>
      </c>
    </row>
    <row r="3" spans="1:13" s="216" customFormat="1" ht="35.25">
      <c r="A3" s="216">
        <v>2</v>
      </c>
      <c r="B3" s="235" t="s">
        <v>1562</v>
      </c>
      <c r="C3" s="216" t="s">
        <v>1619</v>
      </c>
      <c r="E3" s="216" t="s">
        <v>1673</v>
      </c>
      <c r="F3" s="512" t="s">
        <v>522</v>
      </c>
      <c r="G3" s="146" t="s">
        <v>1542</v>
      </c>
      <c r="H3" s="165" t="s">
        <v>1670</v>
      </c>
      <c r="I3" s="512" t="s">
        <v>518</v>
      </c>
      <c r="J3" s="165" t="s">
        <v>519</v>
      </c>
      <c r="K3" s="512" t="s">
        <v>1674</v>
      </c>
      <c r="L3" s="62" t="s">
        <v>1325</v>
      </c>
      <c r="M3" s="373" t="s">
        <v>1675</v>
      </c>
    </row>
    <row r="4" spans="1:13" s="216" customFormat="1" ht="46.5">
      <c r="A4" s="216">
        <v>3</v>
      </c>
      <c r="B4" s="235" t="s">
        <v>1562</v>
      </c>
      <c r="C4" s="216" t="s">
        <v>1676</v>
      </c>
      <c r="E4" s="216" t="s">
        <v>1673</v>
      </c>
      <c r="F4" s="512" t="s">
        <v>522</v>
      </c>
      <c r="G4" s="146" t="s">
        <v>1585</v>
      </c>
      <c r="H4" s="165" t="s">
        <v>1670</v>
      </c>
      <c r="I4" s="512" t="s">
        <v>518</v>
      </c>
      <c r="J4" s="165" t="s">
        <v>519</v>
      </c>
      <c r="K4" s="512" t="s">
        <v>1674</v>
      </c>
      <c r="L4" s="62" t="s">
        <v>529</v>
      </c>
      <c r="M4" s="146" t="s">
        <v>1677</v>
      </c>
    </row>
    <row r="5" spans="1:13" s="216" customFormat="1" ht="58.5">
      <c r="A5" s="216">
        <v>4</v>
      </c>
      <c r="B5" s="235" t="s">
        <v>1562</v>
      </c>
      <c r="C5" s="216" t="s">
        <v>1577</v>
      </c>
      <c r="E5" s="216" t="s">
        <v>1673</v>
      </c>
      <c r="F5" s="512" t="s">
        <v>522</v>
      </c>
      <c r="G5" s="146" t="s">
        <v>1578</v>
      </c>
      <c r="H5" s="165" t="s">
        <v>1670</v>
      </c>
      <c r="I5" s="512" t="s">
        <v>518</v>
      </c>
      <c r="J5" s="165" t="s">
        <v>519</v>
      </c>
      <c r="K5" s="512" t="s">
        <v>1674</v>
      </c>
      <c r="L5" s="62" t="s">
        <v>529</v>
      </c>
      <c r="M5" s="146" t="s">
        <v>1678</v>
      </c>
    </row>
    <row r="6" spans="1:13" s="216" customFormat="1" ht="58.5">
      <c r="A6" s="216">
        <v>5</v>
      </c>
      <c r="B6" s="235" t="s">
        <v>1562</v>
      </c>
      <c r="C6" s="216" t="s">
        <v>1679</v>
      </c>
      <c r="E6" s="216" t="s">
        <v>1673</v>
      </c>
      <c r="F6" s="512" t="s">
        <v>522</v>
      </c>
      <c r="G6" s="146" t="s">
        <v>1680</v>
      </c>
      <c r="H6" s="165" t="s">
        <v>1670</v>
      </c>
      <c r="I6" s="512" t="s">
        <v>518</v>
      </c>
      <c r="J6" s="165" t="s">
        <v>519</v>
      </c>
      <c r="K6" s="512" t="s">
        <v>1674</v>
      </c>
      <c r="L6" s="62" t="s">
        <v>529</v>
      </c>
      <c r="M6" s="146" t="s">
        <v>1681</v>
      </c>
    </row>
    <row r="7" spans="1:13" s="216" customFormat="1">
      <c r="F7" s="512"/>
      <c r="G7" s="146"/>
      <c r="H7" s="165"/>
      <c r="I7" s="512"/>
      <c r="J7" s="165"/>
      <c r="K7" s="512"/>
      <c r="L7" s="62"/>
      <c r="M7" s="146"/>
    </row>
    <row r="8" spans="1:13" s="216" customFormat="1">
      <c r="F8" s="512"/>
      <c r="G8" s="146"/>
      <c r="H8" s="165"/>
      <c r="I8" s="512"/>
      <c r="J8" s="165"/>
      <c r="K8" s="512"/>
      <c r="L8" s="62"/>
      <c r="M8" s="146"/>
    </row>
    <row r="9" spans="1:13" s="216" customFormat="1">
      <c r="F9" s="512"/>
      <c r="G9" s="146"/>
      <c r="H9" s="165"/>
      <c r="I9" s="512"/>
      <c r="J9" s="165"/>
      <c r="K9" s="512"/>
      <c r="L9" s="62"/>
      <c r="M9" s="146"/>
    </row>
    <row r="10" spans="1:13" s="216" customFormat="1">
      <c r="F10" s="512"/>
      <c r="G10" s="146"/>
      <c r="H10" s="165"/>
      <c r="I10" s="512"/>
      <c r="J10" s="165"/>
      <c r="K10" s="512"/>
      <c r="L10" s="62"/>
      <c r="M10" s="146"/>
    </row>
    <row r="11" spans="1:13" s="216" customFormat="1">
      <c r="F11" s="512"/>
      <c r="G11" s="146"/>
      <c r="H11" s="165"/>
      <c r="I11" s="512"/>
      <c r="J11" s="165"/>
      <c r="K11" s="512"/>
      <c r="L11" s="62"/>
      <c r="M11" s="146"/>
    </row>
    <row r="12" spans="1:13" s="216" customFormat="1">
      <c r="F12" s="512"/>
      <c r="G12" s="146"/>
      <c r="H12" s="165"/>
      <c r="I12" s="512"/>
      <c r="J12" s="165"/>
      <c r="K12" s="512"/>
      <c r="L12" s="62"/>
      <c r="M12" s="146"/>
    </row>
    <row r="13" spans="1:13" s="216" customFormat="1">
      <c r="F13" s="512"/>
      <c r="G13" s="146"/>
      <c r="H13" s="165"/>
      <c r="I13" s="512"/>
      <c r="J13" s="165"/>
      <c r="K13" s="512"/>
      <c r="L13" s="62"/>
      <c r="M13" s="146"/>
    </row>
    <row r="14" spans="1:13" s="216" customFormat="1">
      <c r="F14" s="512"/>
      <c r="G14" s="146"/>
      <c r="H14" s="165"/>
      <c r="I14" s="512"/>
      <c r="J14" s="165"/>
      <c r="K14" s="512"/>
      <c r="L14" s="62"/>
      <c r="M14" s="146"/>
    </row>
    <row r="15" spans="1:13" s="216" customFormat="1">
      <c r="F15" s="512"/>
      <c r="G15" s="146"/>
      <c r="H15" s="165"/>
      <c r="I15" s="512"/>
      <c r="J15" s="165"/>
      <c r="K15" s="512"/>
      <c r="L15" s="62"/>
      <c r="M15" s="146"/>
    </row>
    <row r="16" spans="1:13" s="216" customFormat="1">
      <c r="F16" s="512"/>
      <c r="G16" s="146"/>
      <c r="H16" s="165"/>
      <c r="I16" s="512"/>
      <c r="J16" s="165"/>
      <c r="K16" s="512"/>
      <c r="L16" s="62"/>
      <c r="M16" s="146"/>
    </row>
    <row r="17" spans="6:13" s="216" customFormat="1">
      <c r="F17" s="512"/>
      <c r="G17" s="146"/>
      <c r="H17" s="165"/>
      <c r="I17" s="512"/>
      <c r="J17" s="165"/>
      <c r="K17" s="512"/>
      <c r="L17" s="62"/>
      <c r="M17" s="146"/>
    </row>
    <row r="18" spans="6:13" s="216" customFormat="1">
      <c r="F18" s="512"/>
      <c r="G18" s="146"/>
      <c r="H18" s="165"/>
      <c r="I18" s="512"/>
      <c r="J18" s="165"/>
      <c r="K18" s="512"/>
      <c r="L18" s="62"/>
      <c r="M18" s="146"/>
    </row>
    <row r="19" spans="6:13" s="216" customFormat="1">
      <c r="F19" s="512"/>
      <c r="G19" s="146"/>
      <c r="H19" s="165"/>
      <c r="I19" s="512"/>
      <c r="J19" s="165"/>
      <c r="K19" s="512"/>
      <c r="L19" s="62"/>
      <c r="M19" s="146"/>
    </row>
    <row r="20" spans="6:13" s="216" customFormat="1">
      <c r="F20" s="512"/>
      <c r="G20" s="146"/>
      <c r="H20" s="165"/>
      <c r="I20" s="512"/>
      <c r="J20" s="165"/>
      <c r="K20" s="512"/>
      <c r="L20" s="62"/>
      <c r="M20" s="146"/>
    </row>
    <row r="21" spans="6:13" s="216" customFormat="1">
      <c r="F21" s="512"/>
      <c r="G21" s="146"/>
      <c r="H21" s="165"/>
      <c r="I21" s="512"/>
      <c r="J21" s="165"/>
      <c r="K21" s="512"/>
      <c r="L21" s="62"/>
      <c r="M21" s="146"/>
    </row>
    <row r="22" spans="6:13" s="216" customFormat="1"/>
    <row r="23" spans="6:13" s="216" customFormat="1"/>
    <row r="24" spans="6:13" s="216" customFormat="1"/>
    <row r="25" spans="6:13" s="216" customFormat="1"/>
  </sheetData>
  <dataValidations count="5">
    <dataValidation type="list" allowBlank="1" showErrorMessage="1" sqref="K2:K21" xr:uid="{F51D74B5-AD0E-440D-8227-FF297C28FAEB}">
      <formula1>"Open,Inprogress,Closed/Rejected"</formula1>
    </dataValidation>
    <dataValidation type="list" allowBlank="1" showErrorMessage="1" sqref="I2:I21" xr:uid="{17D5E8CA-BCBA-468E-B1BB-B6D921E2DE02}">
      <formula1>"Manual, Automation"</formula1>
    </dataValidation>
    <dataValidation type="list" allowBlank="1" showErrorMessage="1" sqref="H2:H21" xr:uid="{CB5529C2-7C08-4CDB-9D28-4D1D7A3379A9}">
      <formula1>"Minor,Significant,Major"</formula1>
    </dataValidation>
    <dataValidation type="list" allowBlank="1" showErrorMessage="1" sqref="J2:J21" xr:uid="{1EDABC71-CFFB-4CB1-884D-4831D693FA63}">
      <formula1>"Internal,External"</formula1>
    </dataValidation>
    <dataValidation type="list" allowBlank="1" showErrorMessage="1" sqref="F2:F21" xr:uid="{5FFC5A02-629C-4933-9BC5-818C3DD56F9E}">
      <formula1>"Bounceback/Sub-Defect,Defect,None"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2E52F54-8C24-4A45-B82C-D17D30C7D53F}">
          <x14:formula1>
            <xm:f>Details!$A$2:$A$10</xm:f>
          </x14:formula1>
          <xm:sqref>L2:L21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8584A-A293-4208-8713-46AC95AEC025}">
  <dimension ref="A1:AO35"/>
  <sheetViews>
    <sheetView workbookViewId="0">
      <pane ySplit="1" topLeftCell="A15" activePane="bottomLeft" state="frozen"/>
      <selection pane="bottomLeft" activeCell="AE2" sqref="AE2"/>
    </sheetView>
  </sheetViews>
  <sheetFormatPr defaultRowHeight="12.75"/>
  <cols>
    <col min="2" max="2" width="26.7109375" customWidth="1"/>
    <col min="3" max="3" width="11.85546875" customWidth="1"/>
    <col min="4" max="4" width="12.28515625" customWidth="1"/>
    <col min="5" max="5" width="15.28515625" customWidth="1"/>
    <col min="6" max="6" width="11.140625" customWidth="1"/>
    <col min="7" max="7" width="14.140625" customWidth="1"/>
    <col min="8" max="8" width="33.85546875" customWidth="1"/>
    <col min="9" max="9" width="21.28515625" customWidth="1"/>
    <col min="12" max="12" width="11.5703125" customWidth="1"/>
    <col min="13" max="13" width="10.5703125" customWidth="1"/>
    <col min="14" max="14" width="11" customWidth="1"/>
    <col min="15" max="15" width="12.7109375" customWidth="1"/>
    <col min="17" max="17" width="11" customWidth="1"/>
    <col min="18" max="18" width="11.5703125" customWidth="1"/>
    <col min="19" max="19" width="17" customWidth="1"/>
    <col min="20" max="20" width="25.28515625" customWidth="1"/>
    <col min="21" max="21" width="11.85546875" customWidth="1"/>
    <col min="22" max="22" width="12" customWidth="1"/>
    <col min="23" max="23" width="12.140625" customWidth="1"/>
    <col min="24" max="24" width="21.7109375" customWidth="1"/>
    <col min="25" max="25" width="12.85546875" customWidth="1"/>
    <col min="26" max="26" width="13.85546875" customWidth="1"/>
    <col min="27" max="27" width="18.5703125" customWidth="1"/>
    <col min="28" max="28" width="15" customWidth="1"/>
    <col min="29" max="29" width="13.42578125" customWidth="1"/>
    <col min="30" max="30" width="34.42578125" customWidth="1"/>
    <col min="31" max="31" width="14.7109375" customWidth="1"/>
    <col min="32" max="32" width="19.140625" customWidth="1"/>
    <col min="33" max="33" width="23.28515625" customWidth="1"/>
    <col min="34" max="34" width="18.42578125" customWidth="1"/>
    <col min="35" max="35" width="40.85546875" customWidth="1"/>
    <col min="36" max="36" width="38.140625" customWidth="1"/>
    <col min="37" max="37" width="11.7109375" customWidth="1"/>
    <col min="38" max="38" width="27.28515625" style="100" customWidth="1"/>
    <col min="39" max="39" width="21.28515625" customWidth="1"/>
    <col min="40" max="40" width="16.42578125" customWidth="1"/>
    <col min="41" max="41" width="11.28515625" customWidth="1"/>
  </cols>
  <sheetData>
    <row r="1" spans="1:41" ht="43.5" customHeight="1">
      <c r="A1" s="247" t="s">
        <v>266</v>
      </c>
      <c r="B1" s="247" t="s">
        <v>4</v>
      </c>
      <c r="C1" s="247" t="s">
        <v>2</v>
      </c>
      <c r="D1" s="247" t="s">
        <v>3</v>
      </c>
      <c r="E1" s="247" t="s">
        <v>278</v>
      </c>
      <c r="F1" s="247" t="s">
        <v>269</v>
      </c>
      <c r="G1" s="247" t="s">
        <v>279</v>
      </c>
      <c r="H1" s="247"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45966</v>
      </c>
      <c r="AG1" s="519">
        <v>45967</v>
      </c>
      <c r="AH1" s="518">
        <v>45968</v>
      </c>
      <c r="AI1" s="518">
        <v>45971</v>
      </c>
      <c r="AJ1" s="518">
        <v>45972</v>
      </c>
      <c r="AK1" s="518">
        <v>45973</v>
      </c>
      <c r="AL1" s="518">
        <v>45974</v>
      </c>
      <c r="AM1" s="518">
        <v>45975</v>
      </c>
      <c r="AN1" s="518">
        <v>45978</v>
      </c>
      <c r="AO1" s="518">
        <v>45979</v>
      </c>
    </row>
    <row r="2" spans="1:41" ht="43.5" customHeight="1">
      <c r="A2" s="147">
        <v>1</v>
      </c>
      <c r="B2" s="151" t="s">
        <v>5</v>
      </c>
      <c r="C2" s="624">
        <v>45966</v>
      </c>
      <c r="D2" s="624">
        <v>45979</v>
      </c>
      <c r="E2" s="146" t="s">
        <v>1682</v>
      </c>
      <c r="F2" s="147" t="s">
        <v>317</v>
      </c>
      <c r="G2" s="147">
        <v>49370</v>
      </c>
      <c r="H2" s="146" t="s">
        <v>1683</v>
      </c>
      <c r="I2" s="151" t="s">
        <v>306</v>
      </c>
      <c r="J2" s="147">
        <v>1</v>
      </c>
      <c r="K2" s="147">
        <v>1.75</v>
      </c>
      <c r="L2" s="147">
        <v>7</v>
      </c>
      <c r="M2" s="158">
        <v>45926</v>
      </c>
      <c r="N2" s="158">
        <v>45966</v>
      </c>
      <c r="O2" s="158" t="s">
        <v>320</v>
      </c>
      <c r="P2" s="158" t="s">
        <v>320</v>
      </c>
      <c r="Q2" s="158" t="s">
        <v>320</v>
      </c>
      <c r="R2" s="158" t="s">
        <v>320</v>
      </c>
      <c r="S2" s="158" t="s">
        <v>320</v>
      </c>
      <c r="T2" s="158" t="s">
        <v>320</v>
      </c>
      <c r="U2" s="158" t="s">
        <v>320</v>
      </c>
      <c r="V2" s="158" t="s">
        <v>320</v>
      </c>
      <c r="W2" s="158" t="s">
        <v>320</v>
      </c>
      <c r="X2" s="158" t="s">
        <v>320</v>
      </c>
      <c r="Y2" s="158" t="s">
        <v>320</v>
      </c>
      <c r="Z2" s="158" t="s">
        <v>320</v>
      </c>
      <c r="AA2" s="158" t="s">
        <v>320</v>
      </c>
      <c r="AB2" s="158" t="s">
        <v>320</v>
      </c>
      <c r="AC2" s="158" t="s">
        <v>320</v>
      </c>
      <c r="AD2" s="146" t="s">
        <v>1684</v>
      </c>
      <c r="AE2" s="490" t="s">
        <v>423</v>
      </c>
      <c r="AF2" s="146" t="s">
        <v>1685</v>
      </c>
      <c r="AG2" s="147" t="s">
        <v>434</v>
      </c>
      <c r="AH2" s="147" t="s">
        <v>434</v>
      </c>
      <c r="AI2" s="147" t="s">
        <v>434</v>
      </c>
      <c r="AJ2" s="147" t="s">
        <v>434</v>
      </c>
      <c r="AK2" s="147" t="s">
        <v>434</v>
      </c>
      <c r="AL2" s="146" t="s">
        <v>434</v>
      </c>
      <c r="AM2" s="147" t="s">
        <v>434</v>
      </c>
      <c r="AN2" s="147" t="s">
        <v>434</v>
      </c>
      <c r="AO2" s="147"/>
    </row>
    <row r="3" spans="1:41" ht="43.5" customHeight="1">
      <c r="A3" s="147">
        <v>2</v>
      </c>
      <c r="B3" s="151" t="s">
        <v>5</v>
      </c>
      <c r="C3" s="624">
        <v>45966</v>
      </c>
      <c r="D3" s="624">
        <v>45979</v>
      </c>
      <c r="E3" s="146" t="s">
        <v>1682</v>
      </c>
      <c r="F3" s="147" t="s">
        <v>313</v>
      </c>
      <c r="G3" s="147">
        <v>26241</v>
      </c>
      <c r="H3" s="146" t="s">
        <v>1686</v>
      </c>
      <c r="I3" s="151" t="s">
        <v>306</v>
      </c>
      <c r="J3" s="147">
        <v>1</v>
      </c>
      <c r="K3" s="147">
        <v>1</v>
      </c>
      <c r="L3" s="147">
        <v>4</v>
      </c>
      <c r="M3" s="158">
        <v>45961</v>
      </c>
      <c r="N3" s="158">
        <v>45964</v>
      </c>
      <c r="O3" s="96" t="s">
        <v>12</v>
      </c>
      <c r="P3" s="96" t="s">
        <v>315</v>
      </c>
      <c r="Q3" s="96" t="s">
        <v>316</v>
      </c>
      <c r="R3" s="96" t="s">
        <v>317</v>
      </c>
      <c r="S3" s="96" t="s">
        <v>1687</v>
      </c>
      <c r="T3" s="112" t="s">
        <v>1688</v>
      </c>
      <c r="U3" s="158">
        <v>45965</v>
      </c>
      <c r="V3" s="158">
        <v>45965</v>
      </c>
      <c r="W3" s="96" t="s">
        <v>316</v>
      </c>
      <c r="X3" s="96" t="s">
        <v>319</v>
      </c>
      <c r="Y3" s="96" t="s">
        <v>319</v>
      </c>
      <c r="Z3" s="96" t="s">
        <v>320</v>
      </c>
      <c r="AA3" s="96" t="s">
        <v>316</v>
      </c>
      <c r="AB3" s="96" t="s">
        <v>316</v>
      </c>
      <c r="AC3" s="96" t="s">
        <v>316</v>
      </c>
      <c r="AD3" s="146" t="s">
        <v>1689</v>
      </c>
      <c r="AE3" s="490" t="s">
        <v>423</v>
      </c>
      <c r="AF3" s="146" t="s">
        <v>1690</v>
      </c>
      <c r="AG3" s="147" t="s">
        <v>434</v>
      </c>
      <c r="AH3" s="147" t="s">
        <v>434</v>
      </c>
      <c r="AI3" s="147" t="s">
        <v>434</v>
      </c>
      <c r="AJ3" s="147" t="s">
        <v>434</v>
      </c>
      <c r="AK3" s="147" t="s">
        <v>434</v>
      </c>
      <c r="AL3" s="147" t="s">
        <v>434</v>
      </c>
      <c r="AM3" s="147" t="s">
        <v>434</v>
      </c>
      <c r="AN3" s="147" t="s">
        <v>434</v>
      </c>
      <c r="AO3" s="147"/>
    </row>
    <row r="4" spans="1:41" ht="43.5" customHeight="1">
      <c r="A4" s="147">
        <v>3</v>
      </c>
      <c r="B4" s="151" t="s">
        <v>5</v>
      </c>
      <c r="C4" s="624">
        <v>45966</v>
      </c>
      <c r="D4" s="624">
        <v>45979</v>
      </c>
      <c r="E4" s="146" t="s">
        <v>1691</v>
      </c>
      <c r="F4" s="147" t="s">
        <v>1692</v>
      </c>
      <c r="G4" s="147" t="s">
        <v>1693</v>
      </c>
      <c r="H4" s="146" t="s">
        <v>1694</v>
      </c>
      <c r="I4" s="151" t="s">
        <v>306</v>
      </c>
      <c r="J4" s="147">
        <v>8</v>
      </c>
      <c r="K4" s="147">
        <v>19.75</v>
      </c>
      <c r="L4" s="147">
        <v>79</v>
      </c>
      <c r="M4" s="158">
        <v>45966</v>
      </c>
      <c r="N4" s="158">
        <v>45979</v>
      </c>
      <c r="O4" s="96" t="s">
        <v>12</v>
      </c>
      <c r="P4" s="96" t="s">
        <v>320</v>
      </c>
      <c r="Q4" s="96" t="s">
        <v>320</v>
      </c>
      <c r="R4" s="96" t="s">
        <v>320</v>
      </c>
      <c r="S4" s="96" t="s">
        <v>320</v>
      </c>
      <c r="T4" s="96" t="s">
        <v>320</v>
      </c>
      <c r="U4" s="96" t="s">
        <v>320</v>
      </c>
      <c r="V4" s="96" t="s">
        <v>320</v>
      </c>
      <c r="W4" s="96" t="s">
        <v>320</v>
      </c>
      <c r="X4" s="96" t="s">
        <v>320</v>
      </c>
      <c r="Y4" s="96" t="s">
        <v>320</v>
      </c>
      <c r="Z4" s="96" t="s">
        <v>320</v>
      </c>
      <c r="AA4" s="96" t="s">
        <v>320</v>
      </c>
      <c r="AB4" s="96" t="s">
        <v>320</v>
      </c>
      <c r="AC4" s="96" t="s">
        <v>320</v>
      </c>
      <c r="AD4" s="146" t="s">
        <v>1695</v>
      </c>
      <c r="AE4" s="490" t="s">
        <v>423</v>
      </c>
      <c r="AF4" s="146" t="s">
        <v>1696</v>
      </c>
      <c r="AG4" s="146" t="s">
        <v>1697</v>
      </c>
      <c r="AH4" s="146" t="s">
        <v>1698</v>
      </c>
      <c r="AI4" s="146" t="s">
        <v>1699</v>
      </c>
      <c r="AJ4" s="147"/>
      <c r="AK4" s="146" t="s">
        <v>1700</v>
      </c>
      <c r="AL4" s="146" t="s">
        <v>434</v>
      </c>
      <c r="AM4" s="146" t="s">
        <v>1701</v>
      </c>
      <c r="AN4" s="146" t="s">
        <v>1702</v>
      </c>
      <c r="AO4" s="146"/>
    </row>
    <row r="5" spans="1:41" ht="43.5" customHeight="1">
      <c r="A5" s="147">
        <v>4</v>
      </c>
      <c r="B5" s="151" t="s">
        <v>5</v>
      </c>
      <c r="C5" s="624">
        <v>45966</v>
      </c>
      <c r="D5" s="624">
        <v>45979</v>
      </c>
      <c r="E5" s="146" t="s">
        <v>1691</v>
      </c>
      <c r="F5" s="147" t="s">
        <v>313</v>
      </c>
      <c r="G5" s="147">
        <v>50514</v>
      </c>
      <c r="H5" s="146" t="s">
        <v>1703</v>
      </c>
      <c r="I5" s="151" t="s">
        <v>306</v>
      </c>
      <c r="J5" s="147">
        <v>2</v>
      </c>
      <c r="K5" s="147">
        <v>3.25</v>
      </c>
      <c r="L5" s="147">
        <v>13</v>
      </c>
      <c r="M5" s="158">
        <v>45953</v>
      </c>
      <c r="N5" s="158">
        <v>45961</v>
      </c>
      <c r="O5" s="96" t="s">
        <v>12</v>
      </c>
      <c r="P5" s="96" t="s">
        <v>315</v>
      </c>
      <c r="Q5" s="96" t="s">
        <v>316</v>
      </c>
      <c r="R5" s="96" t="s">
        <v>317</v>
      </c>
      <c r="S5" s="96" t="s">
        <v>316</v>
      </c>
      <c r="T5" s="112" t="s">
        <v>1704</v>
      </c>
      <c r="U5" s="158">
        <v>45964</v>
      </c>
      <c r="V5" s="158">
        <v>45964</v>
      </c>
      <c r="W5" s="96" t="s">
        <v>316</v>
      </c>
      <c r="X5" s="96" t="s">
        <v>319</v>
      </c>
      <c r="Y5" s="96" t="s">
        <v>319</v>
      </c>
      <c r="Z5" s="96" t="s">
        <v>320</v>
      </c>
      <c r="AA5" s="96" t="s">
        <v>316</v>
      </c>
      <c r="AB5" s="96" t="s">
        <v>316</v>
      </c>
      <c r="AC5" s="96" t="s">
        <v>316</v>
      </c>
      <c r="AD5" s="146" t="s">
        <v>1705</v>
      </c>
      <c r="AE5" s="490" t="s">
        <v>423</v>
      </c>
      <c r="AF5" s="146"/>
      <c r="AG5" s="146"/>
      <c r="AH5" s="146"/>
      <c r="AI5" s="146"/>
      <c r="AJ5" s="146" t="s">
        <v>1706</v>
      </c>
      <c r="AK5" s="146" t="s">
        <v>1707</v>
      </c>
      <c r="AL5" s="146" t="s">
        <v>1708</v>
      </c>
      <c r="AM5" s="328" t="s">
        <v>1709</v>
      </c>
      <c r="AN5" s="146" t="s">
        <v>1710</v>
      </c>
      <c r="AO5" s="146" t="s">
        <v>1711</v>
      </c>
    </row>
    <row r="6" spans="1:41" ht="43.5" customHeight="1">
      <c r="A6" s="147">
        <v>5</v>
      </c>
      <c r="B6" s="151" t="s">
        <v>5</v>
      </c>
      <c r="C6" s="624">
        <v>45966</v>
      </c>
      <c r="D6" s="624">
        <v>45979</v>
      </c>
      <c r="E6" s="146" t="s">
        <v>1691</v>
      </c>
      <c r="F6" s="147" t="s">
        <v>313</v>
      </c>
      <c r="G6" s="147">
        <v>50515</v>
      </c>
      <c r="H6" s="146" t="s">
        <v>1712</v>
      </c>
      <c r="I6" s="151" t="s">
        <v>306</v>
      </c>
      <c r="J6" s="147">
        <v>3</v>
      </c>
      <c r="K6" s="147">
        <v>4.4400000000000004</v>
      </c>
      <c r="L6" s="147">
        <v>17.75</v>
      </c>
      <c r="M6" s="158">
        <v>45964</v>
      </c>
      <c r="N6" s="158">
        <v>45966</v>
      </c>
      <c r="O6" s="96" t="s">
        <v>12</v>
      </c>
      <c r="P6" s="96" t="s">
        <v>315</v>
      </c>
      <c r="Q6" s="96" t="s">
        <v>316</v>
      </c>
      <c r="R6" s="96" t="s">
        <v>317</v>
      </c>
      <c r="S6" s="96" t="s">
        <v>316</v>
      </c>
      <c r="T6" s="130" t="s">
        <v>1713</v>
      </c>
      <c r="U6" s="158">
        <v>45971</v>
      </c>
      <c r="V6" s="158">
        <v>45971</v>
      </c>
      <c r="W6" s="96" t="s">
        <v>316</v>
      </c>
      <c r="X6" s="96" t="s">
        <v>319</v>
      </c>
      <c r="Y6" s="96" t="s">
        <v>319</v>
      </c>
      <c r="Z6" s="96" t="s">
        <v>320</v>
      </c>
      <c r="AA6" s="96" t="s">
        <v>316</v>
      </c>
      <c r="AB6" s="96" t="s">
        <v>316</v>
      </c>
      <c r="AC6" s="96" t="s">
        <v>316</v>
      </c>
      <c r="AD6" s="146" t="s">
        <v>1705</v>
      </c>
      <c r="AE6" s="490" t="s">
        <v>423</v>
      </c>
      <c r="AF6" s="146" t="s">
        <v>1714</v>
      </c>
      <c r="AG6" s="146" t="s">
        <v>1715</v>
      </c>
      <c r="AH6" s="146" t="s">
        <v>1716</v>
      </c>
      <c r="AI6" s="146" t="s">
        <v>1717</v>
      </c>
      <c r="AJ6" s="146" t="s">
        <v>1706</v>
      </c>
      <c r="AK6" s="146" t="s">
        <v>1718</v>
      </c>
      <c r="AL6" s="146" t="s">
        <v>1708</v>
      </c>
      <c r="AM6" s="328" t="s">
        <v>1709</v>
      </c>
      <c r="AN6" s="146" t="s">
        <v>1710</v>
      </c>
      <c r="AO6" s="146" t="s">
        <v>1711</v>
      </c>
    </row>
    <row r="7" spans="1:41" ht="43.5" customHeight="1">
      <c r="A7" s="147">
        <v>6</v>
      </c>
      <c r="B7" s="151" t="s">
        <v>5</v>
      </c>
      <c r="C7" s="624">
        <v>45966</v>
      </c>
      <c r="D7" s="624">
        <v>45979</v>
      </c>
      <c r="E7" s="146" t="s">
        <v>1719</v>
      </c>
      <c r="F7" s="147" t="s">
        <v>313</v>
      </c>
      <c r="G7" s="129">
        <v>50516</v>
      </c>
      <c r="H7" s="146" t="s">
        <v>1720</v>
      </c>
      <c r="I7" s="151" t="s">
        <v>306</v>
      </c>
      <c r="J7" s="147">
        <v>5</v>
      </c>
      <c r="K7" s="147">
        <v>3.75</v>
      </c>
      <c r="L7" s="147">
        <v>15</v>
      </c>
      <c r="M7" s="158">
        <v>45966</v>
      </c>
      <c r="N7" s="158">
        <v>45967</v>
      </c>
      <c r="O7" s="96" t="s">
        <v>12</v>
      </c>
      <c r="P7" s="96" t="s">
        <v>315</v>
      </c>
      <c r="Q7" s="96" t="s">
        <v>316</v>
      </c>
      <c r="R7" s="96" t="s">
        <v>317</v>
      </c>
      <c r="S7" s="96" t="s">
        <v>316</v>
      </c>
      <c r="T7" s="130" t="s">
        <v>1721</v>
      </c>
      <c r="U7" s="158">
        <v>45971</v>
      </c>
      <c r="V7" s="158">
        <v>45971</v>
      </c>
      <c r="W7" s="96" t="s">
        <v>316</v>
      </c>
      <c r="X7" s="96" t="s">
        <v>319</v>
      </c>
      <c r="Y7" s="96" t="s">
        <v>319</v>
      </c>
      <c r="Z7" s="96" t="s">
        <v>320</v>
      </c>
      <c r="AA7" s="96" t="s">
        <v>316</v>
      </c>
      <c r="AB7" s="96" t="s">
        <v>316</v>
      </c>
      <c r="AC7" s="96" t="s">
        <v>316</v>
      </c>
      <c r="AD7" s="146" t="s">
        <v>1705</v>
      </c>
      <c r="AE7" s="490" t="s">
        <v>423</v>
      </c>
      <c r="AF7" s="146" t="s">
        <v>1722</v>
      </c>
      <c r="AG7" s="146" t="s">
        <v>1723</v>
      </c>
      <c r="AH7" s="146" t="s">
        <v>1724</v>
      </c>
      <c r="AI7" s="146" t="s">
        <v>1717</v>
      </c>
      <c r="AJ7" s="146" t="s">
        <v>1706</v>
      </c>
      <c r="AK7" s="147" t="s">
        <v>1298</v>
      </c>
      <c r="AL7" s="146" t="s">
        <v>1725</v>
      </c>
      <c r="AM7" s="96" t="s">
        <v>1726</v>
      </c>
      <c r="AN7" s="147"/>
      <c r="AO7" s="147"/>
    </row>
    <row r="8" spans="1:41" ht="43.5" customHeight="1">
      <c r="A8" s="147">
        <v>7</v>
      </c>
      <c r="B8" s="151" t="s">
        <v>5</v>
      </c>
      <c r="C8" s="624">
        <v>45966</v>
      </c>
      <c r="D8" s="624">
        <v>45979</v>
      </c>
      <c r="E8" s="146" t="s">
        <v>1727</v>
      </c>
      <c r="F8" s="147" t="s">
        <v>1728</v>
      </c>
      <c r="G8" s="147">
        <v>50711</v>
      </c>
      <c r="H8" s="146" t="s">
        <v>1632</v>
      </c>
      <c r="I8" s="151" t="s">
        <v>338</v>
      </c>
      <c r="J8" s="147">
        <v>3</v>
      </c>
      <c r="K8" s="147">
        <v>5.5</v>
      </c>
      <c r="L8" s="147">
        <v>22</v>
      </c>
      <c r="M8" s="158">
        <v>45967</v>
      </c>
      <c r="N8" s="180">
        <v>45972</v>
      </c>
      <c r="O8" s="147" t="s">
        <v>320</v>
      </c>
      <c r="P8" s="147" t="s">
        <v>313</v>
      </c>
      <c r="Q8" s="147" t="s">
        <v>316</v>
      </c>
      <c r="R8" s="147" t="s">
        <v>317</v>
      </c>
      <c r="S8" s="96" t="s">
        <v>316</v>
      </c>
      <c r="T8" s="112" t="s">
        <v>1633</v>
      </c>
      <c r="U8" s="180">
        <v>45974</v>
      </c>
      <c r="V8" s="93" t="s">
        <v>320</v>
      </c>
      <c r="W8" s="93" t="s">
        <v>320</v>
      </c>
      <c r="X8" s="93" t="s">
        <v>320</v>
      </c>
      <c r="Y8" s="93" t="s">
        <v>320</v>
      </c>
      <c r="Z8" s="93" t="s">
        <v>320</v>
      </c>
      <c r="AA8" s="93" t="s">
        <v>320</v>
      </c>
      <c r="AB8" s="93" t="s">
        <v>320</v>
      </c>
      <c r="AC8" s="93" t="s">
        <v>320</v>
      </c>
      <c r="AD8" s="146" t="s">
        <v>1634</v>
      </c>
      <c r="AE8" s="490" t="s">
        <v>423</v>
      </c>
      <c r="AF8" s="147"/>
      <c r="AG8" s="147" t="s">
        <v>1729</v>
      </c>
      <c r="AH8" s="146" t="s">
        <v>1730</v>
      </c>
      <c r="AI8" s="146" t="s">
        <v>1731</v>
      </c>
      <c r="AJ8" s="147" t="s">
        <v>1732</v>
      </c>
      <c r="AK8" s="146" t="s">
        <v>1733</v>
      </c>
      <c r="AL8" s="146" t="s">
        <v>1734</v>
      </c>
      <c r="AM8" s="146" t="s">
        <v>1735</v>
      </c>
      <c r="AN8" s="147" t="s">
        <v>1736</v>
      </c>
      <c r="AO8" s="460" t="s">
        <v>1737</v>
      </c>
    </row>
    <row r="9" spans="1:41" ht="43.5" customHeight="1">
      <c r="A9" s="147">
        <v>8</v>
      </c>
      <c r="B9" s="151" t="s">
        <v>5</v>
      </c>
      <c r="C9" s="624">
        <v>45966</v>
      </c>
      <c r="D9" s="624">
        <v>45979</v>
      </c>
      <c r="E9" s="146" t="s">
        <v>1691</v>
      </c>
      <c r="F9" s="147" t="s">
        <v>313</v>
      </c>
      <c r="G9" s="147" t="s">
        <v>1738</v>
      </c>
      <c r="H9" s="146" t="s">
        <v>1739</v>
      </c>
      <c r="I9" s="151" t="s">
        <v>376</v>
      </c>
      <c r="J9" s="147">
        <v>0</v>
      </c>
      <c r="K9" s="147">
        <v>0.5</v>
      </c>
      <c r="L9" s="147">
        <v>2</v>
      </c>
      <c r="M9" s="158">
        <v>45972</v>
      </c>
      <c r="N9" s="158">
        <v>45972</v>
      </c>
      <c r="O9" s="93" t="s">
        <v>320</v>
      </c>
      <c r="P9" s="93" t="s">
        <v>320</v>
      </c>
      <c r="Q9" s="93" t="s">
        <v>320</v>
      </c>
      <c r="R9" s="93" t="s">
        <v>320</v>
      </c>
      <c r="S9" s="93" t="s">
        <v>320</v>
      </c>
      <c r="T9" s="93" t="s">
        <v>320</v>
      </c>
      <c r="U9" s="93" t="s">
        <v>320</v>
      </c>
      <c r="V9" s="93" t="s">
        <v>320</v>
      </c>
      <c r="W9" s="93" t="s">
        <v>320</v>
      </c>
      <c r="X9" s="93" t="s">
        <v>320</v>
      </c>
      <c r="Y9" s="93" t="s">
        <v>320</v>
      </c>
      <c r="Z9" s="93" t="s">
        <v>320</v>
      </c>
      <c r="AA9" s="93" t="s">
        <v>320</v>
      </c>
      <c r="AB9" s="93" t="s">
        <v>320</v>
      </c>
      <c r="AC9" s="93" t="s">
        <v>320</v>
      </c>
      <c r="AD9" s="146" t="s">
        <v>1460</v>
      </c>
      <c r="AE9" s="490" t="s">
        <v>423</v>
      </c>
      <c r="AF9" s="147"/>
      <c r="AG9" s="147"/>
      <c r="AH9" s="147"/>
      <c r="AI9" s="147"/>
      <c r="AJ9" s="147" t="s">
        <v>1740</v>
      </c>
      <c r="AK9" s="147" t="s">
        <v>1741</v>
      </c>
      <c r="AL9" s="146" t="s">
        <v>434</v>
      </c>
      <c r="AM9" s="147" t="s">
        <v>434</v>
      </c>
      <c r="AN9" s="147" t="s">
        <v>434</v>
      </c>
      <c r="AO9" s="147"/>
    </row>
    <row r="10" spans="1:41" ht="43.5" customHeight="1">
      <c r="A10" s="147">
        <v>9</v>
      </c>
      <c r="B10" s="151" t="s">
        <v>5</v>
      </c>
      <c r="C10" s="624">
        <v>45966</v>
      </c>
      <c r="D10" s="624">
        <v>45979</v>
      </c>
      <c r="E10" s="146" t="s">
        <v>1691</v>
      </c>
      <c r="F10" s="147" t="s">
        <v>313</v>
      </c>
      <c r="G10" s="147" t="s">
        <v>1742</v>
      </c>
      <c r="H10" s="146" t="s">
        <v>1743</v>
      </c>
      <c r="I10" s="151" t="s">
        <v>376</v>
      </c>
      <c r="J10" s="147">
        <v>0</v>
      </c>
      <c r="K10" s="147">
        <v>1.5</v>
      </c>
      <c r="L10" s="147">
        <v>6</v>
      </c>
      <c r="M10" s="158">
        <v>45972</v>
      </c>
      <c r="N10" s="158">
        <v>45973</v>
      </c>
      <c r="O10" s="93" t="s">
        <v>320</v>
      </c>
      <c r="P10" s="93" t="s">
        <v>320</v>
      </c>
      <c r="Q10" s="93" t="s">
        <v>320</v>
      </c>
      <c r="R10" s="93" t="s">
        <v>320</v>
      </c>
      <c r="S10" s="93" t="s">
        <v>320</v>
      </c>
      <c r="T10" s="93" t="s">
        <v>320</v>
      </c>
      <c r="U10" s="93" t="s">
        <v>320</v>
      </c>
      <c r="V10" s="93" t="s">
        <v>320</v>
      </c>
      <c r="W10" s="93" t="s">
        <v>320</v>
      </c>
      <c r="X10" s="93" t="s">
        <v>320</v>
      </c>
      <c r="Y10" s="93" t="s">
        <v>320</v>
      </c>
      <c r="Z10" s="93" t="s">
        <v>320</v>
      </c>
      <c r="AA10" s="93" t="s">
        <v>320</v>
      </c>
      <c r="AB10" s="93" t="s">
        <v>320</v>
      </c>
      <c r="AC10" s="93" t="s">
        <v>320</v>
      </c>
      <c r="AD10" s="146" t="s">
        <v>1460</v>
      </c>
      <c r="AE10" s="490" t="s">
        <v>423</v>
      </c>
      <c r="AF10" s="147"/>
      <c r="AG10" s="147"/>
      <c r="AH10" s="146"/>
      <c r="AI10" s="146"/>
      <c r="AJ10" s="146" t="s">
        <v>1744</v>
      </c>
      <c r="AK10" s="147" t="s">
        <v>1745</v>
      </c>
      <c r="AL10" s="146" t="s">
        <v>1746</v>
      </c>
      <c r="AM10" s="147" t="s">
        <v>434</v>
      </c>
      <c r="AN10" s="147" t="s">
        <v>434</v>
      </c>
      <c r="AO10" s="147"/>
    </row>
    <row r="11" spans="1:41" ht="43.5" customHeight="1">
      <c r="A11" s="147">
        <v>10</v>
      </c>
      <c r="B11" s="151" t="s">
        <v>5</v>
      </c>
      <c r="C11" s="624">
        <v>45966</v>
      </c>
      <c r="D11" s="624">
        <v>45979</v>
      </c>
      <c r="E11" s="146" t="s">
        <v>1691</v>
      </c>
      <c r="F11" s="147" t="s">
        <v>313</v>
      </c>
      <c r="G11" s="129">
        <v>26312</v>
      </c>
      <c r="H11" s="146" t="s">
        <v>1747</v>
      </c>
      <c r="I11" s="151" t="s">
        <v>376</v>
      </c>
      <c r="J11" s="147">
        <v>2</v>
      </c>
      <c r="K11" s="147">
        <v>2</v>
      </c>
      <c r="L11" s="147">
        <v>7.5</v>
      </c>
      <c r="M11" s="158">
        <v>45974</v>
      </c>
      <c r="N11" s="158">
        <v>45974</v>
      </c>
      <c r="O11" s="96" t="s">
        <v>12</v>
      </c>
      <c r="P11" s="96" t="s">
        <v>315</v>
      </c>
      <c r="Q11" s="96" t="s">
        <v>316</v>
      </c>
      <c r="R11" s="96" t="s">
        <v>317</v>
      </c>
      <c r="S11" s="96" t="s">
        <v>316</v>
      </c>
      <c r="T11" s="130" t="s">
        <v>1748</v>
      </c>
      <c r="U11" s="158">
        <v>45974</v>
      </c>
      <c r="V11" s="158">
        <v>45974</v>
      </c>
      <c r="W11" s="96" t="s">
        <v>316</v>
      </c>
      <c r="X11" s="96" t="s">
        <v>319</v>
      </c>
      <c r="Y11" s="96" t="s">
        <v>319</v>
      </c>
      <c r="Z11" s="96" t="s">
        <v>320</v>
      </c>
      <c r="AA11" s="96" t="s">
        <v>316</v>
      </c>
      <c r="AB11" s="96" t="s">
        <v>316</v>
      </c>
      <c r="AC11" s="96" t="s">
        <v>316</v>
      </c>
      <c r="AD11" s="146" t="s">
        <v>1549</v>
      </c>
      <c r="AE11" s="490" t="s">
        <v>423</v>
      </c>
      <c r="AF11" s="147"/>
      <c r="AG11" s="147"/>
      <c r="AH11" s="147"/>
      <c r="AI11" s="146"/>
      <c r="AJ11" s="146"/>
      <c r="AK11" s="147"/>
      <c r="AL11" s="146" t="s">
        <v>1749</v>
      </c>
      <c r="AM11" s="146" t="s">
        <v>1750</v>
      </c>
      <c r="AN11" s="147" t="s">
        <v>1459</v>
      </c>
      <c r="AO11" s="147"/>
    </row>
    <row r="12" spans="1:41" ht="43.5" customHeight="1">
      <c r="A12" s="147">
        <v>11</v>
      </c>
      <c r="B12" s="151" t="s">
        <v>5</v>
      </c>
      <c r="C12" s="624">
        <v>45966</v>
      </c>
      <c r="D12" s="624">
        <v>45979</v>
      </c>
      <c r="E12" s="146" t="s">
        <v>1691</v>
      </c>
      <c r="F12" s="147" t="s">
        <v>317</v>
      </c>
      <c r="G12" s="129" t="s">
        <v>1676</v>
      </c>
      <c r="H12" s="146" t="s">
        <v>1751</v>
      </c>
      <c r="I12" s="151" t="s">
        <v>348</v>
      </c>
      <c r="J12" s="147">
        <v>0</v>
      </c>
      <c r="K12" s="147">
        <v>1.68</v>
      </c>
      <c r="L12" s="147">
        <v>6.75</v>
      </c>
      <c r="M12" s="158">
        <v>45975</v>
      </c>
      <c r="N12" s="93" t="s">
        <v>320</v>
      </c>
      <c r="O12" s="93" t="s">
        <v>320</v>
      </c>
      <c r="P12" s="93" t="s">
        <v>320</v>
      </c>
      <c r="Q12" s="93" t="s">
        <v>320</v>
      </c>
      <c r="R12" s="93" t="s">
        <v>320</v>
      </c>
      <c r="S12" s="93" t="s">
        <v>320</v>
      </c>
      <c r="T12" s="93" t="s">
        <v>320</v>
      </c>
      <c r="U12" s="93" t="s">
        <v>320</v>
      </c>
      <c r="V12" s="93" t="s">
        <v>320</v>
      </c>
      <c r="W12" s="93" t="s">
        <v>320</v>
      </c>
      <c r="X12" s="93" t="s">
        <v>320</v>
      </c>
      <c r="Y12" s="93" t="s">
        <v>320</v>
      </c>
      <c r="Z12" s="93" t="s">
        <v>320</v>
      </c>
      <c r="AA12" s="93" t="s">
        <v>320</v>
      </c>
      <c r="AB12" s="93" t="s">
        <v>320</v>
      </c>
      <c r="AC12" s="93" t="s">
        <v>320</v>
      </c>
      <c r="AD12" s="96" t="s">
        <v>1752</v>
      </c>
      <c r="AE12" s="490" t="s">
        <v>423</v>
      </c>
      <c r="AF12" s="147"/>
      <c r="AG12" s="147"/>
      <c r="AH12" s="147"/>
      <c r="AI12" s="146"/>
      <c r="AJ12" s="146"/>
      <c r="AK12" s="147"/>
      <c r="AL12" s="146"/>
      <c r="AM12" s="146" t="s">
        <v>1753</v>
      </c>
      <c r="AN12" s="146" t="s">
        <v>1754</v>
      </c>
      <c r="AO12" s="147"/>
    </row>
    <row r="13" spans="1:41" ht="43.5" customHeight="1">
      <c r="A13" s="147">
        <v>12</v>
      </c>
      <c r="B13" s="151" t="s">
        <v>5</v>
      </c>
      <c r="C13" s="624">
        <v>45966</v>
      </c>
      <c r="D13" s="624">
        <v>45979</v>
      </c>
      <c r="E13" s="146" t="s">
        <v>1691</v>
      </c>
      <c r="F13" s="147" t="s">
        <v>1618</v>
      </c>
      <c r="G13" s="147" t="s">
        <v>1619</v>
      </c>
      <c r="H13" s="146" t="s">
        <v>1542</v>
      </c>
      <c r="I13" s="151" t="s">
        <v>348</v>
      </c>
      <c r="J13" s="147">
        <v>0</v>
      </c>
      <c r="K13" s="147">
        <v>0</v>
      </c>
      <c r="L13" s="147">
        <v>0</v>
      </c>
      <c r="M13" s="93" t="s">
        <v>320</v>
      </c>
      <c r="N13" s="93" t="s">
        <v>320</v>
      </c>
      <c r="O13" s="93" t="s">
        <v>320</v>
      </c>
      <c r="P13" s="93" t="s">
        <v>320</v>
      </c>
      <c r="Q13" s="93" t="s">
        <v>320</v>
      </c>
      <c r="R13" s="93" t="s">
        <v>320</v>
      </c>
      <c r="S13" s="93" t="s">
        <v>320</v>
      </c>
      <c r="T13" s="93" t="s">
        <v>320</v>
      </c>
      <c r="U13" s="93" t="s">
        <v>320</v>
      </c>
      <c r="V13" s="93" t="s">
        <v>320</v>
      </c>
      <c r="W13" s="93" t="s">
        <v>320</v>
      </c>
      <c r="X13" s="93" t="s">
        <v>320</v>
      </c>
      <c r="Y13" s="93" t="s">
        <v>320</v>
      </c>
      <c r="Z13" s="93" t="s">
        <v>320</v>
      </c>
      <c r="AA13" s="93" t="s">
        <v>320</v>
      </c>
      <c r="AB13" s="93" t="s">
        <v>320</v>
      </c>
      <c r="AC13" s="93" t="s">
        <v>320</v>
      </c>
      <c r="AD13" s="146" t="s">
        <v>1621</v>
      </c>
      <c r="AE13" s="490" t="s">
        <v>423</v>
      </c>
      <c r="AF13" s="147"/>
      <c r="AG13" s="147"/>
      <c r="AH13" s="147"/>
      <c r="AI13" s="146"/>
      <c r="AJ13" s="147"/>
      <c r="AK13" s="147"/>
      <c r="AL13" s="146"/>
      <c r="AM13" s="146" t="s">
        <v>1755</v>
      </c>
      <c r="AN13" s="147" t="s">
        <v>1756</v>
      </c>
      <c r="AO13" s="147"/>
    </row>
    <row r="14" spans="1:41" ht="43.5" customHeight="1">
      <c r="A14" s="147">
        <v>13</v>
      </c>
      <c r="B14" s="151" t="s">
        <v>5</v>
      </c>
      <c r="C14" s="624">
        <v>45966</v>
      </c>
      <c r="D14" s="624">
        <v>45979</v>
      </c>
      <c r="E14" s="146" t="s">
        <v>1691</v>
      </c>
      <c r="F14" s="147" t="s">
        <v>317</v>
      </c>
      <c r="G14" s="129" t="s">
        <v>1757</v>
      </c>
      <c r="H14" s="146" t="s">
        <v>1758</v>
      </c>
      <c r="I14" s="151" t="s">
        <v>376</v>
      </c>
      <c r="J14" s="147">
        <v>0</v>
      </c>
      <c r="K14" s="147">
        <v>0</v>
      </c>
      <c r="L14" s="147">
        <v>0</v>
      </c>
      <c r="M14" s="93" t="s">
        <v>320</v>
      </c>
      <c r="N14" s="93" t="s">
        <v>320</v>
      </c>
      <c r="O14" s="93" t="s">
        <v>320</v>
      </c>
      <c r="P14" s="93" t="s">
        <v>320</v>
      </c>
      <c r="Q14" s="93" t="s">
        <v>320</v>
      </c>
      <c r="R14" s="93" t="s">
        <v>320</v>
      </c>
      <c r="S14" s="93" t="s">
        <v>320</v>
      </c>
      <c r="T14" s="93" t="s">
        <v>320</v>
      </c>
      <c r="U14" s="93" t="s">
        <v>320</v>
      </c>
      <c r="V14" s="93" t="s">
        <v>320</v>
      </c>
      <c r="W14" s="93" t="s">
        <v>320</v>
      </c>
      <c r="X14" s="93" t="s">
        <v>320</v>
      </c>
      <c r="Y14" s="93" t="s">
        <v>320</v>
      </c>
      <c r="Z14" s="93" t="s">
        <v>320</v>
      </c>
      <c r="AA14" s="93" t="s">
        <v>320</v>
      </c>
      <c r="AB14" s="93" t="s">
        <v>320</v>
      </c>
      <c r="AC14" s="93" t="s">
        <v>320</v>
      </c>
      <c r="AD14" s="146" t="s">
        <v>1460</v>
      </c>
      <c r="AE14" s="490" t="s">
        <v>423</v>
      </c>
      <c r="AF14" s="146" t="s">
        <v>1759</v>
      </c>
      <c r="AG14" s="147"/>
      <c r="AH14" s="147"/>
      <c r="AI14" s="147"/>
      <c r="AJ14" s="147"/>
      <c r="AK14" s="147"/>
      <c r="AL14" s="146"/>
      <c r="AM14" s="147"/>
      <c r="AN14" s="147" t="s">
        <v>434</v>
      </c>
      <c r="AO14" s="147"/>
    </row>
    <row r="15" spans="1:41" ht="43.5" customHeight="1">
      <c r="A15" s="147">
        <v>14</v>
      </c>
      <c r="B15" s="151" t="s">
        <v>5</v>
      </c>
      <c r="C15" s="624">
        <v>45966</v>
      </c>
      <c r="D15" s="624">
        <v>45979</v>
      </c>
      <c r="E15" s="146" t="s">
        <v>1691</v>
      </c>
      <c r="F15" s="147" t="s">
        <v>1148</v>
      </c>
      <c r="G15" s="129">
        <v>50705</v>
      </c>
      <c r="H15" s="146" t="s">
        <v>1760</v>
      </c>
      <c r="I15" s="151" t="s">
        <v>306</v>
      </c>
      <c r="J15" s="147">
        <v>5</v>
      </c>
      <c r="K15" s="147">
        <v>3.75</v>
      </c>
      <c r="L15" s="147">
        <v>15</v>
      </c>
      <c r="M15" s="158">
        <v>45967</v>
      </c>
      <c r="N15" s="158">
        <v>45978</v>
      </c>
      <c r="O15" s="96" t="s">
        <v>12</v>
      </c>
      <c r="P15" s="646" t="s">
        <v>313</v>
      </c>
      <c r="Q15" s="96" t="s">
        <v>316</v>
      </c>
      <c r="R15" s="96" t="s">
        <v>317</v>
      </c>
      <c r="S15" s="96" t="s">
        <v>316</v>
      </c>
      <c r="T15" s="130" t="s">
        <v>1761</v>
      </c>
      <c r="U15" s="158">
        <v>45979</v>
      </c>
      <c r="V15" s="158">
        <v>45979</v>
      </c>
      <c r="W15" s="96" t="s">
        <v>316</v>
      </c>
      <c r="X15" s="96" t="s">
        <v>319</v>
      </c>
      <c r="Y15" s="96" t="s">
        <v>319</v>
      </c>
      <c r="Z15" s="96" t="s">
        <v>320</v>
      </c>
      <c r="AA15" s="96" t="s">
        <v>316</v>
      </c>
      <c r="AB15" s="96" t="s">
        <v>316</v>
      </c>
      <c r="AC15" s="96" t="s">
        <v>316</v>
      </c>
      <c r="AD15" s="77" t="s">
        <v>1705</v>
      </c>
      <c r="AE15" s="490" t="s">
        <v>423</v>
      </c>
      <c r="AF15" s="147"/>
      <c r="AG15" s="147"/>
      <c r="AH15" s="147"/>
      <c r="AI15" s="147"/>
      <c r="AJ15" s="147"/>
      <c r="AK15" s="146"/>
      <c r="AL15" s="146"/>
      <c r="AM15" s="146" t="s">
        <v>1762</v>
      </c>
      <c r="AN15" s="147" t="s">
        <v>1763</v>
      </c>
      <c r="AO15" s="147" t="s">
        <v>562</v>
      </c>
    </row>
    <row r="16" spans="1:41" ht="43.5" customHeight="1">
      <c r="A16" s="147">
        <v>15</v>
      </c>
      <c r="B16" s="151" t="s">
        <v>5</v>
      </c>
      <c r="C16" s="624">
        <v>45966</v>
      </c>
      <c r="D16" s="624">
        <v>45979</v>
      </c>
      <c r="E16" s="146" t="s">
        <v>1691</v>
      </c>
      <c r="F16" s="129" t="s">
        <v>317</v>
      </c>
      <c r="G16" s="129">
        <v>49950</v>
      </c>
      <c r="H16" s="146" t="s">
        <v>1519</v>
      </c>
      <c r="I16" s="151" t="s">
        <v>399</v>
      </c>
      <c r="J16" s="147">
        <v>1</v>
      </c>
      <c r="K16" s="147">
        <v>1</v>
      </c>
      <c r="L16" s="147">
        <v>4</v>
      </c>
      <c r="M16" s="158">
        <v>45966</v>
      </c>
      <c r="N16" s="93" t="s">
        <v>320</v>
      </c>
      <c r="O16" s="93" t="s">
        <v>320</v>
      </c>
      <c r="P16" s="93" t="s">
        <v>320</v>
      </c>
      <c r="Q16" s="93" t="s">
        <v>320</v>
      </c>
      <c r="R16" s="93" t="s">
        <v>320</v>
      </c>
      <c r="S16" s="93" t="s">
        <v>320</v>
      </c>
      <c r="T16" s="93" t="s">
        <v>320</v>
      </c>
      <c r="U16" s="93" t="s">
        <v>320</v>
      </c>
      <c r="V16" s="93" t="s">
        <v>320</v>
      </c>
      <c r="W16" s="93" t="s">
        <v>320</v>
      </c>
      <c r="X16" s="93" t="s">
        <v>320</v>
      </c>
      <c r="Y16" s="93" t="s">
        <v>320</v>
      </c>
      <c r="Z16" s="93" t="s">
        <v>320</v>
      </c>
      <c r="AA16" s="93" t="s">
        <v>320</v>
      </c>
      <c r="AB16" s="93" t="s">
        <v>320</v>
      </c>
      <c r="AC16" s="93" t="s">
        <v>320</v>
      </c>
      <c r="AD16" s="96" t="s">
        <v>1764</v>
      </c>
      <c r="AE16" s="490" t="s">
        <v>423</v>
      </c>
      <c r="AF16" s="147"/>
      <c r="AG16" s="147"/>
      <c r="AH16" s="146"/>
      <c r="AI16" s="147"/>
      <c r="AJ16" s="147"/>
      <c r="AK16" s="147"/>
      <c r="AL16" s="146"/>
      <c r="AM16" s="147" t="s">
        <v>599</v>
      </c>
      <c r="AN16" s="147"/>
      <c r="AO16" s="147"/>
    </row>
    <row r="17" spans="1:41" ht="43.5" customHeight="1">
      <c r="A17" s="188">
        <v>16</v>
      </c>
      <c r="B17" s="151" t="s">
        <v>5</v>
      </c>
      <c r="C17" s="624">
        <v>45966</v>
      </c>
      <c r="D17" s="624">
        <v>45979</v>
      </c>
      <c r="E17" s="146" t="s">
        <v>1727</v>
      </c>
      <c r="F17" s="646" t="s">
        <v>313</v>
      </c>
      <c r="G17" s="188">
        <v>47277</v>
      </c>
      <c r="H17" s="373" t="s">
        <v>1475</v>
      </c>
      <c r="I17" s="151" t="s">
        <v>399</v>
      </c>
      <c r="J17" s="188">
        <v>3</v>
      </c>
      <c r="K17" s="188">
        <v>2</v>
      </c>
      <c r="L17" s="188">
        <v>8</v>
      </c>
      <c r="M17" s="158">
        <v>45978</v>
      </c>
      <c r="N17" s="93" t="s">
        <v>320</v>
      </c>
      <c r="O17" s="93" t="s">
        <v>320</v>
      </c>
      <c r="P17" s="93" t="s">
        <v>320</v>
      </c>
      <c r="Q17" s="93" t="s">
        <v>320</v>
      </c>
      <c r="R17" s="93" t="s">
        <v>320</v>
      </c>
      <c r="S17" s="93" t="s">
        <v>320</v>
      </c>
      <c r="T17" s="93" t="s">
        <v>320</v>
      </c>
      <c r="U17" s="93" t="s">
        <v>320</v>
      </c>
      <c r="V17" s="93" t="s">
        <v>320</v>
      </c>
      <c r="W17" s="93" t="s">
        <v>320</v>
      </c>
      <c r="X17" s="93" t="s">
        <v>320</v>
      </c>
      <c r="Y17" s="93" t="s">
        <v>320</v>
      </c>
      <c r="Z17" s="93" t="s">
        <v>320</v>
      </c>
      <c r="AA17" s="93" t="s">
        <v>320</v>
      </c>
      <c r="AB17" s="93" t="s">
        <v>320</v>
      </c>
      <c r="AC17" s="93" t="s">
        <v>320</v>
      </c>
      <c r="AD17" s="373" t="s">
        <v>1765</v>
      </c>
      <c r="AE17" s="490" t="s">
        <v>423</v>
      </c>
      <c r="AF17" s="188"/>
      <c r="AG17" s="188"/>
      <c r="AH17" s="188"/>
      <c r="AI17" s="188"/>
      <c r="AJ17" s="188"/>
      <c r="AK17" s="188"/>
      <c r="AL17" s="373"/>
      <c r="AM17" s="188"/>
      <c r="AN17" s="373" t="s">
        <v>1766</v>
      </c>
      <c r="AO17" s="373" t="s">
        <v>1767</v>
      </c>
    </row>
    <row r="18" spans="1:41" ht="43.5" customHeight="1">
      <c r="A18" s="147">
        <v>17</v>
      </c>
      <c r="B18" s="151" t="s">
        <v>5</v>
      </c>
      <c r="C18" s="624">
        <v>45966</v>
      </c>
      <c r="D18" s="624">
        <v>45979</v>
      </c>
      <c r="E18" s="146" t="s">
        <v>1691</v>
      </c>
      <c r="F18" s="646" t="s">
        <v>313</v>
      </c>
      <c r="G18" s="135" t="s">
        <v>1768</v>
      </c>
      <c r="H18" s="146" t="s">
        <v>1769</v>
      </c>
      <c r="I18" s="151" t="s">
        <v>376</v>
      </c>
      <c r="J18" s="147">
        <v>0</v>
      </c>
      <c r="K18" s="147">
        <v>0.5</v>
      </c>
      <c r="L18" s="147">
        <v>2</v>
      </c>
      <c r="M18" s="158">
        <v>45978</v>
      </c>
      <c r="N18" s="158">
        <v>45978</v>
      </c>
      <c r="O18" s="93" t="s">
        <v>320</v>
      </c>
      <c r="P18" s="93" t="s">
        <v>320</v>
      </c>
      <c r="Q18" s="93" t="s">
        <v>320</v>
      </c>
      <c r="R18" s="93" t="s">
        <v>320</v>
      </c>
      <c r="S18" s="93" t="s">
        <v>320</v>
      </c>
      <c r="T18" s="93" t="s">
        <v>320</v>
      </c>
      <c r="U18" s="93" t="s">
        <v>320</v>
      </c>
      <c r="V18" s="93" t="s">
        <v>320</v>
      </c>
      <c r="W18" s="93" t="s">
        <v>320</v>
      </c>
      <c r="X18" s="93" t="s">
        <v>320</v>
      </c>
      <c r="Y18" s="93" t="s">
        <v>320</v>
      </c>
      <c r="Z18" s="93" t="s">
        <v>320</v>
      </c>
      <c r="AA18" s="93" t="s">
        <v>320</v>
      </c>
      <c r="AB18" s="93" t="s">
        <v>320</v>
      </c>
      <c r="AC18" s="93" t="s">
        <v>320</v>
      </c>
      <c r="AD18" s="146" t="s">
        <v>1460</v>
      </c>
      <c r="AE18" s="490" t="s">
        <v>423</v>
      </c>
      <c r="AF18" s="146"/>
      <c r="AG18" s="147"/>
      <c r="AH18" s="147"/>
      <c r="AI18" s="147"/>
      <c r="AJ18" s="147"/>
      <c r="AK18" s="147"/>
      <c r="AL18" s="146"/>
      <c r="AM18" s="146"/>
      <c r="AN18" s="146" t="s">
        <v>1770</v>
      </c>
      <c r="AO18" s="146" t="s">
        <v>1771</v>
      </c>
    </row>
    <row r="19" spans="1:41">
      <c r="A19" s="147"/>
      <c r="B19" s="151"/>
      <c r="C19" s="624"/>
      <c r="D19" s="624"/>
      <c r="E19" s="146"/>
      <c r="F19" s="147"/>
      <c r="G19" s="147"/>
      <c r="H19" s="129"/>
      <c r="I19" s="151"/>
      <c r="J19" s="147"/>
      <c r="K19" s="147"/>
      <c r="L19" s="147"/>
      <c r="M19" s="147"/>
      <c r="N19" s="147"/>
      <c r="O19" s="147"/>
      <c r="P19" s="147"/>
      <c r="Q19" s="147"/>
      <c r="R19" s="147"/>
      <c r="S19" s="147"/>
      <c r="T19" s="146"/>
      <c r="U19" s="147"/>
      <c r="V19" s="147"/>
      <c r="W19" s="147"/>
      <c r="X19" s="147"/>
      <c r="Y19" s="147"/>
      <c r="Z19" s="147"/>
      <c r="AA19" s="147"/>
      <c r="AB19" s="147"/>
      <c r="AC19" s="147"/>
      <c r="AD19" s="146"/>
      <c r="AE19" s="147"/>
      <c r="AF19" s="147"/>
      <c r="AG19" s="147"/>
      <c r="AH19" s="147"/>
      <c r="AI19" s="147"/>
      <c r="AJ19" s="147"/>
      <c r="AK19" s="146"/>
      <c r="AL19" s="146"/>
      <c r="AM19" s="147"/>
      <c r="AN19" s="147"/>
      <c r="AO19" s="146"/>
    </row>
    <row r="20" spans="1:41">
      <c r="A20" s="147"/>
      <c r="B20" s="151"/>
      <c r="C20" s="624"/>
      <c r="D20" s="624"/>
      <c r="E20" s="146"/>
      <c r="F20" s="147"/>
      <c r="G20" s="129"/>
      <c r="H20" s="146"/>
      <c r="I20" s="151"/>
      <c r="J20" s="147"/>
      <c r="K20" s="147"/>
      <c r="L20" s="147"/>
      <c r="M20" s="93"/>
      <c r="N20" s="93"/>
      <c r="O20" s="93"/>
      <c r="P20" s="93"/>
      <c r="Q20" s="93"/>
      <c r="R20" s="93"/>
      <c r="S20" s="93"/>
      <c r="T20" s="93"/>
      <c r="U20" s="93"/>
      <c r="V20" s="93"/>
      <c r="W20" s="93"/>
      <c r="X20" s="93"/>
      <c r="Y20" s="93"/>
      <c r="Z20" s="93"/>
      <c r="AA20" s="93"/>
      <c r="AB20" s="93"/>
      <c r="AC20" s="93"/>
      <c r="AD20" s="64"/>
      <c r="AE20" s="490"/>
      <c r="AF20" s="147"/>
      <c r="AG20" s="147"/>
      <c r="AH20" s="147"/>
      <c r="AI20" s="147"/>
      <c r="AJ20" s="147"/>
      <c r="AK20" s="147"/>
      <c r="AL20" s="146"/>
      <c r="AM20" s="147"/>
      <c r="AN20" s="147"/>
      <c r="AO20" s="147"/>
    </row>
    <row r="21" spans="1:41">
      <c r="A21" s="147"/>
      <c r="B21" s="151"/>
      <c r="C21" s="624"/>
      <c r="D21" s="624"/>
      <c r="E21" s="146"/>
      <c r="F21" s="147"/>
      <c r="G21" s="129"/>
      <c r="H21" s="146"/>
      <c r="I21" s="151"/>
      <c r="J21" s="147"/>
      <c r="K21" s="147"/>
      <c r="L21" s="147"/>
      <c r="M21" s="93"/>
      <c r="N21" s="93"/>
      <c r="O21" s="93"/>
      <c r="P21" s="93"/>
      <c r="Q21" s="93"/>
      <c r="R21" s="93"/>
      <c r="S21" s="93"/>
      <c r="T21" s="93"/>
      <c r="U21" s="93"/>
      <c r="V21" s="93"/>
      <c r="W21" s="93"/>
      <c r="X21" s="93"/>
      <c r="Y21" s="93"/>
      <c r="Z21" s="93"/>
      <c r="AA21" s="93"/>
      <c r="AB21" s="93"/>
      <c r="AC21" s="93"/>
      <c r="AD21" s="146"/>
      <c r="AE21" s="147"/>
      <c r="AF21" s="147"/>
      <c r="AG21" s="147"/>
      <c r="AH21" s="147"/>
      <c r="AI21" s="147"/>
      <c r="AJ21" s="147"/>
      <c r="AK21" s="147"/>
      <c r="AL21" s="146"/>
      <c r="AM21" s="147"/>
      <c r="AN21" s="147"/>
      <c r="AO21" s="147"/>
    </row>
    <row r="22" spans="1:41">
      <c r="A22" s="147"/>
      <c r="B22" s="151"/>
      <c r="C22" s="624"/>
      <c r="D22" s="624"/>
      <c r="E22" s="146"/>
      <c r="F22" s="147"/>
      <c r="G22" s="147"/>
      <c r="H22" s="146"/>
      <c r="I22" s="151"/>
      <c r="J22" s="147"/>
      <c r="K22" s="147"/>
      <c r="L22" s="147"/>
      <c r="M22" s="147"/>
      <c r="N22" s="147"/>
      <c r="O22" s="147"/>
      <c r="P22" s="147"/>
      <c r="Q22" s="147"/>
      <c r="R22" s="147"/>
      <c r="S22" s="147"/>
      <c r="T22" s="146"/>
      <c r="U22" s="147"/>
      <c r="V22" s="147"/>
      <c r="W22" s="147"/>
      <c r="X22" s="147"/>
      <c r="Y22" s="147"/>
      <c r="Z22" s="147"/>
      <c r="AA22" s="147"/>
      <c r="AB22" s="147"/>
      <c r="AC22" s="147"/>
      <c r="AD22" s="147"/>
      <c r="AE22" s="147"/>
      <c r="AF22" s="147"/>
      <c r="AG22" s="147"/>
      <c r="AH22" s="147"/>
      <c r="AI22" s="147"/>
      <c r="AJ22" s="147"/>
      <c r="AK22" s="147"/>
      <c r="AL22" s="146"/>
      <c r="AM22" s="147"/>
      <c r="AN22" s="146"/>
      <c r="AO22" s="146"/>
    </row>
    <row r="23" spans="1:41">
      <c r="A23" s="147"/>
      <c r="B23" s="151"/>
      <c r="C23" s="624"/>
      <c r="D23" s="624"/>
      <c r="E23" s="146"/>
      <c r="F23" s="147"/>
      <c r="G23" s="147"/>
      <c r="H23" s="146"/>
      <c r="I23" s="151"/>
      <c r="J23" s="147"/>
      <c r="K23" s="147"/>
      <c r="L23" s="147"/>
      <c r="M23" s="158"/>
      <c r="N23" s="158"/>
      <c r="O23" s="96"/>
      <c r="P23" s="96"/>
      <c r="Q23" s="96"/>
      <c r="R23" s="96"/>
      <c r="S23" s="96"/>
      <c r="T23" s="112"/>
      <c r="U23" s="158"/>
      <c r="V23" s="158"/>
      <c r="W23" s="96"/>
      <c r="X23" s="96"/>
      <c r="Y23" s="96"/>
      <c r="Z23" s="96"/>
      <c r="AA23" s="96"/>
      <c r="AB23" s="96"/>
      <c r="AC23" s="96"/>
      <c r="AD23" s="146"/>
      <c r="AE23" s="147"/>
      <c r="AF23" s="147"/>
      <c r="AG23" s="147"/>
      <c r="AH23" s="147"/>
      <c r="AI23" s="147"/>
      <c r="AJ23" s="147"/>
      <c r="AK23" s="147"/>
      <c r="AL23" s="146"/>
      <c r="AM23" s="554"/>
      <c r="AN23" s="146"/>
      <c r="AO23" s="146"/>
    </row>
    <row r="24" spans="1:41">
      <c r="A24" s="147"/>
      <c r="B24" s="151"/>
      <c r="C24" s="624"/>
      <c r="D24" s="624"/>
      <c r="E24" s="146"/>
      <c r="F24" s="147"/>
      <c r="G24" s="147"/>
      <c r="H24" s="146"/>
      <c r="I24" s="151"/>
      <c r="J24" s="147"/>
      <c r="K24" s="147"/>
      <c r="L24" s="147"/>
      <c r="M24" s="158"/>
      <c r="N24" s="158"/>
      <c r="O24" s="147"/>
      <c r="P24" s="147"/>
      <c r="Q24" s="147"/>
      <c r="R24" s="147"/>
      <c r="S24" s="147"/>
      <c r="T24" s="146"/>
      <c r="U24" s="147"/>
      <c r="V24" s="147"/>
      <c r="W24" s="147"/>
      <c r="X24" s="147"/>
      <c r="Y24" s="147"/>
      <c r="Z24" s="147"/>
      <c r="AA24" s="147"/>
      <c r="AB24" s="147"/>
      <c r="AC24" s="147"/>
      <c r="AD24" s="146"/>
      <c r="AE24" s="147"/>
      <c r="AF24" s="147"/>
      <c r="AG24" s="147"/>
      <c r="AH24" s="147"/>
      <c r="AI24" s="147"/>
      <c r="AJ24" s="147"/>
      <c r="AK24" s="147"/>
      <c r="AL24" s="146"/>
      <c r="AM24" s="147"/>
      <c r="AN24" s="146"/>
      <c r="AO24" s="146"/>
    </row>
    <row r="25" spans="1:41">
      <c r="A25" s="147"/>
      <c r="B25" s="151"/>
      <c r="C25" s="624"/>
      <c r="D25" s="624"/>
      <c r="E25" s="146"/>
      <c r="F25" s="147"/>
      <c r="G25" s="147"/>
      <c r="H25" s="146"/>
      <c r="I25" s="151"/>
      <c r="J25" s="147"/>
      <c r="K25" s="147"/>
      <c r="L25" s="147"/>
      <c r="M25" s="180"/>
      <c r="N25" s="147"/>
      <c r="O25" s="147"/>
      <c r="P25" s="147"/>
      <c r="Q25" s="147"/>
      <c r="R25" s="147"/>
      <c r="S25" s="147"/>
      <c r="T25" s="146"/>
      <c r="U25" s="147"/>
      <c r="V25" s="147"/>
      <c r="W25" s="147"/>
      <c r="X25" s="147"/>
      <c r="Y25" s="147"/>
      <c r="Z25" s="147"/>
      <c r="AA25" s="147"/>
      <c r="AB25" s="147"/>
      <c r="AC25" s="147"/>
      <c r="AD25" s="146"/>
      <c r="AE25" s="147"/>
      <c r="AF25" s="147"/>
      <c r="AG25" s="147"/>
      <c r="AH25" s="147"/>
      <c r="AI25" s="147"/>
      <c r="AJ25" s="147"/>
      <c r="AK25" s="147"/>
      <c r="AL25" s="146"/>
      <c r="AM25" s="147"/>
      <c r="AN25" s="147"/>
      <c r="AO25" s="147"/>
    </row>
    <row r="26" spans="1:41">
      <c r="A26" s="147"/>
      <c r="B26" s="151"/>
      <c r="C26" s="624"/>
      <c r="D26" s="624"/>
      <c r="E26" s="146"/>
      <c r="F26" s="147"/>
      <c r="G26" s="129"/>
      <c r="H26" s="146"/>
      <c r="I26" s="151"/>
      <c r="J26" s="147"/>
      <c r="K26" s="147"/>
      <c r="L26" s="147"/>
      <c r="M26" s="93"/>
      <c r="N26" s="93"/>
      <c r="O26" s="93"/>
      <c r="P26" s="93"/>
      <c r="Q26" s="93"/>
      <c r="R26" s="93"/>
      <c r="S26" s="93"/>
      <c r="T26" s="93"/>
      <c r="U26" s="93"/>
      <c r="V26" s="93"/>
      <c r="W26" s="93"/>
      <c r="X26" s="93"/>
      <c r="Y26" s="93"/>
      <c r="Z26" s="93"/>
      <c r="AA26" s="93"/>
      <c r="AB26" s="93"/>
      <c r="AC26" s="93"/>
      <c r="AD26" s="96"/>
      <c r="AE26" s="490"/>
      <c r="AF26" s="147"/>
      <c r="AG26" s="147"/>
      <c r="AH26" s="147"/>
      <c r="AI26" s="147"/>
      <c r="AJ26" s="147"/>
      <c r="AK26" s="147"/>
      <c r="AL26" s="146"/>
      <c r="AM26" s="147"/>
      <c r="AN26" s="147"/>
      <c r="AO26" s="147"/>
    </row>
    <row r="27" spans="1:41">
      <c r="A27" s="147"/>
      <c r="B27" s="147"/>
      <c r="C27" s="147"/>
      <c r="D27" s="147"/>
      <c r="E27" s="147"/>
      <c r="F27" s="147"/>
      <c r="G27" s="147"/>
      <c r="H27" s="146"/>
      <c r="I27" s="151"/>
      <c r="J27" s="147"/>
      <c r="K27" s="147"/>
      <c r="L27" s="147"/>
      <c r="M27" s="147"/>
      <c r="N27" s="147"/>
      <c r="O27" s="147"/>
      <c r="P27" s="147"/>
      <c r="Q27" s="147"/>
      <c r="R27" s="147"/>
      <c r="S27" s="147"/>
      <c r="T27" s="146"/>
      <c r="U27" s="147"/>
      <c r="V27" s="147"/>
      <c r="W27" s="147"/>
      <c r="X27" s="147"/>
      <c r="Y27" s="147"/>
      <c r="Z27" s="147"/>
      <c r="AA27" s="147"/>
      <c r="AB27" s="147"/>
      <c r="AC27" s="147"/>
      <c r="AD27" s="147"/>
      <c r="AE27" s="147"/>
      <c r="AF27" s="147"/>
      <c r="AG27" s="147"/>
      <c r="AH27" s="147"/>
      <c r="AI27" s="147"/>
      <c r="AJ27" s="147"/>
      <c r="AK27" s="147"/>
      <c r="AL27" s="146"/>
      <c r="AM27" s="147"/>
      <c r="AN27" s="147"/>
      <c r="AO27" s="147"/>
    </row>
    <row r="28" spans="1:41">
      <c r="A28" s="147"/>
      <c r="B28" s="147"/>
      <c r="C28" s="147"/>
      <c r="D28" s="147"/>
      <c r="E28" s="147"/>
      <c r="F28" s="147"/>
      <c r="G28" s="147"/>
      <c r="H28" s="146"/>
      <c r="I28" s="151"/>
      <c r="J28" s="147"/>
      <c r="K28" s="147"/>
      <c r="L28" s="147"/>
      <c r="M28" s="147"/>
      <c r="N28" s="147"/>
      <c r="O28" s="147"/>
      <c r="P28" s="147"/>
      <c r="Q28" s="147"/>
      <c r="R28" s="147"/>
      <c r="S28" s="147"/>
      <c r="T28" s="146"/>
      <c r="U28" s="147"/>
      <c r="V28" s="147"/>
      <c r="W28" s="147"/>
      <c r="X28" s="147"/>
      <c r="Y28" s="147"/>
      <c r="Z28" s="147"/>
      <c r="AA28" s="147"/>
      <c r="AB28" s="147"/>
      <c r="AC28" s="147"/>
      <c r="AD28" s="147"/>
      <c r="AE28" s="147"/>
      <c r="AF28" s="147"/>
      <c r="AG28" s="147"/>
      <c r="AH28" s="147"/>
      <c r="AI28" s="147"/>
      <c r="AJ28" s="147"/>
      <c r="AK28" s="147"/>
      <c r="AL28" s="146"/>
      <c r="AM28" s="147"/>
      <c r="AN28" s="147"/>
      <c r="AO28" s="147"/>
    </row>
    <row r="29" spans="1:41">
      <c r="A29" s="147"/>
      <c r="B29" s="147"/>
      <c r="C29" s="147"/>
      <c r="D29" s="147"/>
      <c r="E29" s="147"/>
      <c r="F29" s="147"/>
      <c r="G29" s="147"/>
      <c r="H29" s="146"/>
      <c r="I29" s="151"/>
      <c r="J29" s="147"/>
      <c r="K29" s="147"/>
      <c r="L29" s="147"/>
      <c r="M29" s="147"/>
      <c r="N29" s="147"/>
      <c r="O29" s="147"/>
      <c r="P29" s="147"/>
      <c r="Q29" s="147"/>
      <c r="R29" s="147"/>
      <c r="S29" s="147"/>
      <c r="T29" s="146"/>
      <c r="U29" s="147"/>
      <c r="V29" s="147"/>
      <c r="W29" s="147"/>
      <c r="X29" s="147"/>
      <c r="Y29" s="147"/>
      <c r="Z29" s="147"/>
      <c r="AA29" s="147"/>
      <c r="AB29" s="147"/>
      <c r="AC29" s="147"/>
      <c r="AD29" s="147"/>
      <c r="AE29" s="147"/>
      <c r="AF29" s="147"/>
      <c r="AG29" s="147"/>
      <c r="AH29" s="147"/>
      <c r="AI29" s="147"/>
      <c r="AJ29" s="147"/>
      <c r="AK29" s="147"/>
      <c r="AL29" s="146"/>
      <c r="AM29" s="147"/>
      <c r="AN29" s="147"/>
      <c r="AO29" s="147"/>
    </row>
    <row r="30" spans="1:41">
      <c r="A30" s="150"/>
      <c r="B30" s="150"/>
      <c r="C30" s="150"/>
      <c r="D30" s="150"/>
      <c r="E30" s="150"/>
      <c r="F30" s="150"/>
      <c r="G30" s="150"/>
      <c r="H30" s="64"/>
      <c r="I30" s="553"/>
      <c r="J30" s="150"/>
      <c r="K30" s="150"/>
      <c r="L30" s="150"/>
      <c r="M30" s="150"/>
      <c r="N30" s="150"/>
      <c r="O30" s="150"/>
      <c r="P30" s="150"/>
      <c r="Q30" s="150"/>
      <c r="R30" s="150"/>
      <c r="S30" s="150"/>
      <c r="T30" s="64"/>
      <c r="U30" s="150"/>
      <c r="V30" s="150"/>
      <c r="W30" s="150"/>
      <c r="X30" s="150"/>
      <c r="Y30" s="150"/>
      <c r="Z30" s="150"/>
      <c r="AA30" s="150"/>
      <c r="AB30" s="150"/>
      <c r="AC30" s="150"/>
      <c r="AD30" s="150"/>
      <c r="AE30" s="150"/>
      <c r="AF30" s="150"/>
      <c r="AG30" s="150"/>
      <c r="AH30" s="150"/>
      <c r="AI30" s="150"/>
      <c r="AJ30" s="150"/>
      <c r="AK30" s="150"/>
      <c r="AL30" s="64"/>
      <c r="AM30" s="150"/>
      <c r="AN30" s="150"/>
      <c r="AO30" s="150"/>
    </row>
    <row r="31" spans="1:41">
      <c r="A31" s="150"/>
      <c r="B31" s="150"/>
      <c r="C31" s="150"/>
      <c r="D31" s="150"/>
      <c r="E31" s="150"/>
      <c r="F31" s="150"/>
      <c r="G31" s="150"/>
      <c r="H31" s="64"/>
      <c r="I31" s="150"/>
      <c r="J31" s="150"/>
      <c r="K31" s="150"/>
      <c r="L31" s="150"/>
      <c r="M31" s="150"/>
      <c r="N31" s="150"/>
      <c r="O31" s="150"/>
      <c r="P31" s="150"/>
      <c r="Q31" s="150"/>
      <c r="R31" s="150"/>
      <c r="S31" s="150"/>
      <c r="T31" s="64"/>
      <c r="U31" s="150"/>
      <c r="V31" s="150"/>
      <c r="W31" s="150"/>
      <c r="X31" s="150"/>
      <c r="Y31" s="150"/>
      <c r="Z31" s="150"/>
      <c r="AA31" s="150"/>
      <c r="AB31" s="150"/>
      <c r="AC31" s="150"/>
      <c r="AD31" s="150"/>
      <c r="AE31" s="150"/>
      <c r="AF31" s="150"/>
      <c r="AG31" s="150"/>
      <c r="AH31" s="150"/>
      <c r="AI31" s="150"/>
      <c r="AJ31" s="150"/>
      <c r="AK31" s="150"/>
      <c r="AL31" s="64"/>
      <c r="AM31" s="150"/>
      <c r="AN31" s="150"/>
      <c r="AO31" s="150"/>
    </row>
    <row r="32" spans="1:41">
      <c r="A32" s="150"/>
      <c r="B32" s="150"/>
      <c r="C32" s="150"/>
      <c r="D32" s="150"/>
      <c r="E32" s="150"/>
      <c r="F32" s="150"/>
      <c r="G32" s="150"/>
      <c r="H32" s="64"/>
      <c r="I32" s="150"/>
      <c r="J32" s="150"/>
      <c r="K32" s="150"/>
      <c r="L32" s="150"/>
      <c r="M32" s="150"/>
      <c r="N32" s="150"/>
      <c r="O32" s="150"/>
      <c r="P32" s="150"/>
      <c r="Q32" s="150"/>
      <c r="R32" s="150"/>
      <c r="S32" s="150"/>
      <c r="T32" s="64"/>
      <c r="U32" s="150"/>
      <c r="V32" s="150"/>
      <c r="W32" s="150"/>
      <c r="X32" s="150"/>
      <c r="Y32" s="150"/>
      <c r="Z32" s="150"/>
      <c r="AA32" s="150"/>
      <c r="AB32" s="150"/>
      <c r="AC32" s="150"/>
      <c r="AD32" s="150"/>
      <c r="AE32" s="150"/>
      <c r="AF32" s="150"/>
      <c r="AG32" s="150"/>
      <c r="AH32" s="150"/>
      <c r="AI32" s="150"/>
      <c r="AJ32" s="150"/>
      <c r="AK32" s="150"/>
      <c r="AL32" s="64"/>
      <c r="AM32" s="150"/>
      <c r="AN32" s="150"/>
      <c r="AO32" s="150"/>
    </row>
    <row r="33" spans="1:41">
      <c r="A33" s="150"/>
      <c r="B33" s="150"/>
      <c r="C33" s="150"/>
      <c r="D33" s="150"/>
      <c r="E33" s="150"/>
      <c r="F33" s="150"/>
      <c r="G33" s="150"/>
      <c r="H33" s="64"/>
      <c r="I33" s="150"/>
      <c r="J33" s="150"/>
      <c r="K33" s="150"/>
      <c r="L33" s="150"/>
      <c r="M33" s="150"/>
      <c r="N33" s="150"/>
      <c r="O33" s="150"/>
      <c r="P33" s="150"/>
      <c r="Q33" s="150"/>
      <c r="R33" s="150"/>
      <c r="S33" s="150"/>
      <c r="T33" s="64"/>
      <c r="U33" s="150"/>
      <c r="V33" s="150"/>
      <c r="W33" s="150"/>
      <c r="X33" s="150"/>
      <c r="Y33" s="150"/>
      <c r="Z33" s="150"/>
      <c r="AA33" s="150"/>
      <c r="AB33" s="150"/>
      <c r="AC33" s="150"/>
      <c r="AD33" s="150"/>
      <c r="AE33" s="150"/>
      <c r="AF33" s="150"/>
      <c r="AG33" s="150"/>
      <c r="AH33" s="150"/>
      <c r="AI33" s="150"/>
      <c r="AJ33" s="150"/>
      <c r="AK33" s="150"/>
      <c r="AL33" s="64"/>
      <c r="AM33" s="150"/>
      <c r="AN33" s="150"/>
      <c r="AO33" s="150"/>
    </row>
    <row r="34" spans="1:41">
      <c r="A34" s="150"/>
      <c r="B34" s="150"/>
      <c r="C34" s="150"/>
      <c r="D34" s="150"/>
      <c r="E34" s="150"/>
      <c r="F34" s="150"/>
      <c r="G34" s="150"/>
      <c r="H34" s="64"/>
      <c r="I34" s="150"/>
      <c r="J34" s="150"/>
      <c r="K34" s="150"/>
      <c r="L34" s="150"/>
      <c r="M34" s="150"/>
      <c r="N34" s="150"/>
      <c r="O34" s="150"/>
      <c r="P34" s="150"/>
      <c r="Q34" s="150"/>
      <c r="R34" s="150"/>
      <c r="S34" s="150"/>
      <c r="T34" s="64"/>
      <c r="U34" s="150"/>
      <c r="V34" s="150"/>
      <c r="W34" s="150"/>
      <c r="X34" s="150"/>
      <c r="Y34" s="150"/>
      <c r="Z34" s="150"/>
      <c r="AA34" s="150"/>
      <c r="AB34" s="150"/>
      <c r="AC34" s="150"/>
      <c r="AD34" s="150"/>
      <c r="AE34" s="150"/>
      <c r="AF34" s="150"/>
      <c r="AG34" s="150"/>
      <c r="AH34" s="150"/>
      <c r="AI34" s="150"/>
      <c r="AJ34" s="150"/>
      <c r="AK34" s="150"/>
      <c r="AL34" s="64"/>
      <c r="AM34" s="150"/>
      <c r="AN34" s="150"/>
      <c r="AO34" s="150"/>
    </row>
    <row r="35" spans="1:41">
      <c r="A35" s="150"/>
      <c r="B35" s="150"/>
      <c r="C35" s="150"/>
      <c r="D35" s="150"/>
      <c r="E35" s="150"/>
      <c r="F35" s="150"/>
      <c r="G35" s="150"/>
      <c r="H35" s="64"/>
      <c r="I35" s="150"/>
      <c r="J35" s="150"/>
      <c r="K35" s="150"/>
      <c r="L35" s="150"/>
      <c r="M35" s="150"/>
      <c r="N35" s="150"/>
      <c r="O35" s="150"/>
      <c r="P35" s="150"/>
      <c r="Q35" s="150"/>
      <c r="R35" s="150"/>
      <c r="S35" s="150"/>
      <c r="T35" s="64"/>
      <c r="U35" s="150"/>
      <c r="V35" s="150"/>
      <c r="W35" s="150"/>
      <c r="X35" s="150"/>
      <c r="Y35" s="150"/>
      <c r="Z35" s="150"/>
      <c r="AA35" s="150"/>
      <c r="AB35" s="150"/>
      <c r="AC35" s="150"/>
      <c r="AD35" s="150"/>
      <c r="AE35" s="150"/>
      <c r="AF35" s="150"/>
      <c r="AG35" s="150"/>
      <c r="AH35" s="150"/>
      <c r="AI35" s="150"/>
      <c r="AJ35" s="150"/>
      <c r="AK35" s="150"/>
      <c r="AL35" s="64"/>
      <c r="AM35" s="150"/>
      <c r="AN35" s="150"/>
      <c r="AO35" s="150"/>
    </row>
  </sheetData>
  <autoFilter ref="I1:I35" xr:uid="{DCD8584A-A293-4208-8713-46AC95AEC025}"/>
  <conditionalFormatting sqref="J1">
    <cfRule type="containsText" dxfId="608" priority="7" operator="containsText" text="Closed">
      <formula>NOT(ISERROR(SEARCH("Closed",J1)))</formula>
    </cfRule>
    <cfRule type="containsText" dxfId="607" priority="8" operator="containsText" text="Open">
      <formula>NOT(ISERROR(SEARCH("Open",J1)))</formula>
    </cfRule>
    <cfRule type="containsText" dxfId="606" priority="9" operator="containsText" text="Inprogress">
      <formula>NOT(ISERROR(SEARCH("Inprogress",J1)))</formula>
    </cfRule>
  </conditionalFormatting>
  <conditionalFormatting sqref="I2:I4 I6:I30">
    <cfRule type="containsText" dxfId="605" priority="4" operator="containsText" text="Closed">
      <formula>NOT(ISERROR(SEARCH("Closed",I2)))</formula>
    </cfRule>
    <cfRule type="containsText" dxfId="604" priority="5" operator="containsText" text="Open">
      <formula>NOT(ISERROR(SEARCH("Open",I2)))</formula>
    </cfRule>
    <cfRule type="containsText" dxfId="603" priority="6" operator="containsText" text="Inprogress">
      <formula>NOT(ISERROR(SEARCH("Inprogress",I2)))</formula>
    </cfRule>
  </conditionalFormatting>
  <conditionalFormatting sqref="I5">
    <cfRule type="containsText" dxfId="602" priority="1" operator="containsText" text="Closed">
      <formula>NOT(ISERROR(SEARCH("Closed",I5)))</formula>
    </cfRule>
    <cfRule type="containsText" dxfId="601" priority="2" operator="containsText" text="Open">
      <formula>NOT(ISERROR(SEARCH("Open",I5)))</formula>
    </cfRule>
    <cfRule type="containsText" dxfId="600" priority="3" operator="containsText" text="Inprogress">
      <formula>NOT(ISERROR(SEARCH("Inprogress",I5)))</formula>
    </cfRule>
  </conditionalFormatting>
  <dataValidations count="11">
    <dataValidation type="list" allowBlank="1" showErrorMessage="1" sqref="J1" xr:uid="{53E30EF9-326E-4F6E-AA00-A26A12CD5765}">
      <formula1>"Open,Inprogress,Closed"</formula1>
    </dataValidation>
    <dataValidation showErrorMessage="1" sqref="I1" xr:uid="{A80C1B8A-AC1F-4ACE-A437-B9846523E638}"/>
    <dataValidation allowBlank="1" showInputMessage="1" showErrorMessage="1" sqref="AD1:AE1" xr:uid="{C3024438-E2AF-46BB-9E84-5B95CCCF26F2}"/>
    <dataValidation type="list" showErrorMessage="1" sqref="Y1:Z1 W1 O1" xr:uid="{39D024C3-7E7E-4E14-89B2-60434CD7B2E8}">
      <formula1>"Open,Inprogress,Completed,TBD,NA"</formula1>
    </dataValidation>
    <dataValidation type="list" showErrorMessage="1" sqref="S1:T1 X1 AA1" xr:uid="{5CC46BB4-0675-4C53-8666-0120306E1B32}">
      <formula1>"No issues found,Issues observed(BacktoDev),DB Script tests in QA DB,NA,TBD"</formula1>
    </dataValidation>
    <dataValidation type="list" showErrorMessage="1" sqref="AB1" xr:uid="{8E06AA77-2906-4F0B-81F4-5808BC2F4665}">
      <formula1>"Approved-Satisified AC,Not Approved(Back to Dev),NA,TBD"</formula1>
    </dataValidation>
    <dataValidation type="list" showErrorMessage="1" sqref="AC1" xr:uid="{EFA4D8D6-D29C-4A98-9FB5-D8176BA48E84}">
      <formula1>"Pending-Waiting for Customer confirmation, Approved-Satisified AC,Not Approved-New minor changes requested(Back to Dev),NA,TBD"</formula1>
    </dataValidation>
    <dataValidation type="list" showErrorMessage="1" sqref="Q1" xr:uid="{3872B590-00F2-4ED4-9F14-674A8CEB7DDC}">
      <formula1>"Pass,Fail(BacktoDev),DB Script tests in QA DB,TBD"</formula1>
    </dataValidation>
    <dataValidation type="list" showErrorMessage="1" sqref="R1" xr:uid="{08DD8C04-171A-47BE-A917-4C6A2AC50509}">
      <formula1>"Qadir,Rijo,Karthik,None,TBD"</formula1>
    </dataValidation>
    <dataValidation type="list" showErrorMessage="1" sqref="P1" xr:uid="{B08298CB-99B8-4B10-B1FA-FED1E905AF57}">
      <formula1>"Qadir,Rijo,Karthik,Sushmitha,None,TBD"</formula1>
    </dataValidation>
    <dataValidation type="list" allowBlank="1" showInputMessage="1" showErrorMessage="1" sqref="AE26 AE20 AE2:AE18" xr:uid="{89B7728C-72BA-400D-883E-46661DCBAFF9}">
      <formula1>"Exceeds Expectation,Meets Expectation,Needs improvements"</formula1>
    </dataValidation>
  </dataValidations>
  <hyperlinks>
    <hyperlink ref="T5" r:id="rId1" xr:uid="{106F9128-E35C-441D-B2BD-BB53989911C4}"/>
    <hyperlink ref="T6" r:id="rId2" xr:uid="{49B070EE-156A-4C32-B9D4-3B2723C1A414}"/>
    <hyperlink ref="T7" r:id="rId3" xr:uid="{2340F343-859A-472B-8C8A-30038F08EC03}"/>
    <hyperlink ref="T3" r:id="rId4" xr:uid="{C833750B-2EB5-4925-A132-9D09899D13C6}"/>
    <hyperlink ref="T8" r:id="rId5" xr:uid="{03964BFF-F2C7-46E6-9324-0DA917410A1B}"/>
    <hyperlink ref="T11" r:id="rId6" xr:uid="{D8D9E3D2-B6E6-45F2-9388-A72BD9F1C9F1}"/>
    <hyperlink ref="T15" r:id="rId7" xr:uid="{55D57EDA-1B99-4975-96C9-FCEE1998641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601A2A0-FF05-40C8-8042-AE251F752AB3}">
          <x14:formula1>
            <xm:f>Settings!$C$3:$C$20</xm:f>
          </x14:formula1>
          <xm:sqref>I2:I30</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A3F3-58FD-4076-A56D-BF758FDFC05C}">
  <dimension ref="A1:M29"/>
  <sheetViews>
    <sheetView topLeftCell="D6" workbookViewId="0">
      <selection activeCell="M9" sqref="M9"/>
    </sheetView>
  </sheetViews>
  <sheetFormatPr defaultRowHeight="12.75"/>
  <cols>
    <col min="2" max="2" width="25.28515625" customWidth="1"/>
    <col min="3" max="3" width="14.5703125" customWidth="1"/>
    <col min="4" max="4" width="13.28515625" customWidth="1"/>
    <col min="5" max="5" width="9.140625" bestFit="1" customWidth="1"/>
    <col min="7" max="7" width="50" customWidth="1"/>
    <col min="9" max="9" width="12.42578125" customWidth="1"/>
    <col min="12" max="12" width="25.42578125" customWidth="1"/>
    <col min="13" max="13" width="39.28515625" customWidth="1"/>
  </cols>
  <sheetData>
    <row r="1" spans="1:13" ht="40.5">
      <c r="A1" s="586" t="s">
        <v>266</v>
      </c>
      <c r="B1" s="155" t="s">
        <v>10</v>
      </c>
      <c r="C1" s="280" t="s">
        <v>267</v>
      </c>
      <c r="D1" s="280" t="s">
        <v>268</v>
      </c>
      <c r="E1" s="155" t="s">
        <v>269</v>
      </c>
      <c r="F1" s="280" t="s">
        <v>270</v>
      </c>
      <c r="G1" s="280" t="s">
        <v>271</v>
      </c>
      <c r="H1" s="155" t="s">
        <v>272</v>
      </c>
      <c r="I1" s="155" t="s">
        <v>273</v>
      </c>
      <c r="J1" s="155" t="s">
        <v>274</v>
      </c>
      <c r="K1" s="155" t="s">
        <v>275</v>
      </c>
      <c r="L1" s="605" t="s">
        <v>276</v>
      </c>
      <c r="M1" s="468" t="s">
        <v>277</v>
      </c>
    </row>
    <row r="2" spans="1:13" ht="65.25" customHeight="1">
      <c r="A2" s="147">
        <v>1</v>
      </c>
      <c r="B2" s="146" t="s">
        <v>1682</v>
      </c>
      <c r="C2" s="147">
        <v>26241</v>
      </c>
      <c r="D2" s="598"/>
      <c r="E2" s="146" t="s">
        <v>313</v>
      </c>
      <c r="F2" s="598" t="s">
        <v>522</v>
      </c>
      <c r="G2" s="146" t="s">
        <v>1686</v>
      </c>
      <c r="H2" s="513" t="s">
        <v>1670</v>
      </c>
      <c r="I2" s="598" t="s">
        <v>518</v>
      </c>
      <c r="J2" s="513" t="s">
        <v>525</v>
      </c>
      <c r="K2" s="598" t="s">
        <v>1674</v>
      </c>
      <c r="L2" s="68" t="s">
        <v>526</v>
      </c>
      <c r="M2" s="373" t="s">
        <v>1772</v>
      </c>
    </row>
    <row r="3" spans="1:13" ht="35.25">
      <c r="A3" s="188">
        <v>2</v>
      </c>
      <c r="B3" s="146" t="s">
        <v>1682</v>
      </c>
      <c r="C3" s="146" t="s">
        <v>1619</v>
      </c>
      <c r="D3" s="590"/>
      <c r="E3" s="626" t="s">
        <v>1673</v>
      </c>
      <c r="F3" s="512" t="s">
        <v>522</v>
      </c>
      <c r="G3" s="146" t="s">
        <v>1542</v>
      </c>
      <c r="H3" s="513" t="s">
        <v>1670</v>
      </c>
      <c r="I3" s="598" t="s">
        <v>518</v>
      </c>
      <c r="J3" s="513" t="s">
        <v>519</v>
      </c>
      <c r="K3" s="512" t="s">
        <v>1205</v>
      </c>
      <c r="L3" s="62" t="s">
        <v>1325</v>
      </c>
      <c r="M3" s="373" t="s">
        <v>1675</v>
      </c>
    </row>
    <row r="4" spans="1:13" ht="69">
      <c r="A4" s="147">
        <v>3</v>
      </c>
      <c r="B4" s="146" t="s">
        <v>1682</v>
      </c>
      <c r="C4" s="146" t="s">
        <v>1757</v>
      </c>
      <c r="D4" s="511"/>
      <c r="E4" s="147" t="s">
        <v>1673</v>
      </c>
      <c r="F4" s="512" t="s">
        <v>522</v>
      </c>
      <c r="G4" s="146" t="s">
        <v>1773</v>
      </c>
      <c r="H4" s="165" t="s">
        <v>1670</v>
      </c>
      <c r="I4" s="512" t="s">
        <v>518</v>
      </c>
      <c r="J4" s="165" t="s">
        <v>519</v>
      </c>
      <c r="K4" s="512" t="s">
        <v>1674</v>
      </c>
      <c r="L4" s="62" t="s">
        <v>529</v>
      </c>
      <c r="M4" s="146" t="s">
        <v>1774</v>
      </c>
    </row>
    <row r="5" spans="1:13" ht="77.25" customHeight="1">
      <c r="A5" s="147">
        <v>4</v>
      </c>
      <c r="B5" s="146" t="s">
        <v>1682</v>
      </c>
      <c r="C5" s="510">
        <v>26312</v>
      </c>
      <c r="D5" s="511"/>
      <c r="E5" s="147" t="s">
        <v>313</v>
      </c>
      <c r="F5" s="512" t="s">
        <v>522</v>
      </c>
      <c r="G5" s="146" t="s">
        <v>1775</v>
      </c>
      <c r="H5" s="165" t="s">
        <v>1670</v>
      </c>
      <c r="I5" s="512" t="s">
        <v>518</v>
      </c>
      <c r="J5" s="513" t="s">
        <v>519</v>
      </c>
      <c r="K5" s="598" t="s">
        <v>1674</v>
      </c>
      <c r="L5" s="62" t="s">
        <v>529</v>
      </c>
      <c r="M5" s="629" t="s">
        <v>1776</v>
      </c>
    </row>
    <row r="6" spans="1:13" ht="58.5">
      <c r="A6" s="147">
        <v>5</v>
      </c>
      <c r="B6" s="146" t="s">
        <v>1682</v>
      </c>
      <c r="C6" s="510">
        <v>50515</v>
      </c>
      <c r="D6" s="511"/>
      <c r="E6" s="147" t="s">
        <v>313</v>
      </c>
      <c r="F6" s="512" t="s">
        <v>1668</v>
      </c>
      <c r="G6" s="146" t="s">
        <v>1777</v>
      </c>
      <c r="H6" s="165" t="s">
        <v>1670</v>
      </c>
      <c r="I6" s="512" t="s">
        <v>518</v>
      </c>
      <c r="J6" s="513" t="s">
        <v>525</v>
      </c>
      <c r="K6" s="598" t="s">
        <v>1674</v>
      </c>
      <c r="L6" s="62" t="s">
        <v>532</v>
      </c>
      <c r="M6" s="96" t="s">
        <v>1778</v>
      </c>
    </row>
    <row r="7" spans="1:13" ht="66" customHeight="1">
      <c r="A7" s="147">
        <v>6</v>
      </c>
      <c r="B7" s="146" t="s">
        <v>1682</v>
      </c>
      <c r="C7" s="147">
        <v>50514</v>
      </c>
      <c r="D7" s="511"/>
      <c r="E7" s="147" t="s">
        <v>313</v>
      </c>
      <c r="F7" s="512" t="s">
        <v>1668</v>
      </c>
      <c r="G7" s="146" t="s">
        <v>1779</v>
      </c>
      <c r="H7" s="165" t="s">
        <v>1670</v>
      </c>
      <c r="I7" s="512" t="s">
        <v>518</v>
      </c>
      <c r="J7" s="513" t="s">
        <v>525</v>
      </c>
      <c r="K7" s="598" t="s">
        <v>1674</v>
      </c>
      <c r="L7" s="62" t="s">
        <v>532</v>
      </c>
      <c r="M7" s="146" t="s">
        <v>1780</v>
      </c>
    </row>
    <row r="8" spans="1:13" ht="46.5">
      <c r="A8" s="147">
        <v>7</v>
      </c>
      <c r="B8" s="146" t="s">
        <v>1682</v>
      </c>
      <c r="C8" s="147" t="s">
        <v>1676</v>
      </c>
      <c r="D8" s="511"/>
      <c r="E8" s="147" t="s">
        <v>1673</v>
      </c>
      <c r="F8" s="512" t="s">
        <v>522</v>
      </c>
      <c r="G8" s="146" t="s">
        <v>1585</v>
      </c>
      <c r="H8" s="513" t="s">
        <v>1670</v>
      </c>
      <c r="I8" s="598" t="s">
        <v>518</v>
      </c>
      <c r="J8" s="513" t="s">
        <v>519</v>
      </c>
      <c r="K8" s="598" t="s">
        <v>1205</v>
      </c>
      <c r="L8" s="62" t="s">
        <v>1325</v>
      </c>
      <c r="M8" s="146" t="s">
        <v>1781</v>
      </c>
    </row>
    <row r="9" spans="1:13" ht="69">
      <c r="A9" s="147">
        <v>8</v>
      </c>
      <c r="B9" s="146" t="s">
        <v>1682</v>
      </c>
      <c r="C9" s="147" t="s">
        <v>1768</v>
      </c>
      <c r="D9" s="511"/>
      <c r="E9" s="147" t="s">
        <v>1673</v>
      </c>
      <c r="F9" s="512" t="s">
        <v>522</v>
      </c>
      <c r="G9" s="146" t="s">
        <v>1769</v>
      </c>
      <c r="H9" s="513" t="s">
        <v>1670</v>
      </c>
      <c r="I9" s="598" t="s">
        <v>518</v>
      </c>
      <c r="J9" s="513" t="s">
        <v>519</v>
      </c>
      <c r="K9" s="512" t="s">
        <v>1674</v>
      </c>
      <c r="L9" s="62" t="s">
        <v>529</v>
      </c>
      <c r="M9" s="146" t="s">
        <v>1782</v>
      </c>
    </row>
    <row r="10" spans="1:13" ht="35.25">
      <c r="A10" s="147">
        <v>9</v>
      </c>
      <c r="B10" s="146" t="s">
        <v>1682</v>
      </c>
      <c r="C10" s="147" t="s">
        <v>1742</v>
      </c>
      <c r="D10" s="511"/>
      <c r="E10" s="147" t="s">
        <v>1673</v>
      </c>
      <c r="F10" s="512" t="s">
        <v>522</v>
      </c>
      <c r="G10" s="146" t="s">
        <v>1783</v>
      </c>
      <c r="H10" s="513" t="s">
        <v>1670</v>
      </c>
      <c r="I10" s="598" t="s">
        <v>518</v>
      </c>
      <c r="J10" s="513" t="s">
        <v>519</v>
      </c>
      <c r="K10" s="512" t="s">
        <v>1674</v>
      </c>
      <c r="L10" s="62" t="s">
        <v>529</v>
      </c>
      <c r="M10" s="146" t="s">
        <v>1784</v>
      </c>
    </row>
    <row r="11" spans="1:13" ht="46.5">
      <c r="A11" s="147">
        <v>10</v>
      </c>
      <c r="B11" s="146" t="s">
        <v>1682</v>
      </c>
      <c r="C11" s="147" t="s">
        <v>1738</v>
      </c>
      <c r="D11" s="511"/>
      <c r="E11" s="147" t="s">
        <v>1673</v>
      </c>
      <c r="F11" s="512" t="s">
        <v>522</v>
      </c>
      <c r="G11" s="146" t="s">
        <v>1739</v>
      </c>
      <c r="H11" s="165" t="s">
        <v>1670</v>
      </c>
      <c r="I11" s="512" t="s">
        <v>518</v>
      </c>
      <c r="J11" s="165" t="s">
        <v>519</v>
      </c>
      <c r="K11" s="512" t="s">
        <v>1674</v>
      </c>
      <c r="L11" s="62" t="s">
        <v>529</v>
      </c>
      <c r="M11" s="146" t="s">
        <v>1785</v>
      </c>
    </row>
    <row r="12" spans="1:13">
      <c r="A12" s="147"/>
      <c r="B12" s="146"/>
      <c r="C12" s="147"/>
      <c r="D12" s="511"/>
      <c r="E12" s="147"/>
      <c r="F12" s="512"/>
      <c r="G12" s="146"/>
      <c r="H12" s="165"/>
      <c r="I12" s="512"/>
      <c r="J12" s="165"/>
      <c r="K12" s="512"/>
      <c r="L12" s="62"/>
      <c r="M12" s="147"/>
    </row>
    <row r="13" spans="1:13">
      <c r="A13" s="147"/>
      <c r="B13" s="146"/>
      <c r="C13" s="147"/>
      <c r="D13" s="511"/>
      <c r="E13" s="147"/>
      <c r="F13" s="512"/>
      <c r="G13" s="146"/>
      <c r="H13" s="165"/>
      <c r="I13" s="512"/>
      <c r="J13" s="165"/>
      <c r="K13" s="512"/>
      <c r="L13" s="62"/>
      <c r="M13" s="147"/>
    </row>
    <row r="14" spans="1:13">
      <c r="A14" s="147"/>
      <c r="B14" s="146"/>
      <c r="C14" s="147"/>
      <c r="D14" s="511"/>
      <c r="E14" s="147"/>
      <c r="F14" s="512"/>
      <c r="G14" s="146"/>
      <c r="H14" s="165"/>
      <c r="I14" s="512"/>
      <c r="J14" s="165"/>
      <c r="K14" s="512"/>
      <c r="L14" s="62"/>
      <c r="M14" s="147"/>
    </row>
    <row r="15" spans="1:13">
      <c r="A15" s="147"/>
      <c r="B15" s="146"/>
      <c r="C15" s="147"/>
      <c r="D15" s="511"/>
      <c r="E15" s="147"/>
      <c r="F15" s="512"/>
      <c r="G15" s="146"/>
      <c r="H15" s="165"/>
      <c r="I15" s="512"/>
      <c r="J15" s="165"/>
      <c r="K15" s="512"/>
      <c r="L15" s="62"/>
      <c r="M15" s="147"/>
    </row>
    <row r="16" spans="1:13">
      <c r="A16" s="147"/>
      <c r="B16" s="146"/>
      <c r="C16" s="147"/>
      <c r="D16" s="511"/>
      <c r="E16" s="147"/>
      <c r="F16" s="512"/>
      <c r="G16" s="146"/>
      <c r="H16" s="165"/>
      <c r="I16" s="512"/>
      <c r="J16" s="165"/>
      <c r="K16" s="512"/>
      <c r="L16" s="62"/>
      <c r="M16" s="147"/>
    </row>
    <row r="17" spans="1:13">
      <c r="A17" s="147"/>
      <c r="B17" s="146"/>
      <c r="C17" s="147"/>
      <c r="D17" s="511"/>
      <c r="E17" s="147"/>
      <c r="F17" s="512"/>
      <c r="G17" s="146"/>
      <c r="H17" s="165"/>
      <c r="I17" s="512"/>
      <c r="J17" s="165"/>
      <c r="K17" s="512"/>
      <c r="L17" s="62"/>
      <c r="M17" s="147"/>
    </row>
    <row r="18" spans="1:13">
      <c r="A18" s="147"/>
      <c r="B18" s="146"/>
      <c r="C18" s="147"/>
      <c r="D18" s="511"/>
      <c r="E18" s="147"/>
      <c r="F18" s="512"/>
      <c r="G18" s="146"/>
      <c r="H18" s="165"/>
      <c r="I18" s="512"/>
      <c r="J18" s="165"/>
      <c r="K18" s="512"/>
      <c r="L18" s="62"/>
      <c r="M18" s="147"/>
    </row>
    <row r="19" spans="1:13">
      <c r="A19" s="147"/>
      <c r="B19" s="146"/>
      <c r="C19" s="147"/>
      <c r="D19" s="511"/>
      <c r="E19" s="147"/>
      <c r="F19" s="512"/>
      <c r="G19" s="146"/>
      <c r="H19" s="165"/>
      <c r="I19" s="512"/>
      <c r="J19" s="165"/>
      <c r="K19" s="512"/>
      <c r="L19" s="62"/>
      <c r="M19" s="147"/>
    </row>
    <row r="20" spans="1:13">
      <c r="A20" s="147"/>
      <c r="B20" s="146"/>
      <c r="C20" s="147"/>
      <c r="D20" s="511"/>
      <c r="E20" s="147"/>
      <c r="F20" s="512"/>
      <c r="G20" s="146"/>
      <c r="H20" s="165"/>
      <c r="I20" s="512"/>
      <c r="J20" s="165"/>
      <c r="K20" s="512"/>
      <c r="L20" s="62"/>
      <c r="M20" s="147"/>
    </row>
    <row r="21" spans="1:13">
      <c r="A21" s="147"/>
      <c r="B21" s="146"/>
      <c r="C21" s="147"/>
      <c r="D21" s="511"/>
      <c r="E21" s="147"/>
      <c r="F21" s="512"/>
      <c r="G21" s="146"/>
      <c r="H21" s="165"/>
      <c r="I21" s="512"/>
      <c r="J21" s="165"/>
      <c r="K21" s="512"/>
      <c r="L21" s="62"/>
      <c r="M21" s="147"/>
    </row>
    <row r="22" spans="1:13">
      <c r="A22" s="147"/>
      <c r="B22" s="146"/>
      <c r="C22" s="147"/>
      <c r="D22" s="511"/>
      <c r="E22" s="147"/>
      <c r="F22" s="512"/>
      <c r="G22" s="146"/>
      <c r="H22" s="165"/>
      <c r="I22" s="512"/>
      <c r="J22" s="165"/>
      <c r="K22" s="512"/>
      <c r="L22" s="62"/>
      <c r="M22" s="147"/>
    </row>
    <row r="23" spans="1:13">
      <c r="A23" s="93"/>
      <c r="B23" s="77"/>
      <c r="C23" s="93"/>
      <c r="D23" s="511"/>
      <c r="E23" s="93"/>
      <c r="F23" s="512"/>
      <c r="G23" s="96"/>
      <c r="H23" s="165"/>
      <c r="I23" s="512"/>
      <c r="J23" s="165"/>
      <c r="K23" s="512"/>
      <c r="L23" s="62"/>
      <c r="M23" s="93"/>
    </row>
    <row r="24" spans="1:13">
      <c r="A24" s="93"/>
      <c r="B24" s="77"/>
      <c r="C24" s="93"/>
      <c r="D24" s="511"/>
      <c r="E24" s="93"/>
      <c r="F24" s="512"/>
      <c r="G24" s="96"/>
      <c r="H24" s="165"/>
      <c r="I24" s="512"/>
      <c r="J24" s="165"/>
      <c r="K24" s="512"/>
      <c r="L24" s="62"/>
      <c r="M24" s="93"/>
    </row>
    <row r="25" spans="1:13">
      <c r="A25" s="93"/>
      <c r="B25" s="77"/>
      <c r="C25" s="93"/>
      <c r="D25" s="511"/>
      <c r="E25" s="93"/>
      <c r="F25" s="512"/>
      <c r="G25" s="96"/>
      <c r="H25" s="165"/>
      <c r="I25" s="512"/>
      <c r="J25" s="165"/>
      <c r="K25" s="512"/>
      <c r="L25" s="62"/>
      <c r="M25" s="93"/>
    </row>
    <row r="26" spans="1:13">
      <c r="A26" s="93"/>
      <c r="B26" s="77"/>
      <c r="C26" s="93"/>
      <c r="D26" s="511"/>
      <c r="E26" s="93"/>
      <c r="F26" s="512"/>
      <c r="G26" s="96"/>
      <c r="H26" s="165"/>
      <c r="I26" s="512"/>
      <c r="J26" s="165"/>
      <c r="K26" s="512"/>
      <c r="L26" s="62"/>
      <c r="M26" s="93"/>
    </row>
    <row r="27" spans="1:13">
      <c r="A27" s="93"/>
      <c r="B27" s="77"/>
      <c r="C27" s="93"/>
      <c r="D27" s="511"/>
      <c r="E27" s="93"/>
      <c r="F27" s="512"/>
      <c r="G27" s="96"/>
      <c r="H27" s="165"/>
      <c r="I27" s="512"/>
      <c r="J27" s="165"/>
      <c r="K27" s="512"/>
      <c r="L27" s="62"/>
      <c r="M27" s="93"/>
    </row>
    <row r="28" spans="1:13">
      <c r="A28" s="93"/>
      <c r="B28" s="77"/>
      <c r="C28" s="93"/>
      <c r="D28" s="511"/>
      <c r="E28" s="93"/>
      <c r="F28" s="512"/>
      <c r="G28" s="96"/>
      <c r="H28" s="165"/>
      <c r="I28" s="512"/>
      <c r="J28" s="165"/>
      <c r="K28" s="512"/>
      <c r="L28" s="62"/>
      <c r="M28" s="93"/>
    </row>
    <row r="29" spans="1:13">
      <c r="A29" s="93"/>
      <c r="B29" s="77"/>
      <c r="C29" s="93"/>
      <c r="D29" s="511"/>
      <c r="E29" s="93"/>
      <c r="F29" s="512"/>
      <c r="G29" s="96"/>
      <c r="H29" s="165"/>
      <c r="I29" s="512"/>
      <c r="J29" s="165"/>
      <c r="K29" s="512"/>
      <c r="L29" s="62"/>
      <c r="M29" s="93"/>
    </row>
  </sheetData>
  <dataValidations count="5">
    <dataValidation type="list" allowBlank="1" showErrorMessage="1" sqref="D2 F2:F29" xr:uid="{63D31F26-80A2-4391-B26D-118289C6B2D5}">
      <formula1>"Bounceback/Sub-Defect,Defect,None"</formula1>
    </dataValidation>
    <dataValidation type="list" allowBlank="1" showErrorMessage="1" sqref="J2:J29" xr:uid="{F47290A8-2BFC-4DEE-A31C-07947DAFF862}">
      <formula1>"Internal,External"</formula1>
    </dataValidation>
    <dataValidation type="list" allowBlank="1" showErrorMessage="1" sqref="H2:H29" xr:uid="{620E7D4F-9108-4BCD-8DCA-C4347E153F8A}">
      <formula1>"Minor,Significant,Major"</formula1>
    </dataValidation>
    <dataValidation type="list" allowBlank="1" showErrorMessage="1" sqref="I2:I29" xr:uid="{FFF72DC0-1CF7-4027-BBEE-0E98093FC04B}">
      <formula1>"Manual, Automation"</formula1>
    </dataValidation>
    <dataValidation type="list" allowBlank="1" showErrorMessage="1" sqref="K2:K29" xr:uid="{AD1A090F-67FB-4ACE-809C-21158AA49EF4}">
      <formula1>"Open,Inprogress,Closed/Rejected"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02E493B-49BE-4B6D-8993-53A31B33AFF7}">
          <x14:formula1>
            <xm:f>Details!$A$2:$A$10</xm:f>
          </x14:formula1>
          <xm:sqref>L2:L29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2556-0582-4BB3-9550-AD597CB9D35A}">
  <dimension ref="A1:AO39"/>
  <sheetViews>
    <sheetView workbookViewId="0">
      <pane ySplit="1" topLeftCell="B22" activePane="bottomLeft" state="frozen"/>
      <selection pane="bottomLeft" activeCell="H25" sqref="H25"/>
    </sheetView>
  </sheetViews>
  <sheetFormatPr defaultRowHeight="12.75"/>
  <cols>
    <col min="2" max="2" width="14.85546875" customWidth="1"/>
    <col min="5" max="5" width="19.7109375" customWidth="1"/>
    <col min="6" max="6" width="15.140625" customWidth="1"/>
    <col min="7" max="7" width="14.28515625" customWidth="1"/>
    <col min="8" max="8" width="33.5703125" style="100" customWidth="1"/>
    <col min="9" max="9" width="14.5703125" customWidth="1"/>
    <col min="13" max="13" width="11" customWidth="1"/>
    <col min="14" max="14" width="10.28515625" customWidth="1"/>
    <col min="15" max="15" width="10.140625" customWidth="1"/>
    <col min="19" max="19" width="19.140625" customWidth="1"/>
    <col min="20" max="20" width="25.28515625" style="100" customWidth="1"/>
    <col min="21" max="21" width="10" customWidth="1"/>
    <col min="22" max="22" width="12.42578125" customWidth="1"/>
    <col min="30" max="30" width="27.7109375" customWidth="1"/>
    <col min="31" max="31" width="14.42578125" customWidth="1"/>
    <col min="32" max="32" width="18.42578125" customWidth="1"/>
    <col min="33" max="33" width="11.140625" customWidth="1"/>
    <col min="34" max="34" width="22" customWidth="1"/>
    <col min="35" max="35" width="23.85546875" customWidth="1"/>
    <col min="36" max="36" width="11.140625" customWidth="1"/>
    <col min="37" max="37" width="14.42578125" customWidth="1"/>
    <col min="38" max="38" width="11.140625" customWidth="1"/>
    <col min="39" max="39" width="21.42578125" customWidth="1"/>
    <col min="40" max="40" width="33.7109375" customWidth="1"/>
    <col min="41" max="41" width="16.85546875" customWidth="1"/>
  </cols>
  <sheetData>
    <row r="1" spans="1:41"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45952</v>
      </c>
      <c r="AG1" s="518">
        <v>45953</v>
      </c>
      <c r="AH1" s="518">
        <v>45954</v>
      </c>
      <c r="AI1" s="518">
        <v>45957</v>
      </c>
      <c r="AJ1" s="518">
        <v>45958</v>
      </c>
      <c r="AK1" s="518">
        <v>45959</v>
      </c>
      <c r="AL1" s="518">
        <v>45960</v>
      </c>
      <c r="AM1" s="518">
        <v>45961</v>
      </c>
      <c r="AN1" s="518">
        <v>45964</v>
      </c>
      <c r="AO1" s="518">
        <v>45965</v>
      </c>
    </row>
    <row r="2" spans="1:41" s="150" customFormat="1" ht="69">
      <c r="A2" s="147">
        <v>1</v>
      </c>
      <c r="B2" s="151" t="s">
        <v>5</v>
      </c>
      <c r="C2" s="624">
        <v>45952</v>
      </c>
      <c r="D2" s="624">
        <v>45965</v>
      </c>
      <c r="E2" s="146" t="s">
        <v>1786</v>
      </c>
      <c r="F2" s="147" t="s">
        <v>313</v>
      </c>
      <c r="G2" s="147" t="s">
        <v>1787</v>
      </c>
      <c r="H2" s="146" t="s">
        <v>1788</v>
      </c>
      <c r="I2" s="151" t="s">
        <v>376</v>
      </c>
      <c r="J2" s="147">
        <v>0</v>
      </c>
      <c r="K2" s="147">
        <v>1.5</v>
      </c>
      <c r="L2" s="147">
        <v>6</v>
      </c>
      <c r="M2" s="158">
        <v>45952</v>
      </c>
      <c r="N2" s="158">
        <v>45952</v>
      </c>
      <c r="O2" s="147" t="s">
        <v>320</v>
      </c>
      <c r="P2" s="147" t="s">
        <v>320</v>
      </c>
      <c r="Q2" s="147" t="s">
        <v>320</v>
      </c>
      <c r="R2" s="147" t="s">
        <v>320</v>
      </c>
      <c r="S2" s="147" t="s">
        <v>320</v>
      </c>
      <c r="T2" s="146" t="s">
        <v>320</v>
      </c>
      <c r="U2" s="147" t="s">
        <v>320</v>
      </c>
      <c r="V2" s="147" t="s">
        <v>320</v>
      </c>
      <c r="W2" s="147" t="s">
        <v>320</v>
      </c>
      <c r="X2" s="147" t="s">
        <v>320</v>
      </c>
      <c r="Y2" s="147" t="s">
        <v>320</v>
      </c>
      <c r="Z2" s="147" t="s">
        <v>320</v>
      </c>
      <c r="AA2" s="147" t="s">
        <v>320</v>
      </c>
      <c r="AB2" s="147" t="s">
        <v>320</v>
      </c>
      <c r="AC2" s="147" t="s">
        <v>320</v>
      </c>
      <c r="AD2" s="146" t="s">
        <v>1789</v>
      </c>
      <c r="AE2" s="490" t="s">
        <v>423</v>
      </c>
      <c r="AF2" s="146" t="s">
        <v>1790</v>
      </c>
      <c r="AG2" s="146" t="s">
        <v>1791</v>
      </c>
      <c r="AH2" s="147" t="s">
        <v>1792</v>
      </c>
      <c r="AI2" s="147" t="s">
        <v>1792</v>
      </c>
      <c r="AJ2" s="147" t="s">
        <v>1792</v>
      </c>
      <c r="AK2" s="147" t="s">
        <v>1793</v>
      </c>
      <c r="AL2" s="147" t="s">
        <v>12</v>
      </c>
      <c r="AM2" s="147" t="s">
        <v>434</v>
      </c>
      <c r="AN2" s="147" t="s">
        <v>434</v>
      </c>
      <c r="AO2" s="147" t="s">
        <v>434</v>
      </c>
    </row>
    <row r="3" spans="1:41" s="150" customFormat="1" ht="58.5">
      <c r="A3" s="147">
        <v>2</v>
      </c>
      <c r="B3" s="151" t="s">
        <v>5</v>
      </c>
      <c r="C3" s="624">
        <v>45952</v>
      </c>
      <c r="D3" s="624">
        <v>45965</v>
      </c>
      <c r="E3" s="146" t="s">
        <v>1786</v>
      </c>
      <c r="F3" s="147" t="s">
        <v>315</v>
      </c>
      <c r="G3" s="147">
        <v>25786</v>
      </c>
      <c r="H3" s="146" t="s">
        <v>1794</v>
      </c>
      <c r="I3" s="151" t="s">
        <v>376</v>
      </c>
      <c r="J3" s="147">
        <v>1</v>
      </c>
      <c r="K3" s="147">
        <v>1.5</v>
      </c>
      <c r="L3" s="147">
        <v>6</v>
      </c>
      <c r="M3" s="147" t="s">
        <v>320</v>
      </c>
      <c r="N3" s="147" t="s">
        <v>320</v>
      </c>
      <c r="O3" s="147" t="s">
        <v>320</v>
      </c>
      <c r="P3" s="147" t="s">
        <v>320</v>
      </c>
      <c r="Q3" s="147" t="s">
        <v>320</v>
      </c>
      <c r="R3" s="147" t="s">
        <v>320</v>
      </c>
      <c r="S3" s="147" t="s">
        <v>320</v>
      </c>
      <c r="T3" s="146" t="s">
        <v>320</v>
      </c>
      <c r="U3" s="147" t="s">
        <v>320</v>
      </c>
      <c r="V3" s="147" t="s">
        <v>320</v>
      </c>
      <c r="W3" s="147" t="s">
        <v>320</v>
      </c>
      <c r="X3" s="147" t="s">
        <v>320</v>
      </c>
      <c r="Y3" s="147" t="s">
        <v>320</v>
      </c>
      <c r="Z3" s="146" t="s">
        <v>320</v>
      </c>
      <c r="AA3" s="146" t="s">
        <v>320</v>
      </c>
      <c r="AB3" s="147" t="s">
        <v>320</v>
      </c>
      <c r="AC3" s="147" t="s">
        <v>320</v>
      </c>
      <c r="AD3" s="146" t="s">
        <v>1795</v>
      </c>
      <c r="AE3" s="490" t="s">
        <v>423</v>
      </c>
      <c r="AF3" s="146" t="s">
        <v>1796</v>
      </c>
      <c r="AG3" s="147" t="s">
        <v>12</v>
      </c>
      <c r="AH3" s="147" t="s">
        <v>434</v>
      </c>
      <c r="AI3" s="147" t="s">
        <v>434</v>
      </c>
      <c r="AJ3" s="147" t="s">
        <v>434</v>
      </c>
      <c r="AK3" s="147" t="s">
        <v>434</v>
      </c>
      <c r="AL3" s="147" t="s">
        <v>434</v>
      </c>
      <c r="AM3" s="147" t="s">
        <v>434</v>
      </c>
      <c r="AN3" s="147" t="s">
        <v>434</v>
      </c>
      <c r="AO3" s="147" t="s">
        <v>434</v>
      </c>
    </row>
    <row r="4" spans="1:41" s="150" customFormat="1" ht="92.25">
      <c r="A4" s="147">
        <v>3</v>
      </c>
      <c r="B4" s="151" t="s">
        <v>5</v>
      </c>
      <c r="C4" s="147" t="s">
        <v>1797</v>
      </c>
      <c r="D4" s="624">
        <v>45965</v>
      </c>
      <c r="E4" s="146" t="s">
        <v>1786</v>
      </c>
      <c r="F4" s="147" t="s">
        <v>315</v>
      </c>
      <c r="G4" s="147" t="s">
        <v>1798</v>
      </c>
      <c r="H4" s="146" t="s">
        <v>1799</v>
      </c>
      <c r="I4" s="151" t="s">
        <v>376</v>
      </c>
      <c r="J4" s="147">
        <v>0</v>
      </c>
      <c r="K4" s="147">
        <v>11.06</v>
      </c>
      <c r="L4" s="147">
        <v>44.25</v>
      </c>
      <c r="M4" s="158">
        <v>45952</v>
      </c>
      <c r="N4" s="158">
        <v>45954</v>
      </c>
      <c r="O4" s="96" t="s">
        <v>12</v>
      </c>
      <c r="P4" s="147" t="s">
        <v>313</v>
      </c>
      <c r="Q4" s="96" t="s">
        <v>316</v>
      </c>
      <c r="R4" s="96" t="s">
        <v>317</v>
      </c>
      <c r="S4" s="96" t="s">
        <v>316</v>
      </c>
      <c r="T4" s="112" t="s">
        <v>1800</v>
      </c>
      <c r="U4" s="158">
        <v>45953</v>
      </c>
      <c r="V4" s="158">
        <v>45954</v>
      </c>
      <c r="W4" s="96" t="s">
        <v>316</v>
      </c>
      <c r="X4" s="96" t="s">
        <v>319</v>
      </c>
      <c r="Y4" s="96" t="s">
        <v>319</v>
      </c>
      <c r="Z4" s="96" t="s">
        <v>320</v>
      </c>
      <c r="AA4" s="96" t="s">
        <v>316</v>
      </c>
      <c r="AB4" s="96" t="s">
        <v>316</v>
      </c>
      <c r="AC4" s="96" t="s">
        <v>316</v>
      </c>
      <c r="AD4" s="146" t="s">
        <v>1801</v>
      </c>
      <c r="AE4" s="490" t="s">
        <v>423</v>
      </c>
      <c r="AF4" s="146" t="s">
        <v>1802</v>
      </c>
      <c r="AG4" s="147" t="s">
        <v>1803</v>
      </c>
      <c r="AH4" s="147" t="s">
        <v>1804</v>
      </c>
      <c r="AI4" s="147" t="s">
        <v>1805</v>
      </c>
      <c r="AJ4" s="147" t="s">
        <v>1806</v>
      </c>
      <c r="AK4" s="147" t="s">
        <v>1797</v>
      </c>
      <c r="AL4" s="146" t="s">
        <v>1807</v>
      </c>
      <c r="AM4" s="146" t="s">
        <v>1808</v>
      </c>
      <c r="AN4" s="146" t="s">
        <v>1809</v>
      </c>
      <c r="AO4" s="146" t="s">
        <v>1810</v>
      </c>
    </row>
    <row r="5" spans="1:41" s="150" customFormat="1" ht="92.25">
      <c r="A5" s="147">
        <v>4</v>
      </c>
      <c r="B5" s="151" t="s">
        <v>5</v>
      </c>
      <c r="C5" s="624">
        <v>45952</v>
      </c>
      <c r="D5" s="624">
        <v>45965</v>
      </c>
      <c r="E5" s="146" t="s">
        <v>1786</v>
      </c>
      <c r="F5" s="147" t="s">
        <v>317</v>
      </c>
      <c r="G5" s="147">
        <v>49370</v>
      </c>
      <c r="H5" s="146" t="s">
        <v>1683</v>
      </c>
      <c r="I5" s="151" t="s">
        <v>306</v>
      </c>
      <c r="J5" s="147">
        <v>1</v>
      </c>
      <c r="K5" s="147"/>
      <c r="L5" s="147">
        <v>4.91</v>
      </c>
      <c r="M5" s="93" t="s">
        <v>320</v>
      </c>
      <c r="N5" s="93" t="s">
        <v>320</v>
      </c>
      <c r="O5" s="93" t="s">
        <v>320</v>
      </c>
      <c r="P5" s="93" t="s">
        <v>320</v>
      </c>
      <c r="Q5" s="93" t="s">
        <v>320</v>
      </c>
      <c r="R5" s="93" t="s">
        <v>320</v>
      </c>
      <c r="S5" s="93" t="s">
        <v>320</v>
      </c>
      <c r="T5" s="93" t="s">
        <v>320</v>
      </c>
      <c r="U5" s="93" t="s">
        <v>320</v>
      </c>
      <c r="V5" s="93" t="s">
        <v>320</v>
      </c>
      <c r="W5" s="93" t="s">
        <v>320</v>
      </c>
      <c r="X5" s="93" t="s">
        <v>320</v>
      </c>
      <c r="Y5" s="93" t="s">
        <v>320</v>
      </c>
      <c r="Z5" s="93" t="s">
        <v>320</v>
      </c>
      <c r="AA5" s="93" t="s">
        <v>320</v>
      </c>
      <c r="AB5" s="93" t="s">
        <v>320</v>
      </c>
      <c r="AC5" s="93" t="s">
        <v>320</v>
      </c>
      <c r="AD5" s="146" t="s">
        <v>1811</v>
      </c>
      <c r="AE5" s="147"/>
      <c r="AF5" s="146" t="s">
        <v>1812</v>
      </c>
      <c r="AG5" s="147" t="s">
        <v>1813</v>
      </c>
      <c r="AH5" s="147" t="s">
        <v>1814</v>
      </c>
      <c r="AI5" s="147" t="s">
        <v>1815</v>
      </c>
      <c r="AJ5" s="147" t="s">
        <v>1816</v>
      </c>
      <c r="AK5" s="147" t="s">
        <v>1817</v>
      </c>
      <c r="AL5" s="146" t="s">
        <v>1818</v>
      </c>
      <c r="AM5" s="328" t="s">
        <v>1819</v>
      </c>
      <c r="AN5" s="147" t="s">
        <v>1820</v>
      </c>
      <c r="AO5" s="146" t="s">
        <v>1821</v>
      </c>
    </row>
    <row r="6" spans="1:41" s="150" customFormat="1" ht="58.5">
      <c r="A6" s="147">
        <v>5</v>
      </c>
      <c r="B6" s="151" t="s">
        <v>5</v>
      </c>
      <c r="C6" s="624">
        <v>45952</v>
      </c>
      <c r="D6" s="624">
        <v>45965</v>
      </c>
      <c r="E6" s="146" t="s">
        <v>1786</v>
      </c>
      <c r="F6" s="147" t="s">
        <v>317</v>
      </c>
      <c r="G6" s="129" t="s">
        <v>1822</v>
      </c>
      <c r="H6" s="146" t="s">
        <v>1823</v>
      </c>
      <c r="I6" s="151" t="s">
        <v>306</v>
      </c>
      <c r="J6" s="147">
        <v>0</v>
      </c>
      <c r="K6" s="147"/>
      <c r="L6" s="147">
        <v>0.5</v>
      </c>
      <c r="M6" s="93" t="s">
        <v>320</v>
      </c>
      <c r="N6" s="93" t="s">
        <v>320</v>
      </c>
      <c r="O6" s="93" t="s">
        <v>320</v>
      </c>
      <c r="P6" s="93" t="s">
        <v>320</v>
      </c>
      <c r="Q6" s="93" t="s">
        <v>320</v>
      </c>
      <c r="R6" s="93" t="s">
        <v>320</v>
      </c>
      <c r="S6" s="93" t="s">
        <v>320</v>
      </c>
      <c r="T6" s="93" t="s">
        <v>320</v>
      </c>
      <c r="U6" s="93" t="s">
        <v>320</v>
      </c>
      <c r="V6" s="93" t="s">
        <v>320</v>
      </c>
      <c r="W6" s="93" t="s">
        <v>320</v>
      </c>
      <c r="X6" s="93" t="s">
        <v>320</v>
      </c>
      <c r="Y6" s="93" t="s">
        <v>320</v>
      </c>
      <c r="Z6" s="93" t="s">
        <v>320</v>
      </c>
      <c r="AA6" s="93" t="s">
        <v>320</v>
      </c>
      <c r="AB6" s="93" t="s">
        <v>320</v>
      </c>
      <c r="AC6" s="93" t="s">
        <v>320</v>
      </c>
      <c r="AD6" s="146" t="s">
        <v>1460</v>
      </c>
      <c r="AE6" s="490" t="s">
        <v>423</v>
      </c>
      <c r="AF6" s="146" t="s">
        <v>1824</v>
      </c>
      <c r="AG6" s="147" t="s">
        <v>1825</v>
      </c>
      <c r="AH6" s="146" t="s">
        <v>1826</v>
      </c>
      <c r="AI6" s="146" t="s">
        <v>1587</v>
      </c>
      <c r="AJ6" s="147" t="s">
        <v>1827</v>
      </c>
      <c r="AK6" s="147" t="s">
        <v>434</v>
      </c>
      <c r="AL6" s="147" t="s">
        <v>434</v>
      </c>
      <c r="AM6" s="147" t="s">
        <v>434</v>
      </c>
      <c r="AN6" s="147" t="s">
        <v>434</v>
      </c>
      <c r="AO6" s="147"/>
    </row>
    <row r="7" spans="1:41" s="150" customFormat="1" ht="23.25">
      <c r="A7" s="147">
        <v>6</v>
      </c>
      <c r="B7" s="151" t="s">
        <v>5</v>
      </c>
      <c r="C7" s="624">
        <v>45952</v>
      </c>
      <c r="D7" s="624">
        <v>45965</v>
      </c>
      <c r="E7" s="146" t="s">
        <v>1786</v>
      </c>
      <c r="F7" s="147" t="s">
        <v>1828</v>
      </c>
      <c r="G7" s="147">
        <v>50504</v>
      </c>
      <c r="H7" s="146" t="s">
        <v>1829</v>
      </c>
      <c r="I7" s="151" t="s">
        <v>306</v>
      </c>
      <c r="J7" s="147">
        <v>1</v>
      </c>
      <c r="K7" s="147">
        <v>0</v>
      </c>
      <c r="L7" s="147">
        <v>0</v>
      </c>
      <c r="M7" s="147"/>
      <c r="N7" s="147"/>
      <c r="O7" s="147"/>
      <c r="P7" s="147"/>
      <c r="Q7" s="147"/>
      <c r="R7" s="147"/>
      <c r="S7" s="147"/>
      <c r="T7" s="146"/>
      <c r="U7" s="147"/>
      <c r="V7" s="147"/>
      <c r="W7" s="147"/>
      <c r="X7" s="147"/>
      <c r="Y7" s="147"/>
      <c r="Z7" s="147"/>
      <c r="AA7" s="147"/>
      <c r="AB7" s="147"/>
      <c r="AC7" s="147"/>
      <c r="AD7" s="147"/>
      <c r="AE7" s="490" t="s">
        <v>423</v>
      </c>
      <c r="AF7" s="147"/>
      <c r="AG7" s="147"/>
      <c r="AH7" s="147"/>
      <c r="AI7" s="147"/>
      <c r="AJ7" s="147"/>
      <c r="AK7" s="147"/>
      <c r="AL7" s="147"/>
      <c r="AM7" s="147"/>
      <c r="AN7" s="147"/>
      <c r="AO7" s="147"/>
    </row>
    <row r="8" spans="1:41" s="150" customFormat="1" ht="23.25">
      <c r="A8" s="147">
        <v>7</v>
      </c>
      <c r="B8" s="151" t="s">
        <v>5</v>
      </c>
      <c r="C8" s="624">
        <v>45952</v>
      </c>
      <c r="D8" s="624">
        <v>45965</v>
      </c>
      <c r="E8" s="146" t="s">
        <v>1786</v>
      </c>
      <c r="F8" s="147" t="s">
        <v>313</v>
      </c>
      <c r="G8" s="147">
        <v>50505</v>
      </c>
      <c r="H8" s="146" t="s">
        <v>588</v>
      </c>
      <c r="I8" s="151" t="s">
        <v>306</v>
      </c>
      <c r="J8" s="147">
        <v>1</v>
      </c>
      <c r="K8" s="147">
        <v>0.5</v>
      </c>
      <c r="L8" s="147">
        <v>2</v>
      </c>
      <c r="M8" s="93" t="s">
        <v>320</v>
      </c>
      <c r="N8" s="93" t="s">
        <v>320</v>
      </c>
      <c r="O8" s="93" t="s">
        <v>320</v>
      </c>
      <c r="P8" s="93" t="s">
        <v>320</v>
      </c>
      <c r="Q8" s="93" t="s">
        <v>320</v>
      </c>
      <c r="R8" s="93" t="s">
        <v>320</v>
      </c>
      <c r="S8" s="93" t="s">
        <v>320</v>
      </c>
      <c r="T8" s="96" t="s">
        <v>320</v>
      </c>
      <c r="U8" s="93" t="s">
        <v>320</v>
      </c>
      <c r="V8" s="93" t="s">
        <v>320</v>
      </c>
      <c r="W8" s="93" t="s">
        <v>320</v>
      </c>
      <c r="X8" s="93" t="s">
        <v>320</v>
      </c>
      <c r="Y8" s="93" t="s">
        <v>320</v>
      </c>
      <c r="Z8" s="93" t="s">
        <v>320</v>
      </c>
      <c r="AA8" s="93" t="s">
        <v>320</v>
      </c>
      <c r="AB8" s="93" t="s">
        <v>320</v>
      </c>
      <c r="AC8" s="93" t="s">
        <v>320</v>
      </c>
      <c r="AD8" s="96" t="s">
        <v>1830</v>
      </c>
      <c r="AE8" s="490" t="s">
        <v>423</v>
      </c>
      <c r="AF8" s="147"/>
      <c r="AG8" s="147"/>
      <c r="AH8" s="147" t="s">
        <v>12</v>
      </c>
      <c r="AI8" s="147"/>
      <c r="AJ8" s="147"/>
      <c r="AK8" s="147"/>
      <c r="AL8" s="147"/>
      <c r="AM8" s="147"/>
      <c r="AN8" s="147"/>
      <c r="AO8" s="147"/>
    </row>
    <row r="9" spans="1:41" s="150" customFormat="1" ht="86.25" customHeight="1">
      <c r="A9" s="147">
        <v>8</v>
      </c>
      <c r="B9" s="151" t="s">
        <v>5</v>
      </c>
      <c r="C9" s="624">
        <v>45952</v>
      </c>
      <c r="D9" s="624">
        <v>45965</v>
      </c>
      <c r="E9" s="146" t="s">
        <v>1786</v>
      </c>
      <c r="F9" s="147" t="s">
        <v>313</v>
      </c>
      <c r="G9" s="147">
        <v>50506</v>
      </c>
      <c r="H9" s="146" t="s">
        <v>583</v>
      </c>
      <c r="I9" s="151" t="s">
        <v>306</v>
      </c>
      <c r="J9" s="147">
        <v>2</v>
      </c>
      <c r="K9" s="147">
        <v>2.5</v>
      </c>
      <c r="L9" s="147">
        <v>10</v>
      </c>
      <c r="M9" s="93" t="s">
        <v>320</v>
      </c>
      <c r="N9" s="93" t="s">
        <v>320</v>
      </c>
      <c r="O9" s="93" t="s">
        <v>320</v>
      </c>
      <c r="P9" s="93" t="s">
        <v>320</v>
      </c>
      <c r="Q9" s="93" t="s">
        <v>320</v>
      </c>
      <c r="R9" s="93" t="s">
        <v>320</v>
      </c>
      <c r="S9" s="93" t="s">
        <v>320</v>
      </c>
      <c r="T9" s="96" t="s">
        <v>320</v>
      </c>
      <c r="U9" s="93" t="s">
        <v>320</v>
      </c>
      <c r="V9" s="93" t="s">
        <v>320</v>
      </c>
      <c r="W9" s="93" t="s">
        <v>320</v>
      </c>
      <c r="X9" s="93" t="s">
        <v>320</v>
      </c>
      <c r="Y9" s="93" t="s">
        <v>320</v>
      </c>
      <c r="Z9" s="93" t="s">
        <v>320</v>
      </c>
      <c r="AA9" s="93" t="s">
        <v>320</v>
      </c>
      <c r="AB9" s="93" t="s">
        <v>320</v>
      </c>
      <c r="AC9" s="93" t="s">
        <v>320</v>
      </c>
      <c r="AD9" s="96" t="s">
        <v>1830</v>
      </c>
      <c r="AE9" s="490" t="s">
        <v>423</v>
      </c>
      <c r="AF9" s="147"/>
      <c r="AG9" s="147"/>
      <c r="AH9" s="146" t="s">
        <v>1831</v>
      </c>
      <c r="AI9" s="146" t="s">
        <v>1832</v>
      </c>
      <c r="AJ9" s="147"/>
      <c r="AK9" s="147"/>
      <c r="AL9" s="147"/>
      <c r="AM9" s="147"/>
      <c r="AN9" s="147"/>
      <c r="AO9" s="147"/>
    </row>
    <row r="10" spans="1:41" s="150" customFormat="1" ht="87" customHeight="1">
      <c r="A10" s="147">
        <v>9</v>
      </c>
      <c r="B10" s="151" t="s">
        <v>5</v>
      </c>
      <c r="C10" s="624">
        <v>45952</v>
      </c>
      <c r="D10" s="624">
        <v>45965</v>
      </c>
      <c r="E10" s="146" t="s">
        <v>1786</v>
      </c>
      <c r="F10" s="147" t="s">
        <v>1833</v>
      </c>
      <c r="G10" s="147">
        <v>50507</v>
      </c>
      <c r="H10" s="146" t="s">
        <v>596</v>
      </c>
      <c r="I10" s="151" t="s">
        <v>306</v>
      </c>
      <c r="J10" s="147">
        <v>5</v>
      </c>
      <c r="K10" s="147">
        <v>6.37</v>
      </c>
      <c r="L10" s="147">
        <v>25.5</v>
      </c>
      <c r="M10" s="93" t="s">
        <v>320</v>
      </c>
      <c r="N10" s="93" t="s">
        <v>320</v>
      </c>
      <c r="O10" s="93" t="s">
        <v>320</v>
      </c>
      <c r="P10" s="93" t="s">
        <v>320</v>
      </c>
      <c r="Q10" s="93" t="s">
        <v>320</v>
      </c>
      <c r="R10" s="93" t="s">
        <v>320</v>
      </c>
      <c r="S10" s="93" t="s">
        <v>320</v>
      </c>
      <c r="T10" s="96" t="s">
        <v>320</v>
      </c>
      <c r="U10" s="93" t="s">
        <v>320</v>
      </c>
      <c r="V10" s="93" t="s">
        <v>320</v>
      </c>
      <c r="W10" s="93" t="s">
        <v>320</v>
      </c>
      <c r="X10" s="93" t="s">
        <v>320</v>
      </c>
      <c r="Y10" s="93" t="s">
        <v>320</v>
      </c>
      <c r="Z10" s="93" t="s">
        <v>320</v>
      </c>
      <c r="AA10" s="93" t="s">
        <v>320</v>
      </c>
      <c r="AB10" s="93" t="s">
        <v>320</v>
      </c>
      <c r="AC10" s="93" t="s">
        <v>320</v>
      </c>
      <c r="AD10" s="96" t="s">
        <v>1830</v>
      </c>
      <c r="AE10" s="490" t="s">
        <v>423</v>
      </c>
      <c r="AF10" s="147"/>
      <c r="AG10" s="147"/>
      <c r="AH10" s="147" t="s">
        <v>1834</v>
      </c>
      <c r="AI10" s="146" t="s">
        <v>1835</v>
      </c>
      <c r="AJ10" s="146" t="s">
        <v>1836</v>
      </c>
      <c r="AK10" s="147"/>
      <c r="AL10" s="147"/>
      <c r="AM10" s="147"/>
      <c r="AN10" s="147"/>
      <c r="AO10" s="147"/>
    </row>
    <row r="11" spans="1:41" s="150" customFormat="1" ht="58.5">
      <c r="A11" s="147">
        <v>10</v>
      </c>
      <c r="B11" s="151" t="s">
        <v>5</v>
      </c>
      <c r="C11" s="624">
        <v>45952</v>
      </c>
      <c r="D11" s="624">
        <v>45965</v>
      </c>
      <c r="E11" s="146" t="s">
        <v>1786</v>
      </c>
      <c r="F11" s="147" t="s">
        <v>313</v>
      </c>
      <c r="G11" s="147">
        <v>50508</v>
      </c>
      <c r="H11" s="146" t="s">
        <v>1149</v>
      </c>
      <c r="I11" s="151" t="s">
        <v>306</v>
      </c>
      <c r="J11" s="147">
        <v>3</v>
      </c>
      <c r="K11" s="147">
        <v>2.5</v>
      </c>
      <c r="L11" s="147">
        <v>10</v>
      </c>
      <c r="M11" s="93" t="s">
        <v>320</v>
      </c>
      <c r="N11" s="93" t="s">
        <v>320</v>
      </c>
      <c r="O11" s="93" t="s">
        <v>320</v>
      </c>
      <c r="P11" s="93" t="s">
        <v>320</v>
      </c>
      <c r="Q11" s="93" t="s">
        <v>320</v>
      </c>
      <c r="R11" s="93" t="s">
        <v>320</v>
      </c>
      <c r="S11" s="93" t="s">
        <v>320</v>
      </c>
      <c r="T11" s="96" t="s">
        <v>320</v>
      </c>
      <c r="U11" s="93" t="s">
        <v>320</v>
      </c>
      <c r="V11" s="93" t="s">
        <v>320</v>
      </c>
      <c r="W11" s="93" t="s">
        <v>320</v>
      </c>
      <c r="X11" s="93" t="s">
        <v>320</v>
      </c>
      <c r="Y11" s="93" t="s">
        <v>320</v>
      </c>
      <c r="Z11" s="93" t="s">
        <v>320</v>
      </c>
      <c r="AA11" s="93" t="s">
        <v>320</v>
      </c>
      <c r="AB11" s="93" t="s">
        <v>320</v>
      </c>
      <c r="AC11" s="93" t="s">
        <v>320</v>
      </c>
      <c r="AD11" s="96" t="s">
        <v>1830</v>
      </c>
      <c r="AE11" s="490" t="s">
        <v>423</v>
      </c>
      <c r="AF11" s="147"/>
      <c r="AG11" s="147"/>
      <c r="AH11" s="147"/>
      <c r="AI11" s="146" t="s">
        <v>1837</v>
      </c>
      <c r="AJ11" s="146" t="s">
        <v>1838</v>
      </c>
      <c r="AK11" s="147"/>
      <c r="AL11" s="147"/>
      <c r="AM11" s="147"/>
      <c r="AN11" s="147"/>
      <c r="AO11" s="147"/>
    </row>
    <row r="12" spans="1:41" s="150" customFormat="1" ht="23.25">
      <c r="A12" s="147">
        <v>11</v>
      </c>
      <c r="B12" s="151" t="s">
        <v>5</v>
      </c>
      <c r="C12" s="624">
        <v>45952</v>
      </c>
      <c r="D12" s="624">
        <v>45965</v>
      </c>
      <c r="E12" s="146" t="s">
        <v>1786</v>
      </c>
      <c r="F12" s="147" t="s">
        <v>1833</v>
      </c>
      <c r="G12" s="147">
        <v>50509</v>
      </c>
      <c r="H12" s="146" t="s">
        <v>668</v>
      </c>
      <c r="I12" s="151" t="s">
        <v>306</v>
      </c>
      <c r="J12" s="147">
        <v>2</v>
      </c>
      <c r="K12" s="147">
        <v>2.87</v>
      </c>
      <c r="L12" s="147">
        <v>11.5</v>
      </c>
      <c r="M12" s="93" t="s">
        <v>320</v>
      </c>
      <c r="N12" s="93" t="s">
        <v>320</v>
      </c>
      <c r="O12" s="93" t="s">
        <v>320</v>
      </c>
      <c r="P12" s="93" t="s">
        <v>320</v>
      </c>
      <c r="Q12" s="93" t="s">
        <v>320</v>
      </c>
      <c r="R12" s="93" t="s">
        <v>320</v>
      </c>
      <c r="S12" s="93" t="s">
        <v>320</v>
      </c>
      <c r="T12" s="96" t="s">
        <v>320</v>
      </c>
      <c r="U12" s="93" t="s">
        <v>320</v>
      </c>
      <c r="V12" s="93" t="s">
        <v>320</v>
      </c>
      <c r="W12" s="93" t="s">
        <v>320</v>
      </c>
      <c r="X12" s="93" t="s">
        <v>320</v>
      </c>
      <c r="Y12" s="93" t="s">
        <v>320</v>
      </c>
      <c r="Z12" s="93" t="s">
        <v>320</v>
      </c>
      <c r="AA12" s="93" t="s">
        <v>320</v>
      </c>
      <c r="AB12" s="93" t="s">
        <v>320</v>
      </c>
      <c r="AC12" s="93" t="s">
        <v>320</v>
      </c>
      <c r="AD12" s="96" t="s">
        <v>1830</v>
      </c>
      <c r="AE12" s="490" t="s">
        <v>423</v>
      </c>
      <c r="AF12" s="147"/>
      <c r="AG12" s="147"/>
      <c r="AH12" s="147"/>
      <c r="AI12" s="146" t="s">
        <v>1839</v>
      </c>
      <c r="AJ12" s="147"/>
      <c r="AK12" s="147"/>
      <c r="AL12" s="147"/>
      <c r="AM12" s="147"/>
      <c r="AN12" s="147"/>
      <c r="AO12" s="147"/>
    </row>
    <row r="13" spans="1:41" s="150" customFormat="1" ht="23.25">
      <c r="A13" s="147">
        <v>12</v>
      </c>
      <c r="B13" s="151" t="s">
        <v>5</v>
      </c>
      <c r="C13" s="624">
        <v>45952</v>
      </c>
      <c r="D13" s="624">
        <v>45965</v>
      </c>
      <c r="E13" s="146" t="s">
        <v>1786</v>
      </c>
      <c r="F13" s="147" t="s">
        <v>1828</v>
      </c>
      <c r="G13" s="147">
        <v>50510</v>
      </c>
      <c r="H13" s="146" t="s">
        <v>627</v>
      </c>
      <c r="I13" s="151" t="s">
        <v>306</v>
      </c>
      <c r="J13" s="147">
        <v>2</v>
      </c>
      <c r="K13" s="147">
        <v>2</v>
      </c>
      <c r="L13" s="147">
        <v>8</v>
      </c>
      <c r="M13" s="93" t="s">
        <v>320</v>
      </c>
      <c r="N13" s="93" t="s">
        <v>320</v>
      </c>
      <c r="O13" s="93" t="s">
        <v>320</v>
      </c>
      <c r="P13" s="93" t="s">
        <v>320</v>
      </c>
      <c r="Q13" s="93" t="s">
        <v>320</v>
      </c>
      <c r="R13" s="93" t="s">
        <v>320</v>
      </c>
      <c r="S13" s="93" t="s">
        <v>320</v>
      </c>
      <c r="T13" s="96" t="s">
        <v>320</v>
      </c>
      <c r="U13" s="93" t="s">
        <v>320</v>
      </c>
      <c r="V13" s="93" t="s">
        <v>320</v>
      </c>
      <c r="W13" s="93" t="s">
        <v>320</v>
      </c>
      <c r="X13" s="93" t="s">
        <v>320</v>
      </c>
      <c r="Y13" s="93" t="s">
        <v>320</v>
      </c>
      <c r="Z13" s="93" t="s">
        <v>320</v>
      </c>
      <c r="AA13" s="93" t="s">
        <v>320</v>
      </c>
      <c r="AB13" s="93" t="s">
        <v>320</v>
      </c>
      <c r="AC13" s="93" t="s">
        <v>320</v>
      </c>
      <c r="AD13" s="96" t="s">
        <v>1830</v>
      </c>
      <c r="AE13" s="490" t="s">
        <v>423</v>
      </c>
      <c r="AF13" s="147"/>
      <c r="AG13" s="147"/>
      <c r="AH13" s="147"/>
      <c r="AI13" s="147"/>
      <c r="AJ13" s="147"/>
      <c r="AK13" s="147"/>
      <c r="AL13" s="147"/>
      <c r="AM13" s="147"/>
      <c r="AN13" s="147"/>
      <c r="AO13" s="147"/>
    </row>
    <row r="14" spans="1:41" s="150" customFormat="1" ht="35.25">
      <c r="A14" s="147">
        <v>13</v>
      </c>
      <c r="B14" s="151" t="s">
        <v>5</v>
      </c>
      <c r="C14" s="624">
        <v>45952</v>
      </c>
      <c r="D14" s="624">
        <v>45965</v>
      </c>
      <c r="E14" s="146" t="s">
        <v>1786</v>
      </c>
      <c r="F14" s="147" t="s">
        <v>315</v>
      </c>
      <c r="G14" s="147">
        <v>50511</v>
      </c>
      <c r="H14" s="146" t="s">
        <v>1840</v>
      </c>
      <c r="I14" s="151" t="s">
        <v>306</v>
      </c>
      <c r="J14" s="147">
        <v>3</v>
      </c>
      <c r="K14" s="147">
        <v>2.5</v>
      </c>
      <c r="L14" s="147">
        <v>10</v>
      </c>
      <c r="M14" s="93" t="s">
        <v>320</v>
      </c>
      <c r="N14" s="93" t="s">
        <v>320</v>
      </c>
      <c r="O14" s="93" t="s">
        <v>320</v>
      </c>
      <c r="P14" s="93" t="s">
        <v>320</v>
      </c>
      <c r="Q14" s="93" t="s">
        <v>320</v>
      </c>
      <c r="R14" s="93" t="s">
        <v>320</v>
      </c>
      <c r="S14" s="93" t="s">
        <v>320</v>
      </c>
      <c r="T14" s="96" t="s">
        <v>320</v>
      </c>
      <c r="U14" s="93" t="s">
        <v>320</v>
      </c>
      <c r="V14" s="93" t="s">
        <v>320</v>
      </c>
      <c r="W14" s="93" t="s">
        <v>320</v>
      </c>
      <c r="X14" s="93" t="s">
        <v>320</v>
      </c>
      <c r="Y14" s="93" t="s">
        <v>320</v>
      </c>
      <c r="Z14" s="93" t="s">
        <v>320</v>
      </c>
      <c r="AA14" s="93" t="s">
        <v>320</v>
      </c>
      <c r="AB14" s="93" t="s">
        <v>320</v>
      </c>
      <c r="AC14" s="93" t="s">
        <v>320</v>
      </c>
      <c r="AD14" s="96" t="s">
        <v>1830</v>
      </c>
      <c r="AE14" s="490" t="s">
        <v>423</v>
      </c>
      <c r="AF14" s="147"/>
      <c r="AG14" s="147"/>
      <c r="AH14" s="147"/>
      <c r="AI14" s="147"/>
      <c r="AJ14" s="147"/>
      <c r="AK14" s="146" t="s">
        <v>1841</v>
      </c>
      <c r="AL14" s="147"/>
      <c r="AM14" s="147"/>
      <c r="AN14" s="147"/>
      <c r="AO14" s="147"/>
    </row>
    <row r="15" spans="1:41" s="150" customFormat="1" ht="35.25">
      <c r="A15" s="147">
        <v>14</v>
      </c>
      <c r="B15" s="151" t="s">
        <v>5</v>
      </c>
      <c r="C15" s="624">
        <v>45952</v>
      </c>
      <c r="D15" s="624">
        <v>45965</v>
      </c>
      <c r="E15" s="146" t="s">
        <v>1786</v>
      </c>
      <c r="F15" s="129" t="s">
        <v>1216</v>
      </c>
      <c r="G15" s="147">
        <v>50512</v>
      </c>
      <c r="H15" s="146" t="s">
        <v>1842</v>
      </c>
      <c r="I15" s="151" t="s">
        <v>306</v>
      </c>
      <c r="J15" s="147">
        <v>3</v>
      </c>
      <c r="K15" s="147">
        <v>2</v>
      </c>
      <c r="L15" s="147">
        <v>8</v>
      </c>
      <c r="M15" s="93" t="s">
        <v>320</v>
      </c>
      <c r="N15" s="93" t="s">
        <v>320</v>
      </c>
      <c r="O15" s="93" t="s">
        <v>320</v>
      </c>
      <c r="P15" s="93" t="s">
        <v>320</v>
      </c>
      <c r="Q15" s="93" t="s">
        <v>320</v>
      </c>
      <c r="R15" s="93" t="s">
        <v>320</v>
      </c>
      <c r="S15" s="93" t="s">
        <v>320</v>
      </c>
      <c r="T15" s="96" t="s">
        <v>320</v>
      </c>
      <c r="U15" s="93" t="s">
        <v>320</v>
      </c>
      <c r="V15" s="93" t="s">
        <v>320</v>
      </c>
      <c r="W15" s="93" t="s">
        <v>320</v>
      </c>
      <c r="X15" s="93" t="s">
        <v>320</v>
      </c>
      <c r="Y15" s="93" t="s">
        <v>320</v>
      </c>
      <c r="Z15" s="93" t="s">
        <v>320</v>
      </c>
      <c r="AA15" s="93" t="s">
        <v>320</v>
      </c>
      <c r="AB15" s="93" t="s">
        <v>320</v>
      </c>
      <c r="AC15" s="93" t="s">
        <v>320</v>
      </c>
      <c r="AD15" s="96" t="s">
        <v>1830</v>
      </c>
      <c r="AE15" s="490" t="s">
        <v>423</v>
      </c>
      <c r="AF15" s="147"/>
      <c r="AG15" s="147"/>
      <c r="AH15" s="146" t="s">
        <v>1843</v>
      </c>
      <c r="AI15" s="147"/>
      <c r="AJ15" s="147"/>
      <c r="AK15" s="147"/>
      <c r="AL15" s="147"/>
      <c r="AM15" s="147"/>
      <c r="AN15" s="147"/>
      <c r="AO15" s="147"/>
    </row>
    <row r="16" spans="1:41" s="150" customFormat="1" ht="46.5">
      <c r="A16" s="147">
        <v>15</v>
      </c>
      <c r="B16" s="151" t="s">
        <v>5</v>
      </c>
      <c r="C16" s="624">
        <v>45952</v>
      </c>
      <c r="D16" s="624">
        <v>45965</v>
      </c>
      <c r="E16" s="146" t="s">
        <v>1786</v>
      </c>
      <c r="F16" s="129" t="s">
        <v>1216</v>
      </c>
      <c r="G16" s="147">
        <v>50513</v>
      </c>
      <c r="H16" s="146" t="s">
        <v>1666</v>
      </c>
      <c r="I16" s="151" t="s">
        <v>306</v>
      </c>
      <c r="J16" s="147">
        <v>2</v>
      </c>
      <c r="K16" s="147">
        <v>3</v>
      </c>
      <c r="L16" s="147">
        <v>12</v>
      </c>
      <c r="M16" s="93" t="s">
        <v>320</v>
      </c>
      <c r="N16" s="93" t="s">
        <v>320</v>
      </c>
      <c r="O16" s="93" t="s">
        <v>320</v>
      </c>
      <c r="P16" s="93" t="s">
        <v>320</v>
      </c>
      <c r="Q16" s="93" t="s">
        <v>320</v>
      </c>
      <c r="R16" s="93" t="s">
        <v>320</v>
      </c>
      <c r="S16" s="93" t="s">
        <v>320</v>
      </c>
      <c r="T16" s="93" t="s">
        <v>320</v>
      </c>
      <c r="U16" s="93" t="s">
        <v>320</v>
      </c>
      <c r="V16" s="93" t="s">
        <v>320</v>
      </c>
      <c r="W16" s="93" t="s">
        <v>320</v>
      </c>
      <c r="X16" s="93" t="s">
        <v>320</v>
      </c>
      <c r="Y16" s="93" t="s">
        <v>320</v>
      </c>
      <c r="Z16" s="93" t="s">
        <v>320</v>
      </c>
      <c r="AA16" s="93" t="s">
        <v>320</v>
      </c>
      <c r="AB16" s="93" t="s">
        <v>320</v>
      </c>
      <c r="AC16" s="93" t="s">
        <v>320</v>
      </c>
      <c r="AD16" s="96" t="s">
        <v>1830</v>
      </c>
      <c r="AE16" s="147"/>
      <c r="AF16" s="147"/>
      <c r="AG16" s="147"/>
      <c r="AH16" s="147"/>
      <c r="AI16" s="147"/>
      <c r="AJ16" s="147"/>
      <c r="AK16" s="147"/>
      <c r="AL16" s="147"/>
      <c r="AM16" s="147"/>
      <c r="AN16" s="147" t="s">
        <v>1844</v>
      </c>
      <c r="AO16" s="146" t="s">
        <v>1845</v>
      </c>
    </row>
    <row r="17" spans="1:41" s="150" customFormat="1" ht="66" customHeight="1">
      <c r="A17" s="147">
        <v>16</v>
      </c>
      <c r="B17" s="151" t="s">
        <v>5</v>
      </c>
      <c r="C17" s="624">
        <v>45952</v>
      </c>
      <c r="D17" s="624">
        <v>45965</v>
      </c>
      <c r="E17" s="146" t="s">
        <v>1846</v>
      </c>
      <c r="F17" s="147" t="s">
        <v>313</v>
      </c>
      <c r="G17" s="147">
        <v>50514</v>
      </c>
      <c r="H17" s="146" t="s">
        <v>1703</v>
      </c>
      <c r="I17" s="151" t="s">
        <v>338</v>
      </c>
      <c r="J17" s="147">
        <v>5</v>
      </c>
      <c r="K17" s="147"/>
      <c r="L17" s="147">
        <v>10</v>
      </c>
      <c r="M17" s="158">
        <v>45953</v>
      </c>
      <c r="N17" s="158">
        <v>45961</v>
      </c>
      <c r="O17" s="96" t="s">
        <v>12</v>
      </c>
      <c r="P17" s="96" t="s">
        <v>315</v>
      </c>
      <c r="Q17" s="96" t="s">
        <v>316</v>
      </c>
      <c r="R17" s="96" t="s">
        <v>317</v>
      </c>
      <c r="S17" s="96" t="s">
        <v>316</v>
      </c>
      <c r="T17" s="112" t="s">
        <v>1704</v>
      </c>
      <c r="U17" s="158">
        <v>45964</v>
      </c>
      <c r="V17" s="158">
        <v>45964</v>
      </c>
      <c r="W17" s="96" t="s">
        <v>316</v>
      </c>
      <c r="X17" s="96" t="s">
        <v>319</v>
      </c>
      <c r="Y17" s="96" t="s">
        <v>319</v>
      </c>
      <c r="Z17" s="96" t="s">
        <v>320</v>
      </c>
      <c r="AA17" s="96" t="s">
        <v>316</v>
      </c>
      <c r="AB17" s="96" t="s">
        <v>316</v>
      </c>
      <c r="AC17" s="96" t="s">
        <v>316</v>
      </c>
      <c r="AD17" s="146" t="s">
        <v>1847</v>
      </c>
      <c r="AE17" s="147"/>
      <c r="AF17" s="146" t="s">
        <v>1848</v>
      </c>
      <c r="AG17" s="147"/>
      <c r="AH17" s="147"/>
      <c r="AI17" s="147"/>
      <c r="AJ17" s="147"/>
      <c r="AK17" s="147"/>
      <c r="AL17" s="147"/>
      <c r="AM17" s="146" t="s">
        <v>1849</v>
      </c>
      <c r="AN17" s="146" t="s">
        <v>1850</v>
      </c>
      <c r="AO17" s="146" t="s">
        <v>1851</v>
      </c>
    </row>
    <row r="18" spans="1:41" s="150" customFormat="1" ht="58.5">
      <c r="A18" s="147">
        <v>17</v>
      </c>
      <c r="B18" s="151" t="s">
        <v>5</v>
      </c>
      <c r="C18" s="624">
        <v>45952</v>
      </c>
      <c r="D18" s="624">
        <v>45965</v>
      </c>
      <c r="E18" s="146" t="s">
        <v>1786</v>
      </c>
      <c r="F18" s="147" t="s">
        <v>1618</v>
      </c>
      <c r="G18" s="147" t="s">
        <v>1852</v>
      </c>
      <c r="H18" s="129" t="s">
        <v>1542</v>
      </c>
      <c r="I18" s="151" t="s">
        <v>503</v>
      </c>
      <c r="J18" s="147">
        <v>0</v>
      </c>
      <c r="K18" s="147"/>
      <c r="L18" s="147">
        <v>8</v>
      </c>
      <c r="M18" s="93" t="s">
        <v>320</v>
      </c>
      <c r="N18" s="93" t="s">
        <v>320</v>
      </c>
      <c r="O18" s="93" t="s">
        <v>320</v>
      </c>
      <c r="P18" s="93" t="s">
        <v>320</v>
      </c>
      <c r="Q18" s="93" t="s">
        <v>320</v>
      </c>
      <c r="R18" s="93" t="s">
        <v>320</v>
      </c>
      <c r="S18" s="93" t="s">
        <v>320</v>
      </c>
      <c r="T18" s="93" t="s">
        <v>320</v>
      </c>
      <c r="U18" s="93" t="s">
        <v>320</v>
      </c>
      <c r="V18" s="93" t="s">
        <v>320</v>
      </c>
      <c r="W18" s="93" t="s">
        <v>320</v>
      </c>
      <c r="X18" s="93" t="s">
        <v>320</v>
      </c>
      <c r="Y18" s="93" t="s">
        <v>320</v>
      </c>
      <c r="Z18" s="93" t="s">
        <v>320</v>
      </c>
      <c r="AA18" s="93" t="s">
        <v>320</v>
      </c>
      <c r="AB18" s="93" t="s">
        <v>320</v>
      </c>
      <c r="AC18" s="93" t="s">
        <v>320</v>
      </c>
      <c r="AD18" s="146" t="s">
        <v>1853</v>
      </c>
      <c r="AE18" s="147"/>
      <c r="AF18" s="147"/>
      <c r="AG18" s="147"/>
      <c r="AH18" s="147"/>
      <c r="AI18" s="147"/>
      <c r="AJ18" s="147"/>
      <c r="AK18" s="146" t="s">
        <v>1854</v>
      </c>
      <c r="AL18" s="147"/>
      <c r="AM18" s="147"/>
      <c r="AN18" s="147"/>
      <c r="AO18" s="146" t="s">
        <v>1855</v>
      </c>
    </row>
    <row r="19" spans="1:41" s="150" customFormat="1" ht="92.25">
      <c r="A19" s="147">
        <v>18</v>
      </c>
      <c r="B19" s="151" t="s">
        <v>5</v>
      </c>
      <c r="C19" s="624">
        <v>45952</v>
      </c>
      <c r="D19" s="624">
        <v>45965</v>
      </c>
      <c r="E19" s="146" t="s">
        <v>1786</v>
      </c>
      <c r="F19" s="147" t="s">
        <v>317</v>
      </c>
      <c r="G19" s="129" t="s">
        <v>1856</v>
      </c>
      <c r="H19" s="146" t="s">
        <v>1857</v>
      </c>
      <c r="I19" s="151" t="s">
        <v>376</v>
      </c>
      <c r="J19" s="147">
        <v>0</v>
      </c>
      <c r="K19" s="147">
        <v>0.187</v>
      </c>
      <c r="L19" s="147">
        <v>0.75</v>
      </c>
      <c r="M19" s="93" t="s">
        <v>320</v>
      </c>
      <c r="N19" s="93" t="s">
        <v>320</v>
      </c>
      <c r="O19" s="93" t="s">
        <v>320</v>
      </c>
      <c r="P19" s="93" t="s">
        <v>320</v>
      </c>
      <c r="Q19" s="93" t="s">
        <v>320</v>
      </c>
      <c r="R19" s="93" t="s">
        <v>320</v>
      </c>
      <c r="S19" s="93" t="s">
        <v>320</v>
      </c>
      <c r="T19" s="93" t="s">
        <v>320</v>
      </c>
      <c r="U19" s="93" t="s">
        <v>320</v>
      </c>
      <c r="V19" s="93" t="s">
        <v>320</v>
      </c>
      <c r="W19" s="93" t="s">
        <v>320</v>
      </c>
      <c r="X19" s="93" t="s">
        <v>320</v>
      </c>
      <c r="Y19" s="93" t="s">
        <v>320</v>
      </c>
      <c r="Z19" s="93" t="s">
        <v>320</v>
      </c>
      <c r="AA19" s="93" t="s">
        <v>320</v>
      </c>
      <c r="AB19" s="93" t="s">
        <v>320</v>
      </c>
      <c r="AC19" s="93" t="s">
        <v>320</v>
      </c>
      <c r="AD19" s="64" t="s">
        <v>1858</v>
      </c>
      <c r="AE19" s="490" t="s">
        <v>423</v>
      </c>
      <c r="AF19" s="147"/>
      <c r="AG19" s="147"/>
      <c r="AH19" s="147"/>
      <c r="AI19" s="147"/>
      <c r="AJ19" s="147"/>
      <c r="AK19" s="147" t="s">
        <v>1859</v>
      </c>
      <c r="AL19" s="147" t="s">
        <v>434</v>
      </c>
      <c r="AM19" s="147" t="s">
        <v>434</v>
      </c>
      <c r="AN19" s="147" t="s">
        <v>434</v>
      </c>
      <c r="AO19" s="147"/>
    </row>
    <row r="20" spans="1:41" s="150" customFormat="1" ht="46.5">
      <c r="A20" s="147">
        <v>19</v>
      </c>
      <c r="B20" s="151" t="s">
        <v>5</v>
      </c>
      <c r="C20" s="624">
        <v>45952</v>
      </c>
      <c r="D20" s="624">
        <v>45965</v>
      </c>
      <c r="E20" s="146" t="s">
        <v>1786</v>
      </c>
      <c r="F20" s="147" t="s">
        <v>317</v>
      </c>
      <c r="G20" s="129" t="s">
        <v>1860</v>
      </c>
      <c r="H20" s="146" t="s">
        <v>1861</v>
      </c>
      <c r="I20" s="151" t="s">
        <v>376</v>
      </c>
      <c r="J20" s="147">
        <v>0</v>
      </c>
      <c r="K20" s="147">
        <v>0.47699999999999998</v>
      </c>
      <c r="L20" s="147">
        <v>1.91</v>
      </c>
      <c r="M20" s="93" t="s">
        <v>320</v>
      </c>
      <c r="N20" s="93" t="s">
        <v>320</v>
      </c>
      <c r="O20" s="93" t="s">
        <v>320</v>
      </c>
      <c r="P20" s="93" t="s">
        <v>320</v>
      </c>
      <c r="Q20" s="93" t="s">
        <v>320</v>
      </c>
      <c r="R20" s="93" t="s">
        <v>320</v>
      </c>
      <c r="S20" s="93" t="s">
        <v>320</v>
      </c>
      <c r="T20" s="93" t="s">
        <v>320</v>
      </c>
      <c r="U20" s="93" t="s">
        <v>320</v>
      </c>
      <c r="V20" s="93" t="s">
        <v>320</v>
      </c>
      <c r="W20" s="93" t="s">
        <v>320</v>
      </c>
      <c r="X20" s="93" t="s">
        <v>320</v>
      </c>
      <c r="Y20" s="93" t="s">
        <v>320</v>
      </c>
      <c r="Z20" s="93" t="s">
        <v>320</v>
      </c>
      <c r="AA20" s="93" t="s">
        <v>320</v>
      </c>
      <c r="AB20" s="93" t="s">
        <v>320</v>
      </c>
      <c r="AC20" s="93" t="s">
        <v>320</v>
      </c>
      <c r="AD20" s="146" t="s">
        <v>1862</v>
      </c>
      <c r="AE20" s="147"/>
      <c r="AF20" s="147"/>
      <c r="AG20" s="147"/>
      <c r="AH20" s="147"/>
      <c r="AI20" s="147"/>
      <c r="AJ20" s="147"/>
      <c r="AK20" s="147" t="s">
        <v>1863</v>
      </c>
      <c r="AL20" s="147" t="s">
        <v>434</v>
      </c>
      <c r="AM20" s="147" t="s">
        <v>434</v>
      </c>
      <c r="AN20" s="147" t="s">
        <v>434</v>
      </c>
      <c r="AO20" s="147"/>
    </row>
    <row r="21" spans="1:41" s="150" customFormat="1" ht="46.5">
      <c r="A21" s="147">
        <v>20</v>
      </c>
      <c r="B21" s="151" t="s">
        <v>5</v>
      </c>
      <c r="C21" s="624">
        <v>45952</v>
      </c>
      <c r="D21" s="624">
        <v>45965</v>
      </c>
      <c r="E21" s="146" t="s">
        <v>1786</v>
      </c>
      <c r="F21" s="147" t="s">
        <v>317</v>
      </c>
      <c r="G21" s="147" t="s">
        <v>1757</v>
      </c>
      <c r="H21" s="146" t="s">
        <v>1758</v>
      </c>
      <c r="I21" s="151" t="s">
        <v>348</v>
      </c>
      <c r="J21" s="147">
        <v>0</v>
      </c>
      <c r="K21" s="147"/>
      <c r="L21" s="147">
        <v>13</v>
      </c>
      <c r="M21" s="158">
        <v>45958</v>
      </c>
      <c r="N21" s="158">
        <v>45958</v>
      </c>
      <c r="O21" s="93" t="s">
        <v>320</v>
      </c>
      <c r="P21" s="93" t="s">
        <v>320</v>
      </c>
      <c r="Q21" s="93" t="s">
        <v>320</v>
      </c>
      <c r="R21" s="93" t="s">
        <v>320</v>
      </c>
      <c r="S21" s="93" t="s">
        <v>320</v>
      </c>
      <c r="T21" s="93" t="s">
        <v>320</v>
      </c>
      <c r="U21" s="93" t="s">
        <v>320</v>
      </c>
      <c r="V21" s="93" t="s">
        <v>320</v>
      </c>
      <c r="W21" s="93" t="s">
        <v>320</v>
      </c>
      <c r="X21" s="93" t="s">
        <v>320</v>
      </c>
      <c r="Y21" s="93" t="s">
        <v>320</v>
      </c>
      <c r="Z21" s="93" t="s">
        <v>320</v>
      </c>
      <c r="AA21" s="93" t="s">
        <v>320</v>
      </c>
      <c r="AB21" s="93" t="s">
        <v>320</v>
      </c>
      <c r="AC21" s="93" t="s">
        <v>320</v>
      </c>
      <c r="AD21" s="147"/>
      <c r="AE21" s="147"/>
      <c r="AF21" s="147"/>
      <c r="AG21" s="147"/>
      <c r="AH21" s="147"/>
      <c r="AI21" s="147"/>
      <c r="AJ21" s="147"/>
      <c r="AK21" s="147" t="s">
        <v>1864</v>
      </c>
      <c r="AL21" s="147" t="s">
        <v>1865</v>
      </c>
      <c r="AM21" s="147"/>
      <c r="AN21" s="146" t="s">
        <v>1866</v>
      </c>
      <c r="AO21" s="146" t="s">
        <v>1867</v>
      </c>
    </row>
    <row r="22" spans="1:41" s="150" customFormat="1" ht="55.5" customHeight="1">
      <c r="A22" s="147">
        <v>21</v>
      </c>
      <c r="B22" s="151" t="s">
        <v>5</v>
      </c>
      <c r="C22" s="624">
        <v>45952</v>
      </c>
      <c r="D22" s="624">
        <v>45965</v>
      </c>
      <c r="E22" s="146" t="s">
        <v>1786</v>
      </c>
      <c r="F22" s="147" t="s">
        <v>313</v>
      </c>
      <c r="G22" s="147">
        <v>26241</v>
      </c>
      <c r="H22" s="146" t="s">
        <v>1686</v>
      </c>
      <c r="I22" s="151" t="s">
        <v>369</v>
      </c>
      <c r="J22" s="147">
        <v>0</v>
      </c>
      <c r="K22" s="147"/>
      <c r="L22" s="147">
        <v>4</v>
      </c>
      <c r="M22" s="158">
        <v>45961</v>
      </c>
      <c r="N22" s="158">
        <v>45964</v>
      </c>
      <c r="O22" s="96" t="s">
        <v>12</v>
      </c>
      <c r="P22" s="96" t="s">
        <v>315</v>
      </c>
      <c r="Q22" s="96" t="s">
        <v>316</v>
      </c>
      <c r="R22" s="96" t="s">
        <v>317</v>
      </c>
      <c r="S22" s="96" t="s">
        <v>1687</v>
      </c>
      <c r="T22" s="112" t="s">
        <v>1688</v>
      </c>
      <c r="U22" s="158">
        <v>45965</v>
      </c>
      <c r="V22" s="158">
        <v>45965</v>
      </c>
      <c r="W22" s="96" t="s">
        <v>316</v>
      </c>
      <c r="X22" s="96" t="s">
        <v>319</v>
      </c>
      <c r="Y22" s="96" t="s">
        <v>319</v>
      </c>
      <c r="Z22" s="96" t="s">
        <v>320</v>
      </c>
      <c r="AA22" s="96" t="s">
        <v>316</v>
      </c>
      <c r="AB22" s="96" t="s">
        <v>316</v>
      </c>
      <c r="AC22" s="96" t="s">
        <v>316</v>
      </c>
      <c r="AD22" s="146" t="s">
        <v>1868</v>
      </c>
      <c r="AE22" s="147"/>
      <c r="AF22" s="147"/>
      <c r="AG22" s="147"/>
      <c r="AH22" s="147"/>
      <c r="AI22" s="147"/>
      <c r="AJ22" s="147"/>
      <c r="AK22" s="147"/>
      <c r="AL22" s="147"/>
      <c r="AM22" s="554" t="s">
        <v>1869</v>
      </c>
      <c r="AN22" s="146" t="s">
        <v>1870</v>
      </c>
      <c r="AO22" s="146" t="s">
        <v>1851</v>
      </c>
    </row>
    <row r="23" spans="1:41" s="150" customFormat="1" ht="46.5">
      <c r="A23" s="147">
        <v>22</v>
      </c>
      <c r="B23" s="151" t="s">
        <v>5</v>
      </c>
      <c r="C23" s="624">
        <v>45952</v>
      </c>
      <c r="D23" s="624">
        <v>45965</v>
      </c>
      <c r="E23" s="146" t="s">
        <v>1846</v>
      </c>
      <c r="F23" s="147" t="s">
        <v>313</v>
      </c>
      <c r="G23" s="147">
        <v>50515</v>
      </c>
      <c r="H23" s="146" t="s">
        <v>1712</v>
      </c>
      <c r="I23" s="151" t="s">
        <v>399</v>
      </c>
      <c r="J23" s="147">
        <v>5</v>
      </c>
      <c r="K23" s="147"/>
      <c r="L23" s="147">
        <v>8</v>
      </c>
      <c r="M23" s="158">
        <v>45964</v>
      </c>
      <c r="N23" s="158">
        <v>45965</v>
      </c>
      <c r="O23" s="96" t="s">
        <v>12</v>
      </c>
      <c r="P23" s="96" t="s">
        <v>315</v>
      </c>
      <c r="Q23" s="96" t="s">
        <v>316</v>
      </c>
      <c r="R23" s="96" t="s">
        <v>317</v>
      </c>
      <c r="S23" s="96" t="s">
        <v>316</v>
      </c>
      <c r="T23" s="93" t="s">
        <v>320</v>
      </c>
      <c r="U23" s="93" t="s">
        <v>320</v>
      </c>
      <c r="V23" s="93" t="s">
        <v>320</v>
      </c>
      <c r="W23" s="93" t="s">
        <v>320</v>
      </c>
      <c r="X23" s="93" t="s">
        <v>320</v>
      </c>
      <c r="Y23" s="93" t="s">
        <v>320</v>
      </c>
      <c r="Z23" s="93" t="s">
        <v>320</v>
      </c>
      <c r="AA23" s="93" t="s">
        <v>320</v>
      </c>
      <c r="AB23" s="93" t="s">
        <v>320</v>
      </c>
      <c r="AC23" s="93" t="s">
        <v>320</v>
      </c>
      <c r="AD23" s="146" t="s">
        <v>1871</v>
      </c>
      <c r="AE23" s="147"/>
      <c r="AF23" s="147"/>
      <c r="AG23" s="147"/>
      <c r="AH23" s="147"/>
      <c r="AI23" s="147"/>
      <c r="AJ23" s="147"/>
      <c r="AK23" s="147"/>
      <c r="AL23" s="147"/>
      <c r="AM23" s="147"/>
      <c r="AN23" s="146" t="s">
        <v>1872</v>
      </c>
      <c r="AO23" s="146" t="s">
        <v>1873</v>
      </c>
    </row>
    <row r="24" spans="1:41" s="150" customFormat="1" ht="35.25">
      <c r="A24" s="147">
        <v>23</v>
      </c>
      <c r="B24" s="151" t="s">
        <v>5</v>
      </c>
      <c r="C24" s="624">
        <v>45952</v>
      </c>
      <c r="D24" s="624">
        <v>45965</v>
      </c>
      <c r="E24" s="146" t="s">
        <v>1786</v>
      </c>
      <c r="F24" s="147" t="s">
        <v>317</v>
      </c>
      <c r="G24" s="147">
        <v>49950</v>
      </c>
      <c r="H24" s="146" t="s">
        <v>1519</v>
      </c>
      <c r="I24" s="151" t="s">
        <v>399</v>
      </c>
      <c r="J24" s="147">
        <v>1</v>
      </c>
      <c r="K24" s="147"/>
      <c r="L24" s="147">
        <v>10.5</v>
      </c>
      <c r="M24" s="180">
        <v>45954</v>
      </c>
      <c r="N24" s="93" t="s">
        <v>320</v>
      </c>
      <c r="O24" s="93" t="s">
        <v>320</v>
      </c>
      <c r="P24" s="93" t="s">
        <v>320</v>
      </c>
      <c r="Q24" s="93" t="s">
        <v>320</v>
      </c>
      <c r="R24" s="93" t="s">
        <v>320</v>
      </c>
      <c r="S24" s="93" t="s">
        <v>320</v>
      </c>
      <c r="T24" s="93" t="s">
        <v>320</v>
      </c>
      <c r="U24" s="93" t="s">
        <v>320</v>
      </c>
      <c r="V24" s="93" t="s">
        <v>320</v>
      </c>
      <c r="W24" s="93" t="s">
        <v>320</v>
      </c>
      <c r="X24" s="93" t="s">
        <v>320</v>
      </c>
      <c r="Y24" s="93" t="s">
        <v>320</v>
      </c>
      <c r="Z24" s="93" t="s">
        <v>320</v>
      </c>
      <c r="AA24" s="93" t="s">
        <v>320</v>
      </c>
      <c r="AB24" s="93" t="s">
        <v>320</v>
      </c>
      <c r="AC24" s="93" t="s">
        <v>320</v>
      </c>
      <c r="AD24" s="146" t="s">
        <v>1874</v>
      </c>
      <c r="AE24" s="147"/>
      <c r="AF24" s="147"/>
      <c r="AG24" s="147"/>
      <c r="AH24" s="147"/>
      <c r="AI24" s="147"/>
      <c r="AJ24" s="147"/>
      <c r="AK24" s="147"/>
      <c r="AL24" s="147"/>
      <c r="AM24" s="147"/>
      <c r="AN24" s="147"/>
      <c r="AO24" s="147"/>
    </row>
    <row r="25" spans="1:41" s="150" customFormat="1" ht="23.25">
      <c r="A25" s="147">
        <v>24</v>
      </c>
      <c r="B25" s="151" t="s">
        <v>5</v>
      </c>
      <c r="C25" s="624">
        <v>45952</v>
      </c>
      <c r="D25" s="624">
        <v>45965</v>
      </c>
      <c r="E25" s="146" t="s">
        <v>1846</v>
      </c>
      <c r="F25" s="147" t="s">
        <v>315</v>
      </c>
      <c r="G25" s="129">
        <v>50651</v>
      </c>
      <c r="H25" s="146" t="s">
        <v>1875</v>
      </c>
      <c r="I25" s="151" t="s">
        <v>306</v>
      </c>
      <c r="J25" s="147">
        <v>2</v>
      </c>
      <c r="K25" s="147">
        <v>1</v>
      </c>
      <c r="L25" s="147">
        <v>4</v>
      </c>
      <c r="M25" s="93" t="s">
        <v>320</v>
      </c>
      <c r="N25" s="93" t="s">
        <v>320</v>
      </c>
      <c r="O25" s="93" t="s">
        <v>320</v>
      </c>
      <c r="P25" s="93" t="s">
        <v>320</v>
      </c>
      <c r="Q25" s="93" t="s">
        <v>320</v>
      </c>
      <c r="R25" s="93" t="s">
        <v>320</v>
      </c>
      <c r="S25" s="93" t="s">
        <v>320</v>
      </c>
      <c r="T25" s="93" t="s">
        <v>320</v>
      </c>
      <c r="U25" s="93" t="s">
        <v>320</v>
      </c>
      <c r="V25" s="93" t="s">
        <v>320</v>
      </c>
      <c r="W25" s="93" t="s">
        <v>320</v>
      </c>
      <c r="X25" s="93" t="s">
        <v>320</v>
      </c>
      <c r="Y25" s="93" t="s">
        <v>320</v>
      </c>
      <c r="Z25" s="93" t="s">
        <v>320</v>
      </c>
      <c r="AA25" s="93" t="s">
        <v>320</v>
      </c>
      <c r="AB25" s="93" t="s">
        <v>320</v>
      </c>
      <c r="AC25" s="93" t="s">
        <v>320</v>
      </c>
      <c r="AD25" s="96" t="s">
        <v>1830</v>
      </c>
      <c r="AE25" s="490" t="s">
        <v>423</v>
      </c>
      <c r="AF25" s="147"/>
      <c r="AG25" s="147"/>
      <c r="AH25" s="147"/>
      <c r="AI25" s="147"/>
      <c r="AJ25" s="147"/>
      <c r="AK25" s="147"/>
      <c r="AL25" s="147"/>
      <c r="AM25" s="147"/>
      <c r="AN25" s="147"/>
      <c r="AO25" s="147"/>
    </row>
    <row r="26" spans="1:41" s="150" customFormat="1">
      <c r="A26" s="147"/>
      <c r="B26" s="147"/>
      <c r="C26" s="147"/>
      <c r="D26" s="147"/>
      <c r="E26" s="147"/>
      <c r="F26" s="147"/>
      <c r="G26" s="147"/>
      <c r="H26" s="146"/>
      <c r="I26" s="151"/>
      <c r="J26" s="147"/>
      <c r="K26" s="147"/>
      <c r="L26" s="147"/>
      <c r="M26" s="147"/>
      <c r="N26" s="147"/>
      <c r="O26" s="147"/>
      <c r="P26" s="147"/>
      <c r="Q26" s="147"/>
      <c r="R26" s="147"/>
      <c r="S26" s="147"/>
      <c r="T26" s="146"/>
      <c r="U26" s="147"/>
      <c r="V26" s="147"/>
      <c r="W26" s="147"/>
      <c r="X26" s="147"/>
      <c r="Y26" s="147"/>
      <c r="Z26" s="147"/>
      <c r="AA26" s="147"/>
      <c r="AB26" s="147"/>
      <c r="AC26" s="147"/>
      <c r="AD26" s="147"/>
      <c r="AE26" s="147"/>
      <c r="AF26" s="147"/>
      <c r="AG26" s="147"/>
      <c r="AH26" s="147"/>
      <c r="AI26" s="147"/>
      <c r="AJ26" s="147"/>
      <c r="AK26" s="147"/>
      <c r="AL26" s="147"/>
      <c r="AM26" s="147"/>
      <c r="AN26" s="147"/>
      <c r="AO26" s="147"/>
    </row>
    <row r="27" spans="1:41" s="150" customFormat="1">
      <c r="A27" s="147"/>
      <c r="B27" s="147"/>
      <c r="C27" s="147"/>
      <c r="D27" s="147"/>
      <c r="E27" s="147"/>
      <c r="F27" s="147"/>
      <c r="G27" s="147"/>
      <c r="H27" s="146"/>
      <c r="I27" s="151"/>
      <c r="J27" s="147"/>
      <c r="K27" s="147"/>
      <c r="L27" s="147"/>
      <c r="M27" s="147"/>
      <c r="N27" s="147"/>
      <c r="O27" s="147"/>
      <c r="P27" s="147"/>
      <c r="Q27" s="147"/>
      <c r="R27" s="147"/>
      <c r="S27" s="147"/>
      <c r="T27" s="146"/>
      <c r="U27" s="147"/>
      <c r="V27" s="147"/>
      <c r="W27" s="147"/>
      <c r="X27" s="147"/>
      <c r="Y27" s="147"/>
      <c r="Z27" s="147"/>
      <c r="AA27" s="147"/>
      <c r="AB27" s="147"/>
      <c r="AC27" s="147"/>
      <c r="AD27" s="147"/>
      <c r="AE27" s="147"/>
      <c r="AF27" s="147"/>
      <c r="AG27" s="147"/>
      <c r="AH27" s="147"/>
      <c r="AI27" s="147"/>
      <c r="AJ27" s="147"/>
      <c r="AK27" s="147"/>
      <c r="AL27" s="147"/>
      <c r="AM27" s="147"/>
      <c r="AN27" s="147"/>
      <c r="AO27" s="147"/>
    </row>
    <row r="28" spans="1:41" s="150" customFormat="1">
      <c r="A28" s="147"/>
      <c r="B28" s="147"/>
      <c r="C28" s="147"/>
      <c r="D28" s="147"/>
      <c r="E28" s="147"/>
      <c r="F28" s="147"/>
      <c r="G28" s="147"/>
      <c r="H28" s="146"/>
      <c r="I28" s="151"/>
      <c r="J28" s="147"/>
      <c r="K28" s="147"/>
      <c r="L28" s="147"/>
      <c r="M28" s="147"/>
      <c r="N28" s="147"/>
      <c r="O28" s="147"/>
      <c r="P28" s="147"/>
      <c r="Q28" s="147"/>
      <c r="R28" s="147"/>
      <c r="S28" s="147"/>
      <c r="T28" s="146"/>
      <c r="U28" s="147"/>
      <c r="V28" s="147"/>
      <c r="W28" s="147"/>
      <c r="X28" s="147"/>
      <c r="Y28" s="147"/>
      <c r="Z28" s="147"/>
      <c r="AA28" s="147"/>
      <c r="AB28" s="147"/>
      <c r="AC28" s="147"/>
      <c r="AD28" s="147"/>
      <c r="AE28" s="147"/>
      <c r="AF28" s="147"/>
      <c r="AG28" s="147"/>
      <c r="AH28" s="147"/>
      <c r="AI28" s="147"/>
      <c r="AJ28" s="147"/>
      <c r="AK28" s="147"/>
      <c r="AL28" s="147"/>
      <c r="AM28" s="147"/>
      <c r="AN28" s="147"/>
      <c r="AO28" s="147"/>
    </row>
    <row r="29" spans="1:41" s="150" customFormat="1">
      <c r="H29" s="64"/>
      <c r="I29" s="553"/>
      <c r="T29" s="64"/>
    </row>
    <row r="30" spans="1:41" s="150" customFormat="1">
      <c r="H30" s="64"/>
      <c r="T30" s="64"/>
    </row>
    <row r="31" spans="1:41" s="150" customFormat="1">
      <c r="H31" s="64"/>
      <c r="T31" s="64"/>
    </row>
    <row r="32" spans="1:41" s="150" customFormat="1">
      <c r="H32" s="64"/>
      <c r="T32" s="64"/>
    </row>
    <row r="33" spans="8:20" s="150" customFormat="1">
      <c r="H33" s="64"/>
      <c r="T33" s="64"/>
    </row>
    <row r="34" spans="8:20" s="150" customFormat="1">
      <c r="H34" s="64"/>
      <c r="T34" s="64"/>
    </row>
    <row r="35" spans="8:20" s="150" customFormat="1">
      <c r="H35" s="64"/>
      <c r="T35" s="64"/>
    </row>
    <row r="36" spans="8:20" s="150" customFormat="1">
      <c r="H36" s="64"/>
      <c r="T36" s="64"/>
    </row>
    <row r="37" spans="8:20" s="150" customFormat="1">
      <c r="H37" s="64"/>
      <c r="T37" s="64"/>
    </row>
    <row r="38" spans="8:20" s="150" customFormat="1">
      <c r="H38" s="64"/>
      <c r="T38" s="64"/>
    </row>
    <row r="39" spans="8:20" s="150" customFormat="1">
      <c r="H39" s="64"/>
      <c r="T39" s="64"/>
    </row>
  </sheetData>
  <autoFilter ref="E1:E39" xr:uid="{C2242556-0582-4BB3-9550-AD597CB9D35A}"/>
  <conditionalFormatting sqref="J1">
    <cfRule type="containsText" dxfId="599" priority="4" operator="containsText" text="Closed">
      <formula>NOT(ISERROR(SEARCH("Closed",J1)))</formula>
    </cfRule>
    <cfRule type="containsText" dxfId="598" priority="5" operator="containsText" text="Open">
      <formula>NOT(ISERROR(SEARCH("Open",J1)))</formula>
    </cfRule>
    <cfRule type="containsText" dxfId="597" priority="6" operator="containsText" text="Inprogress">
      <formula>NOT(ISERROR(SEARCH("Inprogress",J1)))</formula>
    </cfRule>
  </conditionalFormatting>
  <conditionalFormatting sqref="I2:I29">
    <cfRule type="containsText" dxfId="596" priority="1" operator="containsText" text="Closed">
      <formula>NOT(ISERROR(SEARCH("Closed",I2)))</formula>
    </cfRule>
    <cfRule type="containsText" dxfId="595" priority="2" operator="containsText" text="Open">
      <formula>NOT(ISERROR(SEARCH("Open",I2)))</formula>
    </cfRule>
    <cfRule type="containsText" dxfId="594" priority="3" operator="containsText" text="Inprogress">
      <formula>NOT(ISERROR(SEARCH("Inprogress",I2)))</formula>
    </cfRule>
  </conditionalFormatting>
  <dataValidations count="11">
    <dataValidation type="list" showErrorMessage="1" sqref="P1" xr:uid="{12B9DEE3-FC56-4940-8F10-28E633A17339}">
      <formula1>"Qadir,Rijo,Karthik,Sushmitha,None,TBD"</formula1>
    </dataValidation>
    <dataValidation type="list" showErrorMessage="1" sqref="R1" xr:uid="{65600E78-E7D4-40D6-BFF0-A94BA64162AC}">
      <formula1>"Qadir,Rijo,Karthik,None,TBD"</formula1>
    </dataValidation>
    <dataValidation type="list" showErrorMessage="1" sqref="Q1" xr:uid="{C37CE75D-E819-4DFA-BF10-495E3062C722}">
      <formula1>"Pass,Fail(BacktoDev),DB Script tests in QA DB,TBD"</formula1>
    </dataValidation>
    <dataValidation type="list" showErrorMessage="1" sqref="AC1" xr:uid="{AF70E597-D9F7-4F45-89BD-942628D4ECC9}">
      <formula1>"Pending-Waiting for Customer confirmation, Approved-Satisified AC,Not Approved-New minor changes requested(Back to Dev),NA,TBD"</formula1>
    </dataValidation>
    <dataValidation type="list" showErrorMessage="1" sqref="AB1" xr:uid="{FD4D9136-AFF7-4E2D-AA1B-9477CF5F28F9}">
      <formula1>"Approved-Satisified AC,Not Approved(Back to Dev),NA,TBD"</formula1>
    </dataValidation>
    <dataValidation type="list" showErrorMessage="1" sqref="S1:T1 X1 AA1" xr:uid="{4E880E0A-18AC-4410-8847-F7669709E666}">
      <formula1>"No issues found,Issues observed(BacktoDev),DB Script tests in QA DB,NA,TBD"</formula1>
    </dataValidation>
    <dataValidation type="list" showErrorMessage="1" sqref="Y1:Z1 W1 O1" xr:uid="{87C90C33-A979-48B2-B22C-C64B1E02D1E7}">
      <formula1>"Open,Inprogress,Completed,TBD,NA"</formula1>
    </dataValidation>
    <dataValidation allowBlank="1" showInputMessage="1" showErrorMessage="1" sqref="AD1:AE1" xr:uid="{81B98ADD-8664-4A2E-980F-113BBDD27C01}"/>
    <dataValidation showErrorMessage="1" sqref="I1" xr:uid="{8EFD6EEA-EC03-4CF7-8385-8CB0B1337C83}"/>
    <dataValidation type="list" allowBlank="1" showErrorMessage="1" sqref="J1" xr:uid="{90A69CFE-99DF-4D83-A4ED-535BDC323399}">
      <formula1>"Open,Inprogress,Closed"</formula1>
    </dataValidation>
    <dataValidation type="list" allowBlank="1" showInputMessage="1" showErrorMessage="1" sqref="AE2:AE4 AE6:AE15 AE19 AE25" xr:uid="{77AEAEB4-1B56-4566-A26A-9659D87D94F8}">
      <formula1>"Exceeds Expectation,Meets Expectation,Needs improvements"</formula1>
    </dataValidation>
  </dataValidations>
  <hyperlinks>
    <hyperlink ref="T17" r:id="rId1" xr:uid="{DAB97ADF-5DF3-4069-AABB-94CC17492445}"/>
    <hyperlink ref="T22" r:id="rId2" xr:uid="{E41ADA57-B2DA-48A8-8369-7442603FCF6C}"/>
    <hyperlink ref="T4" r:id="rId3" xr:uid="{C495248B-2F57-4398-A40B-459683F4666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F237138-CB3C-4344-951E-612C9AB8EF88}">
          <x14:formula1>
            <xm:f>Settings!$C$3:$C$20</xm:f>
          </x14:formula1>
          <xm:sqref>I2:I29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CA111-5129-405B-AACF-CCD368775607}">
  <dimension ref="A1:M29"/>
  <sheetViews>
    <sheetView workbookViewId="0">
      <selection activeCell="M9" sqref="M9"/>
    </sheetView>
  </sheetViews>
  <sheetFormatPr defaultRowHeight="12.75"/>
  <cols>
    <col min="2" max="2" width="25.42578125" customWidth="1"/>
    <col min="3" max="3" width="14.7109375" customWidth="1"/>
    <col min="4" max="4" width="11.5703125" customWidth="1"/>
    <col min="7" max="7" width="45.5703125" customWidth="1"/>
    <col min="8" max="8" width="9.42578125" bestFit="1" customWidth="1"/>
    <col min="9" max="9" width="11.7109375" customWidth="1"/>
    <col min="11" max="11" width="14.42578125" bestFit="1" customWidth="1"/>
    <col min="12" max="12" width="18.7109375" customWidth="1"/>
    <col min="13" max="13" width="35.85546875" customWidth="1"/>
  </cols>
  <sheetData>
    <row r="1" spans="1:13" ht="22.5" customHeight="1">
      <c r="A1" s="586" t="s">
        <v>266</v>
      </c>
      <c r="B1" s="155" t="s">
        <v>10</v>
      </c>
      <c r="C1" s="280" t="s">
        <v>267</v>
      </c>
      <c r="D1" s="280" t="s">
        <v>268</v>
      </c>
      <c r="E1" s="155" t="s">
        <v>269</v>
      </c>
      <c r="F1" s="280" t="s">
        <v>270</v>
      </c>
      <c r="G1" s="280" t="s">
        <v>271</v>
      </c>
      <c r="H1" s="155" t="s">
        <v>272</v>
      </c>
      <c r="I1" s="155" t="s">
        <v>273</v>
      </c>
      <c r="J1" s="155" t="s">
        <v>274</v>
      </c>
      <c r="K1" s="155" t="s">
        <v>275</v>
      </c>
      <c r="L1" s="605" t="s">
        <v>276</v>
      </c>
      <c r="M1" s="468" t="s">
        <v>277</v>
      </c>
    </row>
    <row r="2" spans="1:13" ht="46.5">
      <c r="A2" s="147">
        <v>1</v>
      </c>
      <c r="B2" s="146" t="s">
        <v>1876</v>
      </c>
      <c r="C2" s="147">
        <v>26241</v>
      </c>
      <c r="D2" s="590"/>
      <c r="E2" s="147" t="s">
        <v>313</v>
      </c>
      <c r="F2" s="598" t="s">
        <v>522</v>
      </c>
      <c r="G2" s="146" t="s">
        <v>1686</v>
      </c>
      <c r="H2" s="513" t="s">
        <v>1670</v>
      </c>
      <c r="I2" s="598" t="s">
        <v>518</v>
      </c>
      <c r="J2" s="513" t="s">
        <v>525</v>
      </c>
      <c r="K2" s="598" t="s">
        <v>1205</v>
      </c>
      <c r="L2" s="68" t="s">
        <v>526</v>
      </c>
      <c r="M2" s="373" t="s">
        <v>1772</v>
      </c>
    </row>
    <row r="3" spans="1:13" ht="104.25">
      <c r="A3" s="188">
        <v>2</v>
      </c>
      <c r="B3" s="146" t="s">
        <v>1876</v>
      </c>
      <c r="C3" s="146">
        <v>26254</v>
      </c>
      <c r="D3" s="590"/>
      <c r="E3" s="626" t="s">
        <v>1673</v>
      </c>
      <c r="F3" s="639" t="s">
        <v>522</v>
      </c>
      <c r="G3" s="146" t="s">
        <v>1877</v>
      </c>
      <c r="H3" s="513" t="s">
        <v>1670</v>
      </c>
      <c r="I3" s="598" t="s">
        <v>518</v>
      </c>
      <c r="J3" s="513" t="s">
        <v>525</v>
      </c>
      <c r="K3" s="598" t="s">
        <v>1671</v>
      </c>
      <c r="L3" s="62" t="s">
        <v>529</v>
      </c>
      <c r="M3" s="629" t="s">
        <v>1878</v>
      </c>
    </row>
    <row r="4" spans="1:13" ht="104.25">
      <c r="A4" s="147">
        <v>3</v>
      </c>
      <c r="B4" s="146" t="s">
        <v>1876</v>
      </c>
      <c r="C4" s="146" t="s">
        <v>1787</v>
      </c>
      <c r="D4" s="511"/>
      <c r="E4" s="147" t="s">
        <v>1673</v>
      </c>
      <c r="F4" s="639" t="s">
        <v>522</v>
      </c>
      <c r="G4" s="146" t="s">
        <v>1788</v>
      </c>
      <c r="H4" s="513" t="s">
        <v>1670</v>
      </c>
      <c r="I4" s="598" t="s">
        <v>518</v>
      </c>
      <c r="J4" s="513" t="s">
        <v>519</v>
      </c>
      <c r="K4" s="598" t="s">
        <v>1674</v>
      </c>
      <c r="L4" s="62" t="s">
        <v>529</v>
      </c>
      <c r="M4" s="629" t="s">
        <v>1879</v>
      </c>
    </row>
    <row r="5" spans="1:13" ht="92.25">
      <c r="A5" s="147">
        <v>4</v>
      </c>
      <c r="B5" s="146" t="s">
        <v>1876</v>
      </c>
      <c r="C5" s="510" t="s">
        <v>1856</v>
      </c>
      <c r="D5" s="511"/>
      <c r="E5" s="147" t="s">
        <v>1673</v>
      </c>
      <c r="F5" s="512" t="s">
        <v>522</v>
      </c>
      <c r="G5" s="146" t="s">
        <v>1880</v>
      </c>
      <c r="H5" s="513" t="s">
        <v>1670</v>
      </c>
      <c r="I5" s="598" t="s">
        <v>518</v>
      </c>
      <c r="J5" s="513" t="s">
        <v>519</v>
      </c>
      <c r="K5" s="598" t="s">
        <v>1674</v>
      </c>
      <c r="L5" s="62" t="s">
        <v>529</v>
      </c>
      <c r="M5" s="96" t="s">
        <v>1881</v>
      </c>
    </row>
    <row r="6" spans="1:13" ht="58.5">
      <c r="A6" s="147">
        <v>5</v>
      </c>
      <c r="B6" s="146" t="s">
        <v>1876</v>
      </c>
      <c r="C6" s="510" t="s">
        <v>1822</v>
      </c>
      <c r="D6" s="511"/>
      <c r="E6" s="147" t="s">
        <v>1673</v>
      </c>
      <c r="F6" s="512" t="s">
        <v>522</v>
      </c>
      <c r="G6" s="146" t="s">
        <v>1882</v>
      </c>
      <c r="H6" s="513" t="s">
        <v>1670</v>
      </c>
      <c r="I6" s="598" t="s">
        <v>518</v>
      </c>
      <c r="J6" s="513" t="s">
        <v>519</v>
      </c>
      <c r="K6" s="598" t="s">
        <v>1674</v>
      </c>
      <c r="L6" s="62" t="s">
        <v>529</v>
      </c>
      <c r="M6" s="146" t="s">
        <v>1883</v>
      </c>
    </row>
    <row r="7" spans="1:13" ht="35.25">
      <c r="A7" s="147">
        <v>6</v>
      </c>
      <c r="B7" s="146" t="s">
        <v>1876</v>
      </c>
      <c r="C7" s="147" t="s">
        <v>1860</v>
      </c>
      <c r="D7" s="511"/>
      <c r="E7" s="147" t="s">
        <v>1673</v>
      </c>
      <c r="F7" s="512" t="s">
        <v>522</v>
      </c>
      <c r="G7" s="146" t="s">
        <v>1884</v>
      </c>
      <c r="H7" s="513" t="s">
        <v>1670</v>
      </c>
      <c r="I7" s="598" t="s">
        <v>518</v>
      </c>
      <c r="J7" s="513" t="s">
        <v>519</v>
      </c>
      <c r="K7" s="598" t="s">
        <v>1674</v>
      </c>
      <c r="L7" s="62" t="s">
        <v>529</v>
      </c>
      <c r="M7" s="146" t="s">
        <v>1885</v>
      </c>
    </row>
    <row r="8" spans="1:13" ht="35.25">
      <c r="A8" s="147">
        <v>7</v>
      </c>
      <c r="B8" s="146" t="s">
        <v>1876</v>
      </c>
      <c r="C8" s="147" t="s">
        <v>1886</v>
      </c>
      <c r="D8" s="511"/>
      <c r="E8" s="147" t="s">
        <v>1673</v>
      </c>
      <c r="F8" s="512" t="s">
        <v>522</v>
      </c>
      <c r="G8" s="146" t="s">
        <v>1887</v>
      </c>
      <c r="H8" s="513" t="s">
        <v>1670</v>
      </c>
      <c r="I8" s="598" t="s">
        <v>518</v>
      </c>
      <c r="J8" s="513" t="s">
        <v>519</v>
      </c>
      <c r="K8" s="598" t="s">
        <v>1674</v>
      </c>
      <c r="L8" s="62" t="s">
        <v>1325</v>
      </c>
      <c r="M8" s="146" t="s">
        <v>1888</v>
      </c>
    </row>
    <row r="9" spans="1:13" ht="35.25">
      <c r="A9" s="147">
        <v>8</v>
      </c>
      <c r="B9" s="146" t="s">
        <v>1876</v>
      </c>
      <c r="C9" s="147" t="s">
        <v>1619</v>
      </c>
      <c r="D9" s="511"/>
      <c r="E9" s="147" t="s">
        <v>1673</v>
      </c>
      <c r="F9" s="512" t="s">
        <v>522</v>
      </c>
      <c r="G9" s="146" t="s">
        <v>1542</v>
      </c>
      <c r="H9" s="513" t="s">
        <v>1670</v>
      </c>
      <c r="I9" s="598" t="s">
        <v>518</v>
      </c>
      <c r="J9" s="513" t="s">
        <v>519</v>
      </c>
      <c r="K9" s="512" t="s">
        <v>1205</v>
      </c>
      <c r="L9" s="62" t="s">
        <v>1325</v>
      </c>
      <c r="M9" s="373" t="s">
        <v>1675</v>
      </c>
    </row>
    <row r="10" spans="1:13" ht="69">
      <c r="A10" s="147">
        <v>9</v>
      </c>
      <c r="B10" s="146" t="s">
        <v>1876</v>
      </c>
      <c r="C10" s="147" t="s">
        <v>1798</v>
      </c>
      <c r="D10" s="511"/>
      <c r="E10" s="147" t="s">
        <v>1673</v>
      </c>
      <c r="F10" s="512" t="s">
        <v>522</v>
      </c>
      <c r="G10" s="146" t="s">
        <v>1889</v>
      </c>
      <c r="H10" s="513" t="s">
        <v>1670</v>
      </c>
      <c r="I10" s="598" t="s">
        <v>518</v>
      </c>
      <c r="J10" s="513" t="s">
        <v>519</v>
      </c>
      <c r="K10" s="512" t="s">
        <v>1674</v>
      </c>
      <c r="L10" s="62" t="s">
        <v>529</v>
      </c>
      <c r="M10" s="146" t="s">
        <v>1890</v>
      </c>
    </row>
    <row r="11" spans="1:13" ht="23.25">
      <c r="A11" s="147">
        <v>10</v>
      </c>
      <c r="B11" s="146" t="s">
        <v>1876</v>
      </c>
      <c r="C11" s="147" t="s">
        <v>1757</v>
      </c>
      <c r="D11" s="511"/>
      <c r="E11" s="147" t="s">
        <v>1673</v>
      </c>
      <c r="F11" s="512" t="s">
        <v>522</v>
      </c>
      <c r="G11" s="146" t="s">
        <v>1773</v>
      </c>
      <c r="H11" s="165" t="s">
        <v>1670</v>
      </c>
      <c r="I11" s="512" t="s">
        <v>518</v>
      </c>
      <c r="J11" s="165" t="s">
        <v>519</v>
      </c>
      <c r="K11" s="512" t="s">
        <v>1205</v>
      </c>
      <c r="L11" s="62" t="s">
        <v>529</v>
      </c>
      <c r="M11" s="146" t="s">
        <v>1069</v>
      </c>
    </row>
    <row r="12" spans="1:13">
      <c r="A12" s="147"/>
      <c r="B12" s="146"/>
      <c r="C12" s="147"/>
      <c r="D12" s="511"/>
      <c r="E12" s="147"/>
      <c r="F12" s="512"/>
      <c r="G12" s="146"/>
      <c r="H12" s="165"/>
      <c r="I12" s="512"/>
      <c r="J12" s="165"/>
      <c r="K12" s="512"/>
      <c r="L12" s="62"/>
      <c r="M12" s="147"/>
    </row>
    <row r="13" spans="1:13">
      <c r="A13" s="147"/>
      <c r="B13" s="146"/>
      <c r="C13" s="147"/>
      <c r="D13" s="511"/>
      <c r="E13" s="147"/>
      <c r="F13" s="512"/>
      <c r="G13" s="146"/>
      <c r="H13" s="165"/>
      <c r="I13" s="512"/>
      <c r="J13" s="165"/>
      <c r="K13" s="512"/>
      <c r="L13" s="62"/>
      <c r="M13" s="147"/>
    </row>
    <row r="14" spans="1:13">
      <c r="A14" s="147"/>
      <c r="B14" s="146"/>
      <c r="C14" s="147"/>
      <c r="D14" s="511"/>
      <c r="E14" s="147"/>
      <c r="F14" s="512"/>
      <c r="G14" s="146"/>
      <c r="H14" s="165"/>
      <c r="I14" s="512"/>
      <c r="J14" s="165"/>
      <c r="K14" s="512"/>
      <c r="L14" s="62"/>
      <c r="M14" s="147"/>
    </row>
    <row r="15" spans="1:13">
      <c r="A15" s="147"/>
      <c r="B15" s="146"/>
      <c r="C15" s="147"/>
      <c r="D15" s="511"/>
      <c r="E15" s="147"/>
      <c r="F15" s="512"/>
      <c r="G15" s="146"/>
      <c r="H15" s="165"/>
      <c r="I15" s="512"/>
      <c r="J15" s="165"/>
      <c r="K15" s="512"/>
      <c r="L15" s="62"/>
      <c r="M15" s="147"/>
    </row>
    <row r="16" spans="1:13">
      <c r="A16" s="147"/>
      <c r="B16" s="146"/>
      <c r="C16" s="147"/>
      <c r="D16" s="511"/>
      <c r="E16" s="147"/>
      <c r="F16" s="512"/>
      <c r="G16" s="146"/>
      <c r="H16" s="165"/>
      <c r="I16" s="512"/>
      <c r="J16" s="165"/>
      <c r="K16" s="512"/>
      <c r="L16" s="62"/>
      <c r="M16" s="147"/>
    </row>
    <row r="17" spans="1:13">
      <c r="A17" s="147"/>
      <c r="B17" s="146"/>
      <c r="C17" s="147"/>
      <c r="D17" s="511"/>
      <c r="E17" s="147"/>
      <c r="F17" s="512"/>
      <c r="G17" s="146"/>
      <c r="H17" s="165"/>
      <c r="I17" s="512"/>
      <c r="J17" s="165"/>
      <c r="K17" s="512"/>
      <c r="L17" s="62"/>
      <c r="M17" s="147"/>
    </row>
    <row r="18" spans="1:13">
      <c r="A18" s="147"/>
      <c r="B18" s="146"/>
      <c r="C18" s="147"/>
      <c r="D18" s="511"/>
      <c r="E18" s="147"/>
      <c r="F18" s="512"/>
      <c r="G18" s="146"/>
      <c r="H18" s="165"/>
      <c r="I18" s="512"/>
      <c r="J18" s="165"/>
      <c r="K18" s="512"/>
      <c r="L18" s="62"/>
      <c r="M18" s="147"/>
    </row>
    <row r="19" spans="1:13">
      <c r="A19" s="147"/>
      <c r="B19" s="146"/>
      <c r="C19" s="147"/>
      <c r="D19" s="511"/>
      <c r="E19" s="147"/>
      <c r="F19" s="512"/>
      <c r="G19" s="146"/>
      <c r="H19" s="165"/>
      <c r="I19" s="512"/>
      <c r="J19" s="165"/>
      <c r="K19" s="512"/>
      <c r="L19" s="62"/>
      <c r="M19" s="147"/>
    </row>
    <row r="20" spans="1:13">
      <c r="A20" s="147"/>
      <c r="B20" s="146"/>
      <c r="C20" s="147"/>
      <c r="D20" s="511"/>
      <c r="E20" s="147"/>
      <c r="F20" s="512"/>
      <c r="G20" s="146"/>
      <c r="H20" s="165"/>
      <c r="I20" s="512"/>
      <c r="J20" s="165"/>
      <c r="K20" s="512"/>
      <c r="L20" s="62"/>
      <c r="M20" s="147"/>
    </row>
    <row r="21" spans="1:13">
      <c r="A21" s="147"/>
      <c r="B21" s="146"/>
      <c r="C21" s="147"/>
      <c r="D21" s="511"/>
      <c r="E21" s="147"/>
      <c r="F21" s="512"/>
      <c r="G21" s="146"/>
      <c r="H21" s="165"/>
      <c r="I21" s="512"/>
      <c r="J21" s="165"/>
      <c r="K21" s="512"/>
      <c r="L21" s="62"/>
      <c r="M21" s="147"/>
    </row>
    <row r="22" spans="1:13">
      <c r="A22" s="147"/>
      <c r="B22" s="146"/>
      <c r="C22" s="147"/>
      <c r="D22" s="511"/>
      <c r="E22" s="147"/>
      <c r="F22" s="512"/>
      <c r="G22" s="146"/>
      <c r="H22" s="165"/>
      <c r="I22" s="512"/>
      <c r="J22" s="165"/>
      <c r="K22" s="512"/>
      <c r="L22" s="62"/>
      <c r="M22" s="147"/>
    </row>
    <row r="23" spans="1:13">
      <c r="A23" s="93"/>
      <c r="B23" s="77"/>
      <c r="C23" s="93"/>
      <c r="D23" s="511"/>
      <c r="E23" s="93"/>
      <c r="F23" s="512"/>
      <c r="G23" s="96"/>
      <c r="H23" s="165"/>
      <c r="I23" s="512"/>
      <c r="J23" s="165"/>
      <c r="K23" s="512"/>
      <c r="L23" s="62"/>
      <c r="M23" s="93"/>
    </row>
    <row r="24" spans="1:13">
      <c r="A24" s="93"/>
      <c r="B24" s="77"/>
      <c r="C24" s="93"/>
      <c r="D24" s="511"/>
      <c r="E24" s="93"/>
      <c r="F24" s="512"/>
      <c r="G24" s="96"/>
      <c r="H24" s="165"/>
      <c r="I24" s="512"/>
      <c r="J24" s="165"/>
      <c r="K24" s="512"/>
      <c r="L24" s="62"/>
      <c r="M24" s="93"/>
    </row>
    <row r="25" spans="1:13">
      <c r="A25" s="93"/>
      <c r="B25" s="77"/>
      <c r="C25" s="93"/>
      <c r="D25" s="511"/>
      <c r="E25" s="93"/>
      <c r="F25" s="512"/>
      <c r="G25" s="96"/>
      <c r="H25" s="165"/>
      <c r="I25" s="512"/>
      <c r="J25" s="165"/>
      <c r="K25" s="512"/>
      <c r="L25" s="62"/>
      <c r="M25" s="93"/>
    </row>
    <row r="26" spans="1:13">
      <c r="A26" s="93"/>
      <c r="B26" s="77"/>
      <c r="C26" s="93"/>
      <c r="D26" s="511"/>
      <c r="E26" s="93"/>
      <c r="F26" s="512"/>
      <c r="G26" s="96"/>
      <c r="H26" s="165"/>
      <c r="I26" s="512"/>
      <c r="J26" s="165"/>
      <c r="K26" s="512"/>
      <c r="L26" s="62"/>
      <c r="M26" s="93"/>
    </row>
    <row r="27" spans="1:13">
      <c r="A27" s="93"/>
      <c r="B27" s="77"/>
      <c r="C27" s="93"/>
      <c r="D27" s="511"/>
      <c r="E27" s="93"/>
      <c r="F27" s="512"/>
      <c r="G27" s="96"/>
      <c r="H27" s="165"/>
      <c r="I27" s="512"/>
      <c r="J27" s="165"/>
      <c r="K27" s="512"/>
      <c r="L27" s="62"/>
      <c r="M27" s="93"/>
    </row>
    <row r="28" spans="1:13">
      <c r="A28" s="93"/>
      <c r="B28" s="77"/>
      <c r="C28" s="93"/>
      <c r="D28" s="511"/>
      <c r="E28" s="93"/>
      <c r="F28" s="512"/>
      <c r="G28" s="96"/>
      <c r="H28" s="165"/>
      <c r="I28" s="512"/>
      <c r="J28" s="165"/>
      <c r="K28" s="512"/>
      <c r="L28" s="62"/>
      <c r="M28" s="93"/>
    </row>
    <row r="29" spans="1:13">
      <c r="A29" s="93"/>
      <c r="B29" s="77"/>
      <c r="C29" s="93"/>
      <c r="D29" s="511"/>
      <c r="E29" s="93"/>
      <c r="F29" s="512"/>
      <c r="G29" s="96"/>
      <c r="H29" s="165"/>
      <c r="I29" s="512"/>
      <c r="J29" s="165"/>
      <c r="K29" s="512"/>
      <c r="L29" s="62"/>
      <c r="M29" s="93"/>
    </row>
  </sheetData>
  <dataValidations count="5">
    <dataValidation type="list" allowBlank="1" showErrorMessage="1" sqref="K2:K29" xr:uid="{41475071-3EC8-4EB5-B4F5-42D31A14E731}">
      <formula1>"Open,Inprogress,Closed/Rejected"</formula1>
    </dataValidation>
    <dataValidation type="list" allowBlank="1" showErrorMessage="1" sqref="I2:I29" xr:uid="{3D50314B-3FDE-402F-8479-ABE2763224DA}">
      <formula1>"Manual, Automation"</formula1>
    </dataValidation>
    <dataValidation type="list" allowBlank="1" showErrorMessage="1" sqref="H2:H29" xr:uid="{A912563D-6605-4E19-9868-169F876E7DA0}">
      <formula1>"Minor,Significant,Major"</formula1>
    </dataValidation>
    <dataValidation type="list" allowBlank="1" showErrorMessage="1" sqref="J2:J29" xr:uid="{B788851D-1667-439F-8A2E-5027CF91AC86}">
      <formula1>"Internal,External"</formula1>
    </dataValidation>
    <dataValidation type="list" allowBlank="1" showErrorMessage="1" sqref="F2:F29" xr:uid="{04172206-13E5-4572-970A-739728480721}">
      <formula1>"Bounceback/Sub-Defect,Defect,None"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579F9FB-D6AC-4B36-A4B3-3FDAC3EE02D9}">
          <x14:formula1>
            <xm:f>Details!$A$2:$A$10</xm:f>
          </x14:formula1>
          <xm:sqref>L2:L29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F3ECF-5A12-4670-BE82-70CDCE6ED479}">
  <dimension ref="A1:AO22"/>
  <sheetViews>
    <sheetView topLeftCell="A20" workbookViewId="0">
      <selection activeCell="A8" sqref="A8"/>
    </sheetView>
  </sheetViews>
  <sheetFormatPr defaultRowHeight="12.75"/>
  <cols>
    <col min="2" max="2" width="11.42578125" customWidth="1"/>
    <col min="3" max="3" width="14.5703125" customWidth="1"/>
    <col min="4" max="4" width="11.5703125" customWidth="1"/>
    <col min="5" max="5" width="14.85546875" customWidth="1"/>
    <col min="6" max="6" width="10.5703125" customWidth="1"/>
    <col min="7" max="7" width="11.5703125" customWidth="1"/>
    <col min="8" max="8" width="26" customWidth="1"/>
    <col min="9" max="9" width="13" customWidth="1"/>
    <col min="13" max="13" width="11.28515625" customWidth="1"/>
    <col min="14" max="14" width="11.42578125" customWidth="1"/>
    <col min="15" max="15" width="14" customWidth="1"/>
    <col min="20" max="20" width="20.140625" customWidth="1"/>
    <col min="21" max="21" width="10.85546875" customWidth="1"/>
    <col min="22" max="22" width="11" customWidth="1"/>
    <col min="30" max="30" width="15.42578125" customWidth="1"/>
    <col min="31" max="31" width="11.7109375" customWidth="1"/>
    <col min="32" max="32" width="12.140625" customWidth="1"/>
    <col min="33" max="33" width="20.7109375" customWidth="1"/>
    <col min="34" max="34" width="11.42578125" customWidth="1"/>
    <col min="35" max="35" width="17.5703125" customWidth="1"/>
    <col min="36" max="36" width="21.28515625" customWidth="1"/>
    <col min="37" max="37" width="12" customWidth="1"/>
    <col min="38" max="38" width="10.7109375" customWidth="1"/>
    <col min="39" max="39" width="11" customWidth="1"/>
    <col min="40" max="40" width="11.5703125" customWidth="1"/>
    <col min="41" max="41" width="10.42578125" customWidth="1"/>
  </cols>
  <sheetData>
    <row r="1" spans="1:41"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284</v>
      </c>
      <c r="N1" s="247" t="s">
        <v>285</v>
      </c>
      <c r="O1" s="247" t="s">
        <v>286</v>
      </c>
      <c r="P1" s="247" t="s">
        <v>287</v>
      </c>
      <c r="Q1" s="247" t="s">
        <v>288</v>
      </c>
      <c r="R1" s="247" t="s">
        <v>289</v>
      </c>
      <c r="S1" s="247" t="s">
        <v>290</v>
      </c>
      <c r="T1" s="446" t="s">
        <v>291</v>
      </c>
      <c r="U1" s="516" t="s">
        <v>292</v>
      </c>
      <c r="V1" s="516" t="s">
        <v>293</v>
      </c>
      <c r="W1" s="247" t="s">
        <v>294</v>
      </c>
      <c r="X1" s="247" t="s">
        <v>295</v>
      </c>
      <c r="Y1" s="247" t="s">
        <v>296</v>
      </c>
      <c r="Z1" s="516" t="s">
        <v>297</v>
      </c>
      <c r="AA1" s="247" t="s">
        <v>298</v>
      </c>
      <c r="AB1" s="247" t="s">
        <v>299</v>
      </c>
      <c r="AC1" s="247" t="s">
        <v>300</v>
      </c>
      <c r="AD1" s="517" t="s">
        <v>277</v>
      </c>
      <c r="AE1" s="247" t="s">
        <v>301</v>
      </c>
      <c r="AF1" s="518">
        <v>45938</v>
      </c>
      <c r="AG1" s="518">
        <v>45939</v>
      </c>
      <c r="AH1" s="518">
        <v>45940</v>
      </c>
      <c r="AI1" s="518">
        <v>45943</v>
      </c>
      <c r="AJ1" s="518">
        <v>45944</v>
      </c>
      <c r="AK1" s="611">
        <v>45945</v>
      </c>
      <c r="AL1" s="518">
        <v>45946</v>
      </c>
      <c r="AM1" s="518">
        <v>45947</v>
      </c>
      <c r="AN1" s="518">
        <v>45950</v>
      </c>
      <c r="AO1" s="518">
        <v>45951</v>
      </c>
    </row>
    <row r="2" spans="1:41" ht="150.75">
      <c r="A2" s="93">
        <v>1</v>
      </c>
      <c r="B2" s="635" t="s">
        <v>5</v>
      </c>
      <c r="C2" s="636">
        <v>45938</v>
      </c>
      <c r="D2" s="636">
        <v>45951</v>
      </c>
      <c r="E2" s="235" t="s">
        <v>1891</v>
      </c>
      <c r="F2" s="235" t="s">
        <v>1892</v>
      </c>
      <c r="G2" s="129" t="s">
        <v>1893</v>
      </c>
      <c r="H2" s="235" t="s">
        <v>1894</v>
      </c>
      <c r="I2" s="635" t="s">
        <v>376</v>
      </c>
      <c r="J2" s="235">
        <v>0</v>
      </c>
      <c r="K2" s="235">
        <v>11.561999999999999</v>
      </c>
      <c r="L2" s="235">
        <v>46.25</v>
      </c>
      <c r="M2" s="158">
        <v>45938</v>
      </c>
      <c r="N2" s="158">
        <v>45944</v>
      </c>
      <c r="O2" s="96" t="s">
        <v>12</v>
      </c>
      <c r="P2" s="93" t="s">
        <v>313</v>
      </c>
      <c r="Q2" s="96" t="s">
        <v>316</v>
      </c>
      <c r="R2" s="96" t="s">
        <v>317</v>
      </c>
      <c r="S2" s="96" t="s">
        <v>316</v>
      </c>
      <c r="T2" s="539" t="s">
        <v>1895</v>
      </c>
      <c r="U2" s="158">
        <v>45944</v>
      </c>
      <c r="V2" s="158">
        <v>45944</v>
      </c>
      <c r="W2" s="96" t="s">
        <v>316</v>
      </c>
      <c r="X2" s="96" t="s">
        <v>319</v>
      </c>
      <c r="Y2" s="96" t="s">
        <v>319</v>
      </c>
      <c r="Z2" s="96" t="s">
        <v>320</v>
      </c>
      <c r="AA2" s="96" t="s">
        <v>316</v>
      </c>
      <c r="AB2" s="96" t="s">
        <v>316</v>
      </c>
      <c r="AC2" s="96" t="s">
        <v>316</v>
      </c>
      <c r="AD2" s="93" t="s">
        <v>1896</v>
      </c>
      <c r="AE2" s="490" t="s">
        <v>423</v>
      </c>
      <c r="AF2" s="96" t="s">
        <v>1897</v>
      </c>
      <c r="AG2" s="96" t="s">
        <v>1898</v>
      </c>
      <c r="AH2" s="96" t="s">
        <v>1899</v>
      </c>
      <c r="AI2" s="96" t="s">
        <v>1900</v>
      </c>
      <c r="AJ2" s="96" t="s">
        <v>1901</v>
      </c>
      <c r="AK2" s="96" t="s">
        <v>1902</v>
      </c>
      <c r="AL2" s="93" t="s">
        <v>1903</v>
      </c>
      <c r="AM2" s="96" t="s">
        <v>1904</v>
      </c>
      <c r="AN2" s="93" t="s">
        <v>1905</v>
      </c>
      <c r="AO2" s="93" t="s">
        <v>576</v>
      </c>
    </row>
    <row r="3" spans="1:41" ht="81">
      <c r="A3" s="93">
        <v>2</v>
      </c>
      <c r="B3" s="635" t="s">
        <v>5</v>
      </c>
      <c r="C3" s="636">
        <v>45938</v>
      </c>
      <c r="D3" s="636">
        <v>45951</v>
      </c>
      <c r="E3" s="235" t="s">
        <v>1891</v>
      </c>
      <c r="F3" s="93" t="s">
        <v>313</v>
      </c>
      <c r="G3" s="93">
        <v>26102</v>
      </c>
      <c r="H3" s="96" t="s">
        <v>1906</v>
      </c>
      <c r="I3" s="635" t="s">
        <v>306</v>
      </c>
      <c r="J3" s="93">
        <v>2</v>
      </c>
      <c r="K3" s="93">
        <v>2</v>
      </c>
      <c r="L3" s="93">
        <v>8</v>
      </c>
      <c r="M3" s="158">
        <v>45938</v>
      </c>
      <c r="N3" s="158">
        <v>45938</v>
      </c>
      <c r="O3" s="96" t="s">
        <v>12</v>
      </c>
      <c r="P3" s="96" t="s">
        <v>315</v>
      </c>
      <c r="Q3" s="96" t="s">
        <v>316</v>
      </c>
      <c r="R3" s="96" t="s">
        <v>317</v>
      </c>
      <c r="S3" s="96" t="s">
        <v>316</v>
      </c>
      <c r="T3" s="130" t="s">
        <v>1907</v>
      </c>
      <c r="U3" s="158">
        <v>45938</v>
      </c>
      <c r="V3" s="158">
        <v>45938</v>
      </c>
      <c r="W3" s="96" t="s">
        <v>316</v>
      </c>
      <c r="X3" s="96" t="s">
        <v>319</v>
      </c>
      <c r="Y3" s="96" t="s">
        <v>319</v>
      </c>
      <c r="Z3" s="96" t="s">
        <v>320</v>
      </c>
      <c r="AA3" s="96" t="s">
        <v>316</v>
      </c>
      <c r="AB3" s="96" t="s">
        <v>316</v>
      </c>
      <c r="AC3" s="96" t="s">
        <v>316</v>
      </c>
      <c r="AD3" s="93" t="s">
        <v>12</v>
      </c>
      <c r="AE3" s="490" t="s">
        <v>423</v>
      </c>
      <c r="AF3" s="96" t="s">
        <v>1908</v>
      </c>
      <c r="AG3" s="96" t="s">
        <v>1909</v>
      </c>
      <c r="AH3" s="96" t="s">
        <v>1910</v>
      </c>
      <c r="AI3" s="96" t="s">
        <v>1911</v>
      </c>
      <c r="AJ3" s="93" t="s">
        <v>434</v>
      </c>
      <c r="AK3" s="93" t="s">
        <v>434</v>
      </c>
      <c r="AL3" s="93" t="s">
        <v>434</v>
      </c>
      <c r="AM3" s="93" t="s">
        <v>434</v>
      </c>
      <c r="AN3" s="93" t="s">
        <v>1905</v>
      </c>
      <c r="AO3" s="93" t="s">
        <v>434</v>
      </c>
    </row>
    <row r="4" spans="1:41" ht="92.25">
      <c r="A4" s="93">
        <v>3</v>
      </c>
      <c r="B4" s="635" t="s">
        <v>5</v>
      </c>
      <c r="C4" s="636">
        <v>45938</v>
      </c>
      <c r="D4" s="636">
        <v>45951</v>
      </c>
      <c r="E4" s="235" t="s">
        <v>1891</v>
      </c>
      <c r="F4" s="93" t="s">
        <v>1912</v>
      </c>
      <c r="G4" s="135" t="s">
        <v>1619</v>
      </c>
      <c r="H4" s="93" t="s">
        <v>1620</v>
      </c>
      <c r="I4" s="635" t="s">
        <v>348</v>
      </c>
      <c r="J4" s="93">
        <v>0</v>
      </c>
      <c r="K4" s="93"/>
      <c r="L4" s="93"/>
      <c r="M4" s="645">
        <v>45926</v>
      </c>
      <c r="N4" s="93"/>
      <c r="O4" s="93"/>
      <c r="P4" s="93"/>
      <c r="Q4" s="93"/>
      <c r="R4" s="93"/>
      <c r="S4" s="93"/>
      <c r="T4" s="93"/>
      <c r="U4" s="93"/>
      <c r="V4" s="93"/>
      <c r="W4" s="93"/>
      <c r="X4" s="93"/>
      <c r="Y4" s="93"/>
      <c r="Z4" s="93"/>
      <c r="AA4" s="93"/>
      <c r="AB4" s="93"/>
      <c r="AC4" s="93"/>
      <c r="AD4" s="93"/>
      <c r="AE4" s="93"/>
      <c r="AF4" s="93" t="s">
        <v>1913</v>
      </c>
      <c r="AG4" s="96" t="s">
        <v>1914</v>
      </c>
      <c r="AH4" s="93"/>
      <c r="AI4" s="96" t="s">
        <v>1915</v>
      </c>
      <c r="AJ4" s="96" t="s">
        <v>1916</v>
      </c>
      <c r="AK4" s="93" t="s">
        <v>1917</v>
      </c>
      <c r="AL4" s="93" t="s">
        <v>1918</v>
      </c>
      <c r="AM4" s="96" t="s">
        <v>1918</v>
      </c>
      <c r="AN4" s="93" t="s">
        <v>1905</v>
      </c>
      <c r="AO4" s="96" t="s">
        <v>1918</v>
      </c>
    </row>
    <row r="5" spans="1:41" ht="104.25">
      <c r="A5" s="93">
        <v>4</v>
      </c>
      <c r="B5" s="635" t="s">
        <v>5</v>
      </c>
      <c r="C5" s="636">
        <v>45938</v>
      </c>
      <c r="D5" s="636">
        <v>45951</v>
      </c>
      <c r="E5" s="235" t="s">
        <v>1891</v>
      </c>
      <c r="F5" s="93" t="s">
        <v>313</v>
      </c>
      <c r="G5" s="93" t="s">
        <v>1787</v>
      </c>
      <c r="H5" s="96" t="s">
        <v>1788</v>
      </c>
      <c r="I5" s="635" t="s">
        <v>348</v>
      </c>
      <c r="J5" s="93">
        <v>0</v>
      </c>
      <c r="K5" s="93"/>
      <c r="L5" s="93">
        <v>21</v>
      </c>
      <c r="M5" s="158">
        <v>45943</v>
      </c>
      <c r="N5" s="93"/>
      <c r="O5" s="93"/>
      <c r="P5" s="93"/>
      <c r="Q5" s="93"/>
      <c r="R5" s="93"/>
      <c r="S5" s="93"/>
      <c r="T5" s="93"/>
      <c r="U5" s="93"/>
      <c r="V5" s="93"/>
      <c r="W5" s="93"/>
      <c r="X5" s="93"/>
      <c r="Y5" s="93"/>
      <c r="Z5" s="93"/>
      <c r="AA5" s="93"/>
      <c r="AB5" s="93"/>
      <c r="AC5" s="93"/>
      <c r="AD5" s="96" t="s">
        <v>1919</v>
      </c>
      <c r="AE5" s="93"/>
      <c r="AF5" s="93" t="s">
        <v>1920</v>
      </c>
      <c r="AG5" s="96" t="s">
        <v>1921</v>
      </c>
      <c r="AH5" s="93"/>
      <c r="AI5" s="96" t="s">
        <v>1922</v>
      </c>
      <c r="AJ5" s="96" t="s">
        <v>1923</v>
      </c>
      <c r="AK5" s="96" t="s">
        <v>1924</v>
      </c>
      <c r="AL5" s="96" t="s">
        <v>1925</v>
      </c>
      <c r="AM5" s="100" t="s">
        <v>1926</v>
      </c>
      <c r="AN5" s="93" t="s">
        <v>1905</v>
      </c>
      <c r="AO5" s="100" t="s">
        <v>1926</v>
      </c>
    </row>
    <row r="6" spans="1:41" ht="185.25">
      <c r="A6" s="93">
        <v>5</v>
      </c>
      <c r="B6" s="635" t="s">
        <v>5</v>
      </c>
      <c r="C6" s="636">
        <v>45938</v>
      </c>
      <c r="D6" s="636">
        <v>45951</v>
      </c>
      <c r="E6" s="235" t="s">
        <v>1891</v>
      </c>
      <c r="F6" s="93" t="s">
        <v>313</v>
      </c>
      <c r="G6" s="93" t="s">
        <v>1856</v>
      </c>
      <c r="H6" s="96" t="s">
        <v>1880</v>
      </c>
      <c r="I6" s="635" t="s">
        <v>348</v>
      </c>
      <c r="J6" s="93">
        <v>0</v>
      </c>
      <c r="K6" s="93"/>
      <c r="L6" s="93">
        <v>10</v>
      </c>
      <c r="M6" s="158">
        <v>45939</v>
      </c>
      <c r="N6" s="93"/>
      <c r="O6" s="93"/>
      <c r="P6" s="93"/>
      <c r="Q6" s="93"/>
      <c r="R6" s="93"/>
      <c r="S6" s="93"/>
      <c r="T6" s="93"/>
      <c r="U6" s="93"/>
      <c r="V6" s="93"/>
      <c r="W6" s="93"/>
      <c r="X6" s="93"/>
      <c r="Y6" s="93"/>
      <c r="Z6" s="93"/>
      <c r="AA6" s="93"/>
      <c r="AB6" s="93"/>
      <c r="AC6" s="93"/>
      <c r="AD6" s="96" t="s">
        <v>1927</v>
      </c>
      <c r="AE6" s="93"/>
      <c r="AF6" s="93"/>
      <c r="AG6" s="96" t="s">
        <v>1928</v>
      </c>
      <c r="AH6" s="93"/>
      <c r="AI6" s="96" t="s">
        <v>1929</v>
      </c>
      <c r="AJ6" s="93" t="s">
        <v>1930</v>
      </c>
      <c r="AK6" s="93" t="s">
        <v>1931</v>
      </c>
      <c r="AL6" s="123" t="s">
        <v>1932</v>
      </c>
      <c r="AM6" s="96" t="s">
        <v>1933</v>
      </c>
      <c r="AN6" s="93" t="s">
        <v>1905</v>
      </c>
      <c r="AO6" s="135" t="s">
        <v>1934</v>
      </c>
    </row>
    <row r="7" spans="1:41" ht="35.25">
      <c r="A7" s="93">
        <v>6</v>
      </c>
      <c r="B7" s="635" t="s">
        <v>5</v>
      </c>
      <c r="C7" s="636">
        <v>45938</v>
      </c>
      <c r="D7" s="636">
        <v>45951</v>
      </c>
      <c r="E7" s="235" t="s">
        <v>1891</v>
      </c>
      <c r="F7" s="93" t="s">
        <v>315</v>
      </c>
      <c r="G7" s="93" t="s">
        <v>1935</v>
      </c>
      <c r="H7" s="96" t="s">
        <v>1936</v>
      </c>
      <c r="I7" s="635" t="s">
        <v>306</v>
      </c>
      <c r="J7" s="93">
        <v>0.5</v>
      </c>
      <c r="K7" s="93">
        <v>2</v>
      </c>
      <c r="L7" s="93">
        <v>8</v>
      </c>
      <c r="M7" s="158">
        <v>45939</v>
      </c>
      <c r="N7" s="158">
        <v>45939</v>
      </c>
      <c r="O7" s="183" t="s">
        <v>12</v>
      </c>
      <c r="P7" s="93" t="s">
        <v>313</v>
      </c>
      <c r="Q7" s="183" t="s">
        <v>316</v>
      </c>
      <c r="R7" s="183" t="s">
        <v>317</v>
      </c>
      <c r="S7" s="183" t="s">
        <v>316</v>
      </c>
      <c r="T7" s="556" t="s">
        <v>320</v>
      </c>
      <c r="U7" s="197" t="s">
        <v>320</v>
      </c>
      <c r="V7" s="93" t="s">
        <v>320</v>
      </c>
      <c r="W7" s="93" t="s">
        <v>320</v>
      </c>
      <c r="X7" s="93" t="s">
        <v>320</v>
      </c>
      <c r="Y7" s="556" t="s">
        <v>320</v>
      </c>
      <c r="Z7" s="556" t="s">
        <v>320</v>
      </c>
      <c r="AA7" s="197" t="s">
        <v>320</v>
      </c>
      <c r="AB7" s="93" t="s">
        <v>316</v>
      </c>
      <c r="AC7" s="93" t="s">
        <v>316</v>
      </c>
      <c r="AD7" s="146" t="s">
        <v>1937</v>
      </c>
      <c r="AE7" s="490" t="s">
        <v>423</v>
      </c>
      <c r="AF7" s="93"/>
      <c r="AG7" s="96" t="s">
        <v>1938</v>
      </c>
      <c r="AH7" s="93"/>
      <c r="AI7" s="93" t="s">
        <v>1939</v>
      </c>
      <c r="AJ7" s="93" t="s">
        <v>434</v>
      </c>
      <c r="AK7" s="93" t="s">
        <v>434</v>
      </c>
      <c r="AL7" s="93" t="s">
        <v>434</v>
      </c>
      <c r="AM7" s="93" t="s">
        <v>434</v>
      </c>
      <c r="AN7" s="93" t="s">
        <v>1905</v>
      </c>
      <c r="AO7" s="93" t="s">
        <v>434</v>
      </c>
    </row>
    <row r="8" spans="1:41" ht="35.25">
      <c r="A8" s="93">
        <v>7</v>
      </c>
      <c r="B8" s="635" t="s">
        <v>5</v>
      </c>
      <c r="C8" s="636">
        <v>45938</v>
      </c>
      <c r="D8" s="636">
        <v>45951</v>
      </c>
      <c r="E8" s="235" t="s">
        <v>1891</v>
      </c>
      <c r="F8" s="93" t="s">
        <v>313</v>
      </c>
      <c r="G8" s="197">
        <v>50376</v>
      </c>
      <c r="H8" s="96" t="s">
        <v>1940</v>
      </c>
      <c r="I8" s="635" t="s">
        <v>306</v>
      </c>
      <c r="J8" s="93">
        <v>0.5</v>
      </c>
      <c r="K8" s="93">
        <v>0.75</v>
      </c>
      <c r="L8" s="93">
        <v>3</v>
      </c>
      <c r="M8" s="158">
        <v>45939</v>
      </c>
      <c r="N8" s="158">
        <v>45939</v>
      </c>
      <c r="O8" s="183" t="s">
        <v>12</v>
      </c>
      <c r="P8" s="183" t="s">
        <v>315</v>
      </c>
      <c r="Q8" s="183" t="s">
        <v>316</v>
      </c>
      <c r="R8" s="183" t="s">
        <v>317</v>
      </c>
      <c r="S8" s="183" t="s">
        <v>316</v>
      </c>
      <c r="T8" s="556" t="s">
        <v>320</v>
      </c>
      <c r="U8" s="197" t="s">
        <v>320</v>
      </c>
      <c r="V8" s="93" t="s">
        <v>320</v>
      </c>
      <c r="W8" s="93" t="s">
        <v>320</v>
      </c>
      <c r="X8" s="93" t="s">
        <v>320</v>
      </c>
      <c r="Y8" s="556" t="s">
        <v>320</v>
      </c>
      <c r="Z8" s="556" t="s">
        <v>320</v>
      </c>
      <c r="AA8" s="197" t="s">
        <v>320</v>
      </c>
      <c r="AB8" s="93" t="s">
        <v>316</v>
      </c>
      <c r="AC8" s="93" t="s">
        <v>316</v>
      </c>
      <c r="AD8" s="146" t="s">
        <v>1937</v>
      </c>
      <c r="AE8" s="490" t="s">
        <v>423</v>
      </c>
      <c r="AF8" s="93"/>
      <c r="AG8" s="96" t="s">
        <v>1938</v>
      </c>
      <c r="AH8" s="93"/>
      <c r="AI8" s="93" t="s">
        <v>1939</v>
      </c>
      <c r="AJ8" s="93" t="s">
        <v>434</v>
      </c>
      <c r="AK8" s="93" t="s">
        <v>434</v>
      </c>
      <c r="AL8" s="93" t="s">
        <v>434</v>
      </c>
      <c r="AM8" s="93" t="s">
        <v>434</v>
      </c>
      <c r="AN8" s="93" t="s">
        <v>1905</v>
      </c>
      <c r="AO8" s="93" t="s">
        <v>434</v>
      </c>
    </row>
    <row r="9" spans="1:41" ht="35.25">
      <c r="A9" s="93">
        <v>8</v>
      </c>
      <c r="B9" s="635" t="s">
        <v>5</v>
      </c>
      <c r="C9" s="636">
        <v>45938</v>
      </c>
      <c r="D9" s="636">
        <v>45951</v>
      </c>
      <c r="E9" s="235" t="s">
        <v>1891</v>
      </c>
      <c r="F9" s="93" t="s">
        <v>313</v>
      </c>
      <c r="G9" s="197">
        <v>50377</v>
      </c>
      <c r="H9" s="96" t="s">
        <v>1941</v>
      </c>
      <c r="I9" s="635" t="s">
        <v>306</v>
      </c>
      <c r="J9" s="93">
        <v>0.5</v>
      </c>
      <c r="K9" s="93">
        <v>0.5</v>
      </c>
      <c r="L9" s="93">
        <v>2</v>
      </c>
      <c r="M9" s="158">
        <v>45939</v>
      </c>
      <c r="N9" s="158">
        <v>45939</v>
      </c>
      <c r="O9" s="183" t="s">
        <v>12</v>
      </c>
      <c r="P9" s="183" t="s">
        <v>315</v>
      </c>
      <c r="Q9" s="183" t="s">
        <v>316</v>
      </c>
      <c r="R9" s="183" t="s">
        <v>317</v>
      </c>
      <c r="S9" s="183" t="s">
        <v>316</v>
      </c>
      <c r="T9" s="556" t="s">
        <v>320</v>
      </c>
      <c r="U9" s="197" t="s">
        <v>320</v>
      </c>
      <c r="V9" s="93" t="s">
        <v>320</v>
      </c>
      <c r="W9" s="93" t="s">
        <v>320</v>
      </c>
      <c r="X9" s="93" t="s">
        <v>320</v>
      </c>
      <c r="Y9" s="556" t="s">
        <v>320</v>
      </c>
      <c r="Z9" s="556" t="s">
        <v>320</v>
      </c>
      <c r="AA9" s="197" t="s">
        <v>320</v>
      </c>
      <c r="AB9" s="93" t="s">
        <v>316</v>
      </c>
      <c r="AC9" s="93" t="s">
        <v>316</v>
      </c>
      <c r="AD9" s="146" t="s">
        <v>1937</v>
      </c>
      <c r="AE9" s="490" t="s">
        <v>423</v>
      </c>
      <c r="AF9" s="93"/>
      <c r="AG9" s="96" t="s">
        <v>1938</v>
      </c>
      <c r="AH9" s="93"/>
      <c r="AI9" s="93" t="s">
        <v>1942</v>
      </c>
      <c r="AJ9" s="93" t="s">
        <v>12</v>
      </c>
      <c r="AK9" s="93" t="s">
        <v>434</v>
      </c>
      <c r="AL9" s="93" t="s">
        <v>434</v>
      </c>
      <c r="AM9" s="93" t="s">
        <v>434</v>
      </c>
      <c r="AN9" s="93" t="s">
        <v>1905</v>
      </c>
      <c r="AO9" s="93" t="s">
        <v>434</v>
      </c>
    </row>
    <row r="10" spans="1:41" ht="35.25">
      <c r="A10" s="93">
        <v>9</v>
      </c>
      <c r="B10" s="635" t="s">
        <v>5</v>
      </c>
      <c r="C10" s="636">
        <v>45938</v>
      </c>
      <c r="D10" s="636">
        <v>45951</v>
      </c>
      <c r="E10" s="235" t="s">
        <v>1891</v>
      </c>
      <c r="F10" s="93" t="s">
        <v>313</v>
      </c>
      <c r="G10" s="197">
        <v>50378</v>
      </c>
      <c r="H10" s="96" t="s">
        <v>1943</v>
      </c>
      <c r="I10" s="635" t="s">
        <v>306</v>
      </c>
      <c r="J10" s="93">
        <v>0.5</v>
      </c>
      <c r="K10" s="93">
        <v>0.75</v>
      </c>
      <c r="L10" s="93">
        <v>3</v>
      </c>
      <c r="M10" s="158">
        <v>45939</v>
      </c>
      <c r="N10" s="158">
        <v>45939</v>
      </c>
      <c r="O10" s="183" t="s">
        <v>12</v>
      </c>
      <c r="P10" s="183" t="s">
        <v>315</v>
      </c>
      <c r="Q10" s="183" t="s">
        <v>316</v>
      </c>
      <c r="R10" s="183" t="s">
        <v>317</v>
      </c>
      <c r="S10" s="183" t="s">
        <v>316</v>
      </c>
      <c r="T10" s="556" t="s">
        <v>320</v>
      </c>
      <c r="U10" s="197" t="s">
        <v>320</v>
      </c>
      <c r="V10" s="93" t="s">
        <v>320</v>
      </c>
      <c r="W10" s="93" t="s">
        <v>320</v>
      </c>
      <c r="X10" s="93" t="s">
        <v>320</v>
      </c>
      <c r="Y10" s="556" t="s">
        <v>320</v>
      </c>
      <c r="Z10" s="556" t="s">
        <v>320</v>
      </c>
      <c r="AA10" s="197" t="s">
        <v>320</v>
      </c>
      <c r="AB10" s="93" t="s">
        <v>316</v>
      </c>
      <c r="AC10" s="93" t="s">
        <v>316</v>
      </c>
      <c r="AD10" s="146" t="s">
        <v>1937</v>
      </c>
      <c r="AE10" s="490" t="s">
        <v>423</v>
      </c>
      <c r="AF10" s="93"/>
      <c r="AG10" s="96" t="s">
        <v>1938</v>
      </c>
      <c r="AH10" s="93"/>
      <c r="AI10" s="93" t="s">
        <v>1939</v>
      </c>
      <c r="AJ10" s="93"/>
      <c r="AK10" s="93" t="s">
        <v>434</v>
      </c>
      <c r="AL10" s="93" t="s">
        <v>434</v>
      </c>
      <c r="AM10" s="93" t="s">
        <v>434</v>
      </c>
      <c r="AN10" s="93" t="s">
        <v>1905</v>
      </c>
      <c r="AO10" s="93" t="s">
        <v>434</v>
      </c>
    </row>
    <row r="11" spans="1:41" ht="35.25">
      <c r="A11" s="93">
        <v>10</v>
      </c>
      <c r="B11" s="635" t="s">
        <v>5</v>
      </c>
      <c r="C11" s="636">
        <v>45938</v>
      </c>
      <c r="D11" s="636">
        <v>45951</v>
      </c>
      <c r="E11" s="235" t="s">
        <v>1891</v>
      </c>
      <c r="F11" s="93" t="s">
        <v>313</v>
      </c>
      <c r="G11" s="197">
        <v>50379</v>
      </c>
      <c r="H11" s="96" t="s">
        <v>1944</v>
      </c>
      <c r="I11" s="635" t="s">
        <v>306</v>
      </c>
      <c r="J11" s="93">
        <v>0.5</v>
      </c>
      <c r="K11" s="93">
        <v>0.75</v>
      </c>
      <c r="L11" s="93">
        <v>3</v>
      </c>
      <c r="M11" s="158">
        <v>45939</v>
      </c>
      <c r="N11" s="158">
        <v>45939</v>
      </c>
      <c r="O11" s="183" t="s">
        <v>12</v>
      </c>
      <c r="P11" s="183" t="s">
        <v>315</v>
      </c>
      <c r="Q11" s="183" t="s">
        <v>316</v>
      </c>
      <c r="R11" s="183" t="s">
        <v>317</v>
      </c>
      <c r="S11" s="183" t="s">
        <v>316</v>
      </c>
      <c r="T11" s="556" t="s">
        <v>320</v>
      </c>
      <c r="U11" s="197" t="s">
        <v>320</v>
      </c>
      <c r="V11" s="93" t="s">
        <v>320</v>
      </c>
      <c r="W11" s="93" t="s">
        <v>320</v>
      </c>
      <c r="X11" s="93" t="s">
        <v>320</v>
      </c>
      <c r="Y11" s="556" t="s">
        <v>320</v>
      </c>
      <c r="Z11" s="556" t="s">
        <v>320</v>
      </c>
      <c r="AA11" s="197" t="s">
        <v>320</v>
      </c>
      <c r="AB11" s="93" t="s">
        <v>316</v>
      </c>
      <c r="AC11" s="93" t="s">
        <v>316</v>
      </c>
      <c r="AD11" s="146" t="s">
        <v>1937</v>
      </c>
      <c r="AE11" s="490" t="s">
        <v>423</v>
      </c>
      <c r="AF11" s="93"/>
      <c r="AG11" s="96" t="s">
        <v>1938</v>
      </c>
      <c r="AH11" s="93"/>
      <c r="AI11" s="93" t="s">
        <v>1939</v>
      </c>
      <c r="AJ11" s="93"/>
      <c r="AK11" s="93" t="s">
        <v>434</v>
      </c>
      <c r="AL11" s="93" t="s">
        <v>434</v>
      </c>
      <c r="AM11" s="93" t="s">
        <v>434</v>
      </c>
      <c r="AN11" s="93" t="s">
        <v>1905</v>
      </c>
      <c r="AO11" s="93" t="s">
        <v>434</v>
      </c>
    </row>
    <row r="12" spans="1:41" ht="35.25">
      <c r="A12" s="93">
        <v>11</v>
      </c>
      <c r="B12" s="635" t="s">
        <v>5</v>
      </c>
      <c r="C12" s="636">
        <v>45938</v>
      </c>
      <c r="D12" s="636">
        <v>45951</v>
      </c>
      <c r="E12" s="235" t="s">
        <v>1891</v>
      </c>
      <c r="F12" s="93" t="s">
        <v>313</v>
      </c>
      <c r="G12" s="197">
        <v>50380</v>
      </c>
      <c r="H12" s="96" t="s">
        <v>1945</v>
      </c>
      <c r="I12" s="635" t="s">
        <v>306</v>
      </c>
      <c r="J12" s="93">
        <v>0.5</v>
      </c>
      <c r="K12" s="93">
        <v>0.75</v>
      </c>
      <c r="L12" s="93">
        <v>3</v>
      </c>
      <c r="M12" s="158">
        <v>45939</v>
      </c>
      <c r="N12" s="158">
        <v>45939</v>
      </c>
      <c r="O12" s="183" t="s">
        <v>12</v>
      </c>
      <c r="P12" s="183" t="s">
        <v>315</v>
      </c>
      <c r="Q12" s="183" t="s">
        <v>316</v>
      </c>
      <c r="R12" s="183" t="s">
        <v>317</v>
      </c>
      <c r="S12" s="183" t="s">
        <v>316</v>
      </c>
      <c r="T12" s="556" t="s">
        <v>320</v>
      </c>
      <c r="U12" s="197" t="s">
        <v>320</v>
      </c>
      <c r="V12" s="93" t="s">
        <v>320</v>
      </c>
      <c r="W12" s="93" t="s">
        <v>320</v>
      </c>
      <c r="X12" s="93" t="s">
        <v>320</v>
      </c>
      <c r="Y12" s="556" t="s">
        <v>320</v>
      </c>
      <c r="Z12" s="556" t="s">
        <v>320</v>
      </c>
      <c r="AA12" s="197" t="s">
        <v>320</v>
      </c>
      <c r="AB12" s="93" t="s">
        <v>316</v>
      </c>
      <c r="AC12" s="93" t="s">
        <v>316</v>
      </c>
      <c r="AD12" s="146" t="s">
        <v>1937</v>
      </c>
      <c r="AE12" s="490" t="s">
        <v>423</v>
      </c>
      <c r="AF12" s="93"/>
      <c r="AG12" s="96" t="s">
        <v>1938</v>
      </c>
      <c r="AH12" s="93"/>
      <c r="AI12" s="93" t="s">
        <v>1939</v>
      </c>
      <c r="AJ12" s="93"/>
      <c r="AK12" s="93" t="s">
        <v>434</v>
      </c>
      <c r="AL12" s="93" t="s">
        <v>434</v>
      </c>
      <c r="AM12" s="93" t="s">
        <v>434</v>
      </c>
      <c r="AN12" s="93" t="s">
        <v>1905</v>
      </c>
      <c r="AO12" s="93" t="s">
        <v>434</v>
      </c>
    </row>
    <row r="13" spans="1:41" ht="69">
      <c r="A13" s="93">
        <v>12</v>
      </c>
      <c r="B13" s="635" t="s">
        <v>5</v>
      </c>
      <c r="C13" s="636">
        <v>45938</v>
      </c>
      <c r="D13" s="636">
        <v>45951</v>
      </c>
      <c r="E13" s="235" t="s">
        <v>1891</v>
      </c>
      <c r="F13" s="93" t="s">
        <v>315</v>
      </c>
      <c r="G13" s="93">
        <v>50412</v>
      </c>
      <c r="H13" s="96" t="s">
        <v>1946</v>
      </c>
      <c r="I13" s="635" t="s">
        <v>306</v>
      </c>
      <c r="J13" s="93">
        <v>1</v>
      </c>
      <c r="K13" s="93">
        <v>5.3120000000000003</v>
      </c>
      <c r="L13" s="93">
        <v>21.25</v>
      </c>
      <c r="M13" s="158">
        <v>45940</v>
      </c>
      <c r="N13" s="158">
        <v>45943</v>
      </c>
      <c r="O13" s="183" t="s">
        <v>12</v>
      </c>
      <c r="P13" s="93" t="s">
        <v>313</v>
      </c>
      <c r="Q13" s="183" t="s">
        <v>316</v>
      </c>
      <c r="R13" s="183" t="s">
        <v>317</v>
      </c>
      <c r="S13" s="183" t="s">
        <v>316</v>
      </c>
      <c r="T13" s="130" t="s">
        <v>1947</v>
      </c>
      <c r="U13" s="158">
        <v>45944</v>
      </c>
      <c r="V13" s="158">
        <v>45944</v>
      </c>
      <c r="W13" s="96" t="s">
        <v>316</v>
      </c>
      <c r="X13" s="96" t="s">
        <v>319</v>
      </c>
      <c r="Y13" s="96" t="s">
        <v>319</v>
      </c>
      <c r="Z13" s="96" t="s">
        <v>320</v>
      </c>
      <c r="AA13" s="96" t="s">
        <v>316</v>
      </c>
      <c r="AB13" s="96" t="s">
        <v>316</v>
      </c>
      <c r="AC13" s="96" t="s">
        <v>316</v>
      </c>
      <c r="AD13" s="93" t="s">
        <v>12</v>
      </c>
      <c r="AE13" s="490" t="s">
        <v>423</v>
      </c>
      <c r="AF13" s="93"/>
      <c r="AG13" s="93"/>
      <c r="AH13" s="93"/>
      <c r="AI13" s="96" t="s">
        <v>1948</v>
      </c>
      <c r="AJ13" s="96" t="s">
        <v>1949</v>
      </c>
      <c r="AK13" s="96" t="s">
        <v>1950</v>
      </c>
      <c r="AL13" s="93" t="s">
        <v>1903</v>
      </c>
      <c r="AM13" s="93" t="s">
        <v>434</v>
      </c>
      <c r="AN13" s="93" t="s">
        <v>1905</v>
      </c>
      <c r="AO13" s="93" t="s">
        <v>434</v>
      </c>
    </row>
    <row r="14" spans="1:41" ht="46.5">
      <c r="A14" s="93">
        <v>13</v>
      </c>
      <c r="B14" s="635" t="s">
        <v>5</v>
      </c>
      <c r="C14" s="636">
        <v>45938</v>
      </c>
      <c r="D14" s="636">
        <v>45951</v>
      </c>
      <c r="E14" s="235" t="s">
        <v>1891</v>
      </c>
      <c r="F14" s="93" t="s">
        <v>313</v>
      </c>
      <c r="G14" s="93">
        <v>49373</v>
      </c>
      <c r="H14" s="96" t="s">
        <v>1951</v>
      </c>
      <c r="I14" s="635" t="s">
        <v>306</v>
      </c>
      <c r="J14" s="93">
        <v>1</v>
      </c>
      <c r="K14" s="93">
        <v>1</v>
      </c>
      <c r="L14" s="93">
        <v>4</v>
      </c>
      <c r="M14" s="158">
        <v>45940</v>
      </c>
      <c r="N14" s="158">
        <v>45940</v>
      </c>
      <c r="O14" s="183" t="s">
        <v>12</v>
      </c>
      <c r="P14" s="183" t="s">
        <v>315</v>
      </c>
      <c r="Q14" s="183" t="s">
        <v>316</v>
      </c>
      <c r="R14" s="183" t="s">
        <v>317</v>
      </c>
      <c r="S14" s="183" t="s">
        <v>316</v>
      </c>
      <c r="T14" s="556" t="s">
        <v>320</v>
      </c>
      <c r="U14" s="197" t="s">
        <v>320</v>
      </c>
      <c r="V14" s="93" t="s">
        <v>320</v>
      </c>
      <c r="W14" s="93" t="s">
        <v>320</v>
      </c>
      <c r="X14" s="93" t="s">
        <v>320</v>
      </c>
      <c r="Y14" s="556" t="s">
        <v>320</v>
      </c>
      <c r="Z14" s="556" t="s">
        <v>320</v>
      </c>
      <c r="AA14" s="197" t="s">
        <v>320</v>
      </c>
      <c r="AB14" s="93" t="s">
        <v>316</v>
      </c>
      <c r="AC14" s="93" t="s">
        <v>316</v>
      </c>
      <c r="AD14" s="146" t="s">
        <v>1937</v>
      </c>
      <c r="AE14" s="490" t="s">
        <v>423</v>
      </c>
      <c r="AF14" s="93"/>
      <c r="AG14" s="93"/>
      <c r="AH14" s="93"/>
      <c r="AI14" s="93" t="s">
        <v>1939</v>
      </c>
      <c r="AJ14" s="93" t="s">
        <v>434</v>
      </c>
      <c r="AK14" s="93" t="s">
        <v>434</v>
      </c>
      <c r="AL14" s="93" t="s">
        <v>434</v>
      </c>
      <c r="AM14" s="93" t="s">
        <v>434</v>
      </c>
      <c r="AN14" s="93" t="s">
        <v>1905</v>
      </c>
      <c r="AO14" s="93" t="s">
        <v>434</v>
      </c>
    </row>
    <row r="15" spans="1:41" ht="35.25">
      <c r="A15" s="93">
        <v>14</v>
      </c>
      <c r="B15" s="635" t="s">
        <v>5</v>
      </c>
      <c r="C15" s="636">
        <v>45938</v>
      </c>
      <c r="D15" s="636">
        <v>45951</v>
      </c>
      <c r="E15" s="235" t="s">
        <v>1891</v>
      </c>
      <c r="F15" s="93" t="s">
        <v>317</v>
      </c>
      <c r="G15" s="93" t="s">
        <v>1952</v>
      </c>
      <c r="H15" s="96" t="s">
        <v>1953</v>
      </c>
      <c r="I15" s="635" t="s">
        <v>306</v>
      </c>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t="s">
        <v>1954</v>
      </c>
      <c r="AJ15" s="93" t="s">
        <v>434</v>
      </c>
      <c r="AK15" s="93" t="s">
        <v>434</v>
      </c>
      <c r="AL15" s="93" t="s">
        <v>434</v>
      </c>
      <c r="AM15" s="93" t="s">
        <v>434</v>
      </c>
      <c r="AN15" s="93" t="s">
        <v>1905</v>
      </c>
      <c r="AO15" s="93" t="s">
        <v>434</v>
      </c>
    </row>
    <row r="16" spans="1:41" ht="69">
      <c r="A16" s="118">
        <v>15</v>
      </c>
      <c r="B16" s="640" t="s">
        <v>5</v>
      </c>
      <c r="C16" s="641">
        <v>45938</v>
      </c>
      <c r="D16" s="641">
        <v>45951</v>
      </c>
      <c r="E16" s="582" t="s">
        <v>1891</v>
      </c>
      <c r="F16" s="118" t="s">
        <v>317</v>
      </c>
      <c r="G16" s="118" t="s">
        <v>1955</v>
      </c>
      <c r="H16" s="119" t="s">
        <v>1956</v>
      </c>
      <c r="I16" s="640" t="s">
        <v>306</v>
      </c>
      <c r="J16" s="118">
        <v>0</v>
      </c>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t="s">
        <v>1957</v>
      </c>
      <c r="AH16" s="118" t="s">
        <v>1958</v>
      </c>
      <c r="AI16" s="119" t="s">
        <v>1959</v>
      </c>
      <c r="AJ16" s="119" t="s">
        <v>1960</v>
      </c>
      <c r="AK16" s="119" t="s">
        <v>1960</v>
      </c>
      <c r="AL16" s="119" t="s">
        <v>1960</v>
      </c>
      <c r="AM16" s="119" t="s">
        <v>1960</v>
      </c>
      <c r="AN16" s="93" t="s">
        <v>1905</v>
      </c>
      <c r="AO16" s="118" t="s">
        <v>1961</v>
      </c>
    </row>
    <row r="17" spans="1:41" ht="162">
      <c r="A17" s="93">
        <v>16</v>
      </c>
      <c r="B17" s="635" t="s">
        <v>5</v>
      </c>
      <c r="C17" s="636">
        <v>45938</v>
      </c>
      <c r="D17" s="636">
        <v>45951</v>
      </c>
      <c r="E17" s="235" t="s">
        <v>1891</v>
      </c>
      <c r="F17" s="93" t="s">
        <v>1962</v>
      </c>
      <c r="G17" s="93">
        <v>49370</v>
      </c>
      <c r="H17" s="93" t="s">
        <v>1683</v>
      </c>
      <c r="I17" s="635" t="s">
        <v>399</v>
      </c>
      <c r="J17" s="93">
        <v>1</v>
      </c>
      <c r="K17" s="93"/>
      <c r="L17" s="93">
        <v>9</v>
      </c>
      <c r="M17" s="93"/>
      <c r="N17" s="93"/>
      <c r="O17" s="93"/>
      <c r="P17" s="93"/>
      <c r="Q17" s="93"/>
      <c r="R17" s="93"/>
      <c r="S17" s="93"/>
      <c r="T17" s="93"/>
      <c r="U17" s="93"/>
      <c r="V17" s="93"/>
      <c r="W17" s="93"/>
      <c r="X17" s="93"/>
      <c r="Y17" s="93"/>
      <c r="Z17" s="93"/>
      <c r="AA17" s="93"/>
      <c r="AB17" s="93"/>
      <c r="AC17" s="93"/>
      <c r="AD17" s="96" t="s">
        <v>1963</v>
      </c>
      <c r="AE17" s="93"/>
      <c r="AF17" s="93"/>
      <c r="AG17" s="93"/>
      <c r="AH17" s="93"/>
      <c r="AI17" s="93"/>
      <c r="AJ17" s="93"/>
      <c r="AK17" s="96" t="s">
        <v>1964</v>
      </c>
      <c r="AL17" s="642" t="s">
        <v>1965</v>
      </c>
      <c r="AM17" s="119" t="s">
        <v>1966</v>
      </c>
      <c r="AN17" s="118" t="s">
        <v>1905</v>
      </c>
      <c r="AO17" s="119" t="s">
        <v>1967</v>
      </c>
    </row>
    <row r="18" spans="1:41" ht="69">
      <c r="A18" s="118">
        <v>17</v>
      </c>
      <c r="B18" s="640" t="s">
        <v>5</v>
      </c>
      <c r="C18" s="641">
        <v>45938</v>
      </c>
      <c r="D18" s="641">
        <v>45951</v>
      </c>
      <c r="E18" s="582" t="s">
        <v>1968</v>
      </c>
      <c r="F18" s="118" t="s">
        <v>315</v>
      </c>
      <c r="G18" s="118" t="s">
        <v>1969</v>
      </c>
      <c r="H18" s="119" t="s">
        <v>1794</v>
      </c>
      <c r="I18" s="640" t="s">
        <v>380</v>
      </c>
      <c r="J18" s="118">
        <v>0</v>
      </c>
      <c r="K18" s="118"/>
      <c r="L18" s="118">
        <v>15</v>
      </c>
      <c r="M18" s="644">
        <v>45946</v>
      </c>
      <c r="N18" s="644">
        <v>45951</v>
      </c>
      <c r="O18" s="119" t="s">
        <v>12</v>
      </c>
      <c r="P18" s="118" t="s">
        <v>313</v>
      </c>
      <c r="Q18" s="119" t="s">
        <v>316</v>
      </c>
      <c r="R18" s="119" t="s">
        <v>317</v>
      </c>
      <c r="S18" s="119" t="s">
        <v>316</v>
      </c>
      <c r="T18" s="560" t="s">
        <v>320</v>
      </c>
      <c r="U18" s="232" t="s">
        <v>320</v>
      </c>
      <c r="V18" s="118" t="s">
        <v>320</v>
      </c>
      <c r="W18" s="118" t="s">
        <v>320</v>
      </c>
      <c r="X18" s="118" t="s">
        <v>320</v>
      </c>
      <c r="Y18" s="560" t="s">
        <v>320</v>
      </c>
      <c r="Z18" s="560" t="s">
        <v>320</v>
      </c>
      <c r="AA18" s="232" t="s">
        <v>320</v>
      </c>
      <c r="AB18" s="118" t="s">
        <v>316</v>
      </c>
      <c r="AC18" s="118" t="s">
        <v>316</v>
      </c>
      <c r="AD18" s="189" t="s">
        <v>1937</v>
      </c>
      <c r="AE18" s="118"/>
      <c r="AF18" s="118"/>
      <c r="AG18" s="118"/>
      <c r="AH18" s="118"/>
      <c r="AI18" s="118"/>
      <c r="AJ18" s="118"/>
      <c r="AK18" s="118"/>
      <c r="AL18" s="117"/>
      <c r="AM18" s="96" t="s">
        <v>1970</v>
      </c>
      <c r="AN18" s="93" t="s">
        <v>1905</v>
      </c>
      <c r="AO18" s="96" t="s">
        <v>1971</v>
      </c>
    </row>
    <row r="19" spans="1:41" ht="69">
      <c r="A19" s="93">
        <v>18</v>
      </c>
      <c r="B19" s="635" t="s">
        <v>5</v>
      </c>
      <c r="C19" s="636">
        <v>45938</v>
      </c>
      <c r="D19" s="636">
        <v>45951</v>
      </c>
      <c r="E19" s="235" t="s">
        <v>1891</v>
      </c>
      <c r="F19" s="93" t="s">
        <v>317</v>
      </c>
      <c r="G19" s="93" t="s">
        <v>1972</v>
      </c>
      <c r="H19" s="93" t="s">
        <v>1882</v>
      </c>
      <c r="I19" s="635" t="s">
        <v>399</v>
      </c>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620"/>
      <c r="AM19" s="93"/>
      <c r="AN19" s="93"/>
      <c r="AO19" s="96" t="s">
        <v>1973</v>
      </c>
    </row>
    <row r="20" spans="1:41" ht="23.25">
      <c r="A20" s="93">
        <v>19</v>
      </c>
      <c r="B20" s="635" t="s">
        <v>5</v>
      </c>
      <c r="C20" s="636">
        <v>45938</v>
      </c>
      <c r="D20" s="636">
        <v>45951</v>
      </c>
      <c r="E20" s="235" t="s">
        <v>1891</v>
      </c>
      <c r="F20" s="93" t="s">
        <v>317</v>
      </c>
      <c r="G20" s="93" t="s">
        <v>1972</v>
      </c>
      <c r="H20" s="93" t="s">
        <v>1882</v>
      </c>
      <c r="I20" s="635" t="s">
        <v>553</v>
      </c>
      <c r="J20" s="93">
        <v>2</v>
      </c>
      <c r="K20" s="93">
        <v>0</v>
      </c>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183"/>
      <c r="AN20" s="183"/>
      <c r="AO20" s="183"/>
    </row>
    <row r="21" spans="1:4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row>
    <row r="22" spans="1:41">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row>
  </sheetData>
  <autoFilter ref="I1:I22" xr:uid="{6FAF3ECF-5A12-4670-BE82-70CDCE6ED479}"/>
  <conditionalFormatting sqref="J1">
    <cfRule type="containsText" dxfId="593" priority="4" operator="containsText" text="Closed">
      <formula>NOT(ISERROR(SEARCH("Closed",J1)))</formula>
    </cfRule>
    <cfRule type="containsText" dxfId="592" priority="5" operator="containsText" text="Open">
      <formula>NOT(ISERROR(SEARCH("Open",J1)))</formula>
    </cfRule>
    <cfRule type="containsText" dxfId="591" priority="6" operator="containsText" text="Inprogress">
      <formula>NOT(ISERROR(SEARCH("Inprogress",J1)))</formula>
    </cfRule>
  </conditionalFormatting>
  <conditionalFormatting sqref="I2:I20">
    <cfRule type="containsText" dxfId="590" priority="1" operator="containsText" text="Closed">
      <formula>NOT(ISERROR(SEARCH("Closed",I2)))</formula>
    </cfRule>
    <cfRule type="containsText" dxfId="589" priority="2" operator="containsText" text="Open">
      <formula>NOT(ISERROR(SEARCH("Open",I2)))</formula>
    </cfRule>
    <cfRule type="containsText" dxfId="588" priority="3" operator="containsText" text="Inprogress">
      <formula>NOT(ISERROR(SEARCH("Inprogress",I2)))</formula>
    </cfRule>
  </conditionalFormatting>
  <dataValidations count="11">
    <dataValidation type="list" allowBlank="1" showErrorMessage="1" sqref="J1" xr:uid="{8A732589-E7C3-4E1F-8607-BDCFCFA4D5CB}">
      <formula1>"Open,Inprogress,Closed"</formula1>
    </dataValidation>
    <dataValidation showErrorMessage="1" sqref="I1" xr:uid="{90CF76BF-AF43-468E-A029-CB22998E0E53}"/>
    <dataValidation allowBlank="1" showInputMessage="1" showErrorMessage="1" sqref="AD1:AE1" xr:uid="{9B97329C-5DDA-45F1-8770-2959F14F0CD1}"/>
    <dataValidation type="list" showErrorMessage="1" sqref="Y1:Z1 W1 O1" xr:uid="{A4C4C1B6-04B1-49CC-876A-137142461AA1}">
      <formula1>"Open,Inprogress,Completed,TBD,NA"</formula1>
    </dataValidation>
    <dataValidation type="list" showErrorMessage="1" sqref="S1:T1 X1 AA1" xr:uid="{194B30A7-8A1A-48A2-B99B-B7CA5E815678}">
      <formula1>"No issues found,Issues observed(BacktoDev),DB Script tests in QA DB,NA,TBD"</formula1>
    </dataValidation>
    <dataValidation type="list" showErrorMessage="1" sqref="AB1" xr:uid="{CAE7F6AF-034C-426E-8A6E-6AA7CE705471}">
      <formula1>"Approved-Satisified AC,Not Approved(Back to Dev),NA,TBD"</formula1>
    </dataValidation>
    <dataValidation type="list" showErrorMessage="1" sqref="AC1" xr:uid="{56B7F03C-51E9-4E67-9F62-1A10B5A9B92D}">
      <formula1>"Pending-Waiting for Customer confirmation, Approved-Satisified AC,Not Approved-New minor changes requested(Back to Dev),NA,TBD"</formula1>
    </dataValidation>
    <dataValidation type="list" showErrorMessage="1" sqref="Q1" xr:uid="{D0D5CFBB-8B2D-4D3C-9AE5-58D909394C1A}">
      <formula1>"Pass,Fail(BacktoDev),DB Script tests in QA DB,TBD"</formula1>
    </dataValidation>
    <dataValidation type="list" showErrorMessage="1" sqref="R1" xr:uid="{F6BFC18F-0753-41EB-A2BF-ED3A3CFE4F45}">
      <formula1>"Qadir,Rijo,Karthik,None,TBD"</formula1>
    </dataValidation>
    <dataValidation type="list" showErrorMessage="1" sqref="P1" xr:uid="{40BCA626-759B-4B85-A5F4-E2057E20D4DD}">
      <formula1>"Qadir,Rijo,Karthik,Sushmitha,None,TBD"</formula1>
    </dataValidation>
    <dataValidation type="list" allowBlank="1" showInputMessage="1" showErrorMessage="1" sqref="AE2:AE3 AE7:AE14" xr:uid="{D0D286F2-9B28-4B86-88FC-269C1875D0A2}">
      <formula1>"Exceeds Expectation,Meets Expectation,Needs improvements"</formula1>
    </dataValidation>
  </dataValidations>
  <hyperlinks>
    <hyperlink ref="T3" r:id="rId1" xr:uid="{B427CDDB-E446-47B0-B454-E8B566A72D5D}"/>
    <hyperlink ref="T13" r:id="rId2" xr:uid="{EC65B97A-69AB-44E4-8B30-F2A6C0FA04A4}"/>
    <hyperlink ref="T2" r:id="rId3" xr:uid="{E004671E-15F2-4589-871E-76B2A4C3DE4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5A7AA3D-19E0-40AA-959A-34B0B3864DFA}">
          <x14:formula1>
            <xm:f>Settings!$C$3:$C$20</xm:f>
          </x14:formula1>
          <xm:sqref>I2:I20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58E3-C951-4D33-8550-17E6F0B7779B}">
  <dimension ref="A1:AO28"/>
  <sheetViews>
    <sheetView workbookViewId="0">
      <pane ySplit="1" topLeftCell="A2" activePane="bottomLeft" state="frozen"/>
      <selection pane="bottomLeft" activeCell="A17" sqref="A17"/>
    </sheetView>
  </sheetViews>
  <sheetFormatPr defaultRowHeight="12.75"/>
  <cols>
    <col min="2" max="2" width="12.5703125" customWidth="1"/>
    <col min="3" max="3" width="11" customWidth="1"/>
    <col min="5" max="5" width="15.140625" customWidth="1"/>
    <col min="6" max="6" width="11.5703125" customWidth="1"/>
    <col min="7" max="7" width="14.7109375" customWidth="1"/>
    <col min="8" max="8" width="28.42578125" customWidth="1"/>
    <col min="9" max="9" width="18" customWidth="1"/>
    <col min="13" max="14" width="9.42578125" bestFit="1" customWidth="1"/>
    <col min="15" max="15" width="11.140625" customWidth="1"/>
    <col min="20" max="20" width="22.5703125" customWidth="1"/>
    <col min="21" max="21" width="9.42578125" bestFit="1" customWidth="1"/>
    <col min="30" max="30" width="21.28515625" customWidth="1"/>
    <col min="31" max="31" width="15" customWidth="1"/>
    <col min="32" max="32" width="16.5703125" customWidth="1"/>
    <col min="33" max="33" width="23.7109375" customWidth="1"/>
    <col min="34" max="34" width="11.7109375" customWidth="1"/>
    <col min="35" max="35" width="12.28515625" customWidth="1"/>
    <col min="36" max="36" width="12.42578125" customWidth="1"/>
    <col min="37" max="37" width="11.28515625" customWidth="1"/>
    <col min="38" max="38" width="14.140625" customWidth="1"/>
    <col min="39" max="39" width="22.42578125" customWidth="1"/>
    <col min="40" max="40" width="25.85546875" customWidth="1"/>
    <col min="41" max="41" width="25.28515625" customWidth="1"/>
  </cols>
  <sheetData>
    <row r="1" spans="1:41"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45924</v>
      </c>
      <c r="AG1" s="518">
        <v>45925</v>
      </c>
      <c r="AH1" s="518">
        <v>45926</v>
      </c>
      <c r="AI1" s="518">
        <v>45929</v>
      </c>
      <c r="AJ1" s="518">
        <v>45930</v>
      </c>
      <c r="AK1" s="611">
        <v>45931</v>
      </c>
      <c r="AL1" s="518">
        <v>45932</v>
      </c>
      <c r="AM1" s="518">
        <v>45933</v>
      </c>
      <c r="AN1" s="518">
        <v>45936</v>
      </c>
      <c r="AO1" s="518">
        <v>45937</v>
      </c>
    </row>
    <row r="2" spans="1:41" s="610" customFormat="1" ht="69" customHeight="1">
      <c r="A2" s="235">
        <v>1</v>
      </c>
      <c r="B2" s="635" t="s">
        <v>5</v>
      </c>
      <c r="C2" s="636">
        <v>45924</v>
      </c>
      <c r="D2" s="636">
        <v>45937</v>
      </c>
      <c r="E2" s="235" t="s">
        <v>1974</v>
      </c>
      <c r="F2" s="235" t="s">
        <v>315</v>
      </c>
      <c r="G2" s="235">
        <v>46798</v>
      </c>
      <c r="H2" s="235" t="s">
        <v>1975</v>
      </c>
      <c r="I2" s="635" t="s">
        <v>306</v>
      </c>
      <c r="J2" s="235">
        <v>3</v>
      </c>
      <c r="K2" s="235">
        <v>7.6875</v>
      </c>
      <c r="L2" s="235">
        <v>30.75</v>
      </c>
      <c r="M2" s="634">
        <v>45924</v>
      </c>
      <c r="N2" s="634">
        <v>45925</v>
      </c>
      <c r="O2" s="235" t="s">
        <v>12</v>
      </c>
      <c r="P2" s="235" t="s">
        <v>1976</v>
      </c>
      <c r="Q2" s="235" t="s">
        <v>316</v>
      </c>
      <c r="R2" s="235" t="s">
        <v>317</v>
      </c>
      <c r="S2" s="235" t="s">
        <v>1977</v>
      </c>
      <c r="T2" s="539" t="s">
        <v>1978</v>
      </c>
      <c r="U2" s="634">
        <v>45926</v>
      </c>
      <c r="V2" s="634">
        <v>45926</v>
      </c>
      <c r="W2" s="235" t="s">
        <v>316</v>
      </c>
      <c r="X2" s="235" t="s">
        <v>319</v>
      </c>
      <c r="Y2" s="235" t="s">
        <v>319</v>
      </c>
      <c r="Z2" s="235" t="s">
        <v>320</v>
      </c>
      <c r="AA2" s="235" t="s">
        <v>316</v>
      </c>
      <c r="AB2" s="235" t="s">
        <v>316</v>
      </c>
      <c r="AC2" s="235" t="s">
        <v>316</v>
      </c>
      <c r="AD2" s="235"/>
      <c r="AE2" s="235"/>
      <c r="AF2" s="235" t="s">
        <v>1979</v>
      </c>
      <c r="AG2" s="235" t="s">
        <v>1980</v>
      </c>
      <c r="AH2" s="235" t="s">
        <v>1981</v>
      </c>
      <c r="AI2" s="235" t="s">
        <v>1982</v>
      </c>
      <c r="AJ2" s="235" t="s">
        <v>1983</v>
      </c>
      <c r="AK2" s="235"/>
      <c r="AL2" s="235"/>
      <c r="AM2" s="235" t="s">
        <v>1984</v>
      </c>
      <c r="AN2" s="235" t="s">
        <v>1985</v>
      </c>
      <c r="AO2" s="235" t="s">
        <v>945</v>
      </c>
    </row>
    <row r="3" spans="1:41" s="610" customFormat="1" ht="69" customHeight="1">
      <c r="A3" s="235">
        <v>2</v>
      </c>
      <c r="B3" s="635" t="s">
        <v>5</v>
      </c>
      <c r="C3" s="636">
        <v>45924</v>
      </c>
      <c r="D3" s="636">
        <v>45937</v>
      </c>
      <c r="E3" s="235" t="s">
        <v>1974</v>
      </c>
      <c r="F3" s="235" t="s">
        <v>313</v>
      </c>
      <c r="G3" s="235">
        <v>44479</v>
      </c>
      <c r="H3" s="235" t="s">
        <v>1986</v>
      </c>
      <c r="I3" s="635" t="s">
        <v>306</v>
      </c>
      <c r="J3" s="235">
        <v>2</v>
      </c>
      <c r="K3" s="235">
        <v>2.5</v>
      </c>
      <c r="L3" s="235">
        <v>10</v>
      </c>
      <c r="M3" s="634">
        <v>45923</v>
      </c>
      <c r="N3" s="634">
        <v>45923</v>
      </c>
      <c r="O3" s="235" t="s">
        <v>12</v>
      </c>
      <c r="P3" s="235" t="s">
        <v>315</v>
      </c>
      <c r="Q3" s="235" t="s">
        <v>316</v>
      </c>
      <c r="R3" s="235" t="s">
        <v>317</v>
      </c>
      <c r="S3" s="235" t="s">
        <v>316</v>
      </c>
      <c r="T3" s="539" t="s">
        <v>1987</v>
      </c>
      <c r="U3" s="634">
        <v>45925</v>
      </c>
      <c r="V3" s="634">
        <v>45925</v>
      </c>
      <c r="W3" s="235" t="s">
        <v>316</v>
      </c>
      <c r="X3" s="235" t="s">
        <v>319</v>
      </c>
      <c r="Y3" s="235" t="s">
        <v>319</v>
      </c>
      <c r="Z3" s="235" t="s">
        <v>320</v>
      </c>
      <c r="AA3" s="235" t="s">
        <v>316</v>
      </c>
      <c r="AB3" s="235" t="s">
        <v>316</v>
      </c>
      <c r="AC3" s="235" t="s">
        <v>316</v>
      </c>
      <c r="AD3" s="235" t="s">
        <v>12</v>
      </c>
      <c r="AE3" s="490" t="s">
        <v>423</v>
      </c>
      <c r="AF3" s="235" t="s">
        <v>1988</v>
      </c>
      <c r="AG3" s="235" t="s">
        <v>565</v>
      </c>
      <c r="AH3" s="235" t="s">
        <v>1989</v>
      </c>
      <c r="AI3" s="235" t="s">
        <v>12</v>
      </c>
      <c r="AJ3" s="235" t="s">
        <v>434</v>
      </c>
      <c r="AK3" s="235"/>
      <c r="AL3" s="235"/>
      <c r="AM3" s="235" t="s">
        <v>434</v>
      </c>
      <c r="AN3" s="235" t="s">
        <v>1484</v>
      </c>
      <c r="AO3" s="235" t="s">
        <v>434</v>
      </c>
    </row>
    <row r="4" spans="1:41" s="610" customFormat="1" ht="83.25" customHeight="1">
      <c r="A4" s="235">
        <v>3</v>
      </c>
      <c r="B4" s="635" t="s">
        <v>5</v>
      </c>
      <c r="C4" s="636">
        <v>45924</v>
      </c>
      <c r="D4" s="636">
        <v>45937</v>
      </c>
      <c r="E4" s="235" t="s">
        <v>1974</v>
      </c>
      <c r="F4" s="235" t="s">
        <v>313</v>
      </c>
      <c r="G4" s="235">
        <v>43613</v>
      </c>
      <c r="H4" s="235" t="s">
        <v>1990</v>
      </c>
      <c r="I4" s="635" t="s">
        <v>306</v>
      </c>
      <c r="J4" s="235">
        <v>5</v>
      </c>
      <c r="K4" s="235">
        <v>6.75</v>
      </c>
      <c r="L4" s="235">
        <v>27</v>
      </c>
      <c r="M4" s="634">
        <v>45924</v>
      </c>
      <c r="N4" s="634">
        <v>45929</v>
      </c>
      <c r="O4" s="235" t="s">
        <v>12</v>
      </c>
      <c r="P4" s="235" t="s">
        <v>315</v>
      </c>
      <c r="Q4" s="235" t="s">
        <v>316</v>
      </c>
      <c r="R4" s="235" t="s">
        <v>317</v>
      </c>
      <c r="S4" s="235" t="s">
        <v>316</v>
      </c>
      <c r="T4" s="539" t="s">
        <v>1991</v>
      </c>
      <c r="U4" s="634">
        <v>45930</v>
      </c>
      <c r="V4" s="634">
        <v>45930</v>
      </c>
      <c r="W4" s="235" t="s">
        <v>316</v>
      </c>
      <c r="X4" s="235" t="s">
        <v>319</v>
      </c>
      <c r="Y4" s="235" t="s">
        <v>319</v>
      </c>
      <c r="Z4" s="235" t="s">
        <v>320</v>
      </c>
      <c r="AA4" s="235" t="s">
        <v>316</v>
      </c>
      <c r="AB4" s="235" t="s">
        <v>1992</v>
      </c>
      <c r="AC4" s="235" t="s">
        <v>316</v>
      </c>
      <c r="AD4" s="146" t="s">
        <v>1993</v>
      </c>
      <c r="AE4" s="490" t="s">
        <v>1994</v>
      </c>
      <c r="AF4" s="235" t="s">
        <v>1995</v>
      </c>
      <c r="AG4" s="235" t="s">
        <v>1996</v>
      </c>
      <c r="AH4" s="235" t="s">
        <v>1997</v>
      </c>
      <c r="AI4" s="235" t="s">
        <v>1998</v>
      </c>
      <c r="AJ4" s="235" t="s">
        <v>1999</v>
      </c>
      <c r="AK4" s="235"/>
      <c r="AL4" s="235"/>
      <c r="AM4" s="235" t="s">
        <v>2000</v>
      </c>
      <c r="AN4" s="235" t="s">
        <v>2001</v>
      </c>
      <c r="AO4" s="235" t="s">
        <v>1484</v>
      </c>
    </row>
    <row r="5" spans="1:41" s="610" customFormat="1" ht="138.75">
      <c r="A5" s="235">
        <v>4</v>
      </c>
      <c r="B5" s="635" t="s">
        <v>5</v>
      </c>
      <c r="C5" s="636">
        <v>45924</v>
      </c>
      <c r="D5" s="636">
        <v>45937</v>
      </c>
      <c r="E5" s="235" t="s">
        <v>1974</v>
      </c>
      <c r="F5" s="235" t="s">
        <v>315</v>
      </c>
      <c r="G5" s="637">
        <v>49370</v>
      </c>
      <c r="H5" s="235" t="s">
        <v>1683</v>
      </c>
      <c r="I5" s="635" t="s">
        <v>1303</v>
      </c>
      <c r="J5" s="235">
        <v>3</v>
      </c>
      <c r="K5" s="235"/>
      <c r="L5" s="235">
        <v>19</v>
      </c>
      <c r="M5" s="634">
        <v>45926</v>
      </c>
      <c r="N5" s="634">
        <v>45933</v>
      </c>
      <c r="O5" s="235"/>
      <c r="P5" s="235"/>
      <c r="Q5" s="235"/>
      <c r="R5" s="235"/>
      <c r="S5" s="235"/>
      <c r="T5" s="235"/>
      <c r="U5" s="235"/>
      <c r="V5" s="235"/>
      <c r="W5" s="235"/>
      <c r="X5" s="235"/>
      <c r="Y5" s="235"/>
      <c r="Z5" s="235"/>
      <c r="AA5" s="235"/>
      <c r="AB5" s="235"/>
      <c r="AC5" s="235"/>
      <c r="AD5" s="235" t="s">
        <v>2002</v>
      </c>
      <c r="AE5" s="235"/>
      <c r="AF5" s="235"/>
      <c r="AG5" s="235"/>
      <c r="AH5" s="235" t="s">
        <v>2003</v>
      </c>
      <c r="AI5" s="235" t="s">
        <v>2004</v>
      </c>
      <c r="AJ5" s="235" t="s">
        <v>2005</v>
      </c>
      <c r="AK5" s="235"/>
      <c r="AL5" s="235"/>
      <c r="AM5" s="235" t="s">
        <v>2006</v>
      </c>
      <c r="AN5" s="235" t="s">
        <v>2007</v>
      </c>
      <c r="AO5" s="235" t="s">
        <v>2008</v>
      </c>
    </row>
    <row r="6" spans="1:41" s="610" customFormat="1" ht="104.25">
      <c r="A6" s="235">
        <v>5</v>
      </c>
      <c r="B6" s="635" t="s">
        <v>5</v>
      </c>
      <c r="C6" s="636">
        <v>45924</v>
      </c>
      <c r="D6" s="636">
        <v>45937</v>
      </c>
      <c r="E6" s="235" t="s">
        <v>2009</v>
      </c>
      <c r="F6" s="235" t="s">
        <v>317</v>
      </c>
      <c r="G6" s="235">
        <v>49950</v>
      </c>
      <c r="H6" s="235" t="s">
        <v>1599</v>
      </c>
      <c r="I6" s="635" t="s">
        <v>399</v>
      </c>
      <c r="J6" s="235">
        <v>2</v>
      </c>
      <c r="K6" s="235"/>
      <c r="L6" s="235">
        <v>0</v>
      </c>
      <c r="M6" s="235"/>
      <c r="N6" s="235"/>
      <c r="O6" s="235"/>
      <c r="P6" s="235"/>
      <c r="Q6" s="235"/>
      <c r="R6" s="235"/>
      <c r="S6" s="235"/>
      <c r="T6" s="235"/>
      <c r="U6" s="235"/>
      <c r="V6" s="235"/>
      <c r="W6" s="235"/>
      <c r="X6" s="235"/>
      <c r="Y6" s="235"/>
      <c r="Z6" s="235"/>
      <c r="AA6" s="235"/>
      <c r="AB6" s="235"/>
      <c r="AC6" s="235"/>
      <c r="AD6" s="235" t="s">
        <v>2010</v>
      </c>
      <c r="AE6" s="235"/>
      <c r="AF6" s="235" t="s">
        <v>2011</v>
      </c>
      <c r="AG6" s="235" t="s">
        <v>2012</v>
      </c>
      <c r="AH6" s="235" t="s">
        <v>1601</v>
      </c>
      <c r="AI6" s="235" t="s">
        <v>2013</v>
      </c>
      <c r="AJ6" s="235" t="s">
        <v>2013</v>
      </c>
      <c r="AK6" s="235"/>
      <c r="AL6" s="235"/>
      <c r="AM6" s="235" t="s">
        <v>2013</v>
      </c>
      <c r="AN6" s="235" t="s">
        <v>2013</v>
      </c>
      <c r="AO6" s="235" t="s">
        <v>434</v>
      </c>
    </row>
    <row r="7" spans="1:41" s="610" customFormat="1" ht="132" customHeight="1">
      <c r="A7" s="235">
        <v>6</v>
      </c>
      <c r="B7" s="635" t="s">
        <v>5</v>
      </c>
      <c r="C7" s="636">
        <v>45924</v>
      </c>
      <c r="D7" s="636">
        <v>45937</v>
      </c>
      <c r="E7" s="235" t="s">
        <v>1974</v>
      </c>
      <c r="F7" s="235" t="s">
        <v>2014</v>
      </c>
      <c r="G7" s="637" t="s">
        <v>1619</v>
      </c>
      <c r="H7" s="235" t="s">
        <v>1542</v>
      </c>
      <c r="I7" s="635" t="s">
        <v>348</v>
      </c>
      <c r="J7" s="235">
        <v>0</v>
      </c>
      <c r="K7" s="235"/>
      <c r="L7" s="235">
        <v>15.25</v>
      </c>
      <c r="M7" s="235"/>
      <c r="N7" s="235"/>
      <c r="O7" s="235"/>
      <c r="P7" s="235"/>
      <c r="Q7" s="235"/>
      <c r="R7" s="235"/>
      <c r="S7" s="235"/>
      <c r="T7" s="235"/>
      <c r="U7" s="235"/>
      <c r="V7" s="235"/>
      <c r="W7" s="235"/>
      <c r="X7" s="235"/>
      <c r="Y7" s="235"/>
      <c r="Z7" s="235"/>
      <c r="AA7" s="235"/>
      <c r="AB7" s="235"/>
      <c r="AC7" s="235"/>
      <c r="AD7" s="235"/>
      <c r="AE7" s="235"/>
      <c r="AF7" s="235"/>
      <c r="AG7" s="235"/>
      <c r="AH7" s="235" t="s">
        <v>2015</v>
      </c>
      <c r="AI7" s="235" t="s">
        <v>2016</v>
      </c>
      <c r="AJ7" s="235" t="s">
        <v>2017</v>
      </c>
      <c r="AK7" s="235" t="s">
        <v>2018</v>
      </c>
      <c r="AL7" s="235"/>
      <c r="AM7" s="235" t="s">
        <v>2019</v>
      </c>
      <c r="AN7" s="235" t="s">
        <v>2020</v>
      </c>
      <c r="AO7" s="235" t="s">
        <v>2021</v>
      </c>
    </row>
    <row r="8" spans="1:41" s="610" customFormat="1" ht="113.25" customHeight="1">
      <c r="A8" s="235">
        <v>7</v>
      </c>
      <c r="B8" s="635" t="s">
        <v>5</v>
      </c>
      <c r="C8" s="636">
        <v>45924</v>
      </c>
      <c r="D8" s="636">
        <v>45937</v>
      </c>
      <c r="E8" s="235" t="s">
        <v>1974</v>
      </c>
      <c r="F8" s="235" t="s">
        <v>317</v>
      </c>
      <c r="G8" s="129" t="s">
        <v>2022</v>
      </c>
      <c r="H8" s="93" t="s">
        <v>1953</v>
      </c>
      <c r="I8" s="635" t="s">
        <v>399</v>
      </c>
      <c r="J8" s="235">
        <v>0</v>
      </c>
      <c r="K8" s="235"/>
      <c r="L8" s="235">
        <v>13.75</v>
      </c>
      <c r="M8" s="235"/>
      <c r="N8" s="235"/>
      <c r="O8" s="235"/>
      <c r="P8" s="235"/>
      <c r="Q8" s="235"/>
      <c r="R8" s="235"/>
      <c r="S8" s="235"/>
      <c r="T8" s="235"/>
      <c r="U8" s="235"/>
      <c r="V8" s="235"/>
      <c r="W8" s="235"/>
      <c r="X8" s="235"/>
      <c r="Y8" s="235"/>
      <c r="Z8" s="235"/>
      <c r="AA8" s="235"/>
      <c r="AB8" s="235"/>
      <c r="AC8" s="235"/>
      <c r="AD8" s="235"/>
      <c r="AE8" s="235"/>
      <c r="AF8" s="235"/>
      <c r="AG8" s="235"/>
      <c r="AH8" s="235"/>
      <c r="AI8" s="235"/>
      <c r="AJ8" s="235" t="s">
        <v>2023</v>
      </c>
      <c r="AK8" s="235"/>
      <c r="AL8" s="235"/>
      <c r="AM8" s="235" t="s">
        <v>2024</v>
      </c>
      <c r="AN8" s="235" t="s">
        <v>2025</v>
      </c>
      <c r="AO8" s="235" t="s">
        <v>2026</v>
      </c>
    </row>
    <row r="9" spans="1:41" s="610" customFormat="1" ht="35.25">
      <c r="A9" s="235">
        <v>8</v>
      </c>
      <c r="B9" s="635" t="s">
        <v>5</v>
      </c>
      <c r="C9" s="636">
        <v>45924</v>
      </c>
      <c r="D9" s="636">
        <v>45937</v>
      </c>
      <c r="E9" s="235" t="s">
        <v>2009</v>
      </c>
      <c r="F9" s="235" t="s">
        <v>1892</v>
      </c>
      <c r="G9" s="129" t="s">
        <v>1893</v>
      </c>
      <c r="H9" s="235" t="s">
        <v>1894</v>
      </c>
      <c r="I9" s="635" t="s">
        <v>399</v>
      </c>
      <c r="J9" s="235">
        <v>0</v>
      </c>
      <c r="K9" s="235"/>
      <c r="L9" s="235">
        <v>28.5</v>
      </c>
      <c r="M9" s="235"/>
      <c r="N9" s="235"/>
      <c r="O9" s="235"/>
      <c r="P9" s="235"/>
      <c r="Q9" s="235"/>
      <c r="R9" s="235"/>
      <c r="S9" s="235"/>
      <c r="T9" s="235"/>
      <c r="U9" s="235"/>
      <c r="V9" s="235"/>
      <c r="W9" s="235"/>
      <c r="X9" s="235"/>
      <c r="Y9" s="235"/>
      <c r="Z9" s="235"/>
      <c r="AA9" s="235"/>
      <c r="AB9" s="235"/>
      <c r="AC9" s="235"/>
      <c r="AD9" s="235"/>
      <c r="AE9" s="235"/>
      <c r="AF9" s="235"/>
      <c r="AG9" s="235"/>
      <c r="AH9" s="235"/>
      <c r="AI9" s="235"/>
      <c r="AJ9" s="235"/>
      <c r="AK9" s="235"/>
      <c r="AL9" s="235"/>
      <c r="AM9" s="235"/>
      <c r="AN9" s="235" t="s">
        <v>2027</v>
      </c>
      <c r="AO9" s="235" t="s">
        <v>2028</v>
      </c>
    </row>
    <row r="10" spans="1:41" s="610" customFormat="1" ht="150.75">
      <c r="A10" s="235">
        <v>9</v>
      </c>
      <c r="B10" s="635" t="s">
        <v>5</v>
      </c>
      <c r="C10" s="636">
        <v>45924</v>
      </c>
      <c r="D10" s="636">
        <v>45937</v>
      </c>
      <c r="E10" s="235" t="s">
        <v>2029</v>
      </c>
      <c r="F10" s="235" t="s">
        <v>313</v>
      </c>
      <c r="G10" s="235">
        <v>49371</v>
      </c>
      <c r="H10" s="235" t="s">
        <v>2030</v>
      </c>
      <c r="I10" s="635" t="s">
        <v>306</v>
      </c>
      <c r="J10" s="235">
        <v>2</v>
      </c>
      <c r="K10" s="235">
        <v>2.25</v>
      </c>
      <c r="L10" s="235">
        <v>9</v>
      </c>
      <c r="M10" s="634">
        <v>45929</v>
      </c>
      <c r="N10" s="634">
        <v>45930</v>
      </c>
      <c r="O10" s="235" t="s">
        <v>320</v>
      </c>
      <c r="P10" s="235" t="s">
        <v>320</v>
      </c>
      <c r="Q10" s="235" t="s">
        <v>320</v>
      </c>
      <c r="R10" s="235" t="s">
        <v>320</v>
      </c>
      <c r="S10" s="235" t="s">
        <v>320</v>
      </c>
      <c r="T10" s="235" t="s">
        <v>320</v>
      </c>
      <c r="U10" s="235" t="s">
        <v>320</v>
      </c>
      <c r="V10" s="235" t="s">
        <v>320</v>
      </c>
      <c r="W10" s="235" t="s">
        <v>320</v>
      </c>
      <c r="X10" s="235" t="s">
        <v>320</v>
      </c>
      <c r="Y10" s="235" t="s">
        <v>320</v>
      </c>
      <c r="Z10" s="235" t="s">
        <v>320</v>
      </c>
      <c r="AA10" s="235" t="s">
        <v>320</v>
      </c>
      <c r="AB10" s="235" t="s">
        <v>320</v>
      </c>
      <c r="AC10" s="235" t="s">
        <v>320</v>
      </c>
      <c r="AD10" s="235" t="s">
        <v>2031</v>
      </c>
      <c r="AE10" s="490" t="s">
        <v>423</v>
      </c>
      <c r="AF10" s="235"/>
      <c r="AG10" s="235"/>
      <c r="AH10" s="235"/>
      <c r="AI10" s="235" t="s">
        <v>2032</v>
      </c>
      <c r="AJ10" s="235" t="s">
        <v>2033</v>
      </c>
      <c r="AK10" s="235"/>
      <c r="AL10" s="235"/>
      <c r="AM10" s="235" t="s">
        <v>2034</v>
      </c>
      <c r="AN10" s="235" t="s">
        <v>2035</v>
      </c>
      <c r="AO10" s="235" t="s">
        <v>2036</v>
      </c>
    </row>
    <row r="11" spans="1:41" s="610" customFormat="1" ht="58.5">
      <c r="A11" s="235">
        <v>10</v>
      </c>
      <c r="B11" s="635" t="s">
        <v>5</v>
      </c>
      <c r="C11" s="636">
        <v>45924</v>
      </c>
      <c r="D11" s="636">
        <v>45937</v>
      </c>
      <c r="E11" s="235" t="s">
        <v>2037</v>
      </c>
      <c r="F11" s="235" t="s">
        <v>2038</v>
      </c>
      <c r="G11" s="235">
        <v>50198</v>
      </c>
      <c r="H11" s="235" t="s">
        <v>2039</v>
      </c>
      <c r="I11" s="635" t="s">
        <v>306</v>
      </c>
      <c r="J11" s="235">
        <v>3</v>
      </c>
      <c r="K11" s="235">
        <v>3.5</v>
      </c>
      <c r="L11" s="235">
        <v>14</v>
      </c>
      <c r="M11" s="634">
        <v>45924</v>
      </c>
      <c r="N11" s="634">
        <v>45926</v>
      </c>
      <c r="O11" s="235" t="s">
        <v>320</v>
      </c>
      <c r="P11" s="235" t="s">
        <v>1976</v>
      </c>
      <c r="Q11" s="235" t="s">
        <v>316</v>
      </c>
      <c r="R11" s="235" t="s">
        <v>317</v>
      </c>
      <c r="S11" s="235" t="s">
        <v>316</v>
      </c>
      <c r="T11" s="539" t="s">
        <v>2040</v>
      </c>
      <c r="U11" s="634">
        <v>45929</v>
      </c>
      <c r="V11" s="235" t="s">
        <v>2041</v>
      </c>
      <c r="W11" s="235" t="s">
        <v>316</v>
      </c>
      <c r="X11" s="235" t="s">
        <v>319</v>
      </c>
      <c r="Y11" s="235" t="s">
        <v>319</v>
      </c>
      <c r="Z11" s="235" t="s">
        <v>320</v>
      </c>
      <c r="AA11" s="235" t="s">
        <v>320</v>
      </c>
      <c r="AB11" s="235" t="s">
        <v>320</v>
      </c>
      <c r="AC11" s="235" t="s">
        <v>320</v>
      </c>
      <c r="AD11" s="235" t="s">
        <v>320</v>
      </c>
      <c r="AE11" s="235"/>
      <c r="AF11" s="235" t="s">
        <v>2042</v>
      </c>
      <c r="AG11" s="235" t="s">
        <v>2043</v>
      </c>
      <c r="AH11" s="235" t="s">
        <v>1982</v>
      </c>
      <c r="AI11" s="235" t="s">
        <v>1982</v>
      </c>
      <c r="AJ11" s="235" t="s">
        <v>2044</v>
      </c>
      <c r="AK11" s="235"/>
      <c r="AL11" s="235"/>
      <c r="AM11" s="235" t="s">
        <v>434</v>
      </c>
      <c r="AN11" s="235"/>
      <c r="AO11" s="235"/>
    </row>
    <row r="12" spans="1:41" s="610" customFormat="1" ht="104.25">
      <c r="A12" s="235">
        <v>11</v>
      </c>
      <c r="B12" s="635" t="s">
        <v>5</v>
      </c>
      <c r="C12" s="636">
        <v>45924</v>
      </c>
      <c r="D12" s="636">
        <v>45937</v>
      </c>
      <c r="E12" s="235" t="s">
        <v>2029</v>
      </c>
      <c r="F12" s="235" t="s">
        <v>313</v>
      </c>
      <c r="G12" s="235">
        <v>49372</v>
      </c>
      <c r="H12" s="635" t="s">
        <v>2045</v>
      </c>
      <c r="I12" s="635" t="s">
        <v>1303</v>
      </c>
      <c r="J12" s="235">
        <v>2</v>
      </c>
      <c r="K12" s="235"/>
      <c r="L12" s="235">
        <v>6</v>
      </c>
      <c r="M12" s="634">
        <v>45933</v>
      </c>
      <c r="N12" s="634"/>
      <c r="O12" s="235"/>
      <c r="P12" s="235"/>
      <c r="Q12" s="235"/>
      <c r="R12" s="235"/>
      <c r="S12" s="235"/>
      <c r="T12" s="235"/>
      <c r="U12" s="235"/>
      <c r="V12" s="235"/>
      <c r="W12" s="235"/>
      <c r="X12" s="235"/>
      <c r="Y12" s="235"/>
      <c r="Z12" s="235"/>
      <c r="AA12" s="235"/>
      <c r="AB12" s="235"/>
      <c r="AC12" s="235"/>
      <c r="AD12" s="235" t="s">
        <v>2046</v>
      </c>
      <c r="AE12" s="235"/>
      <c r="AF12" s="235"/>
      <c r="AG12" s="235"/>
      <c r="AH12" s="235"/>
      <c r="AI12" s="235"/>
      <c r="AJ12" s="235"/>
      <c r="AK12" s="235"/>
      <c r="AL12" s="235"/>
      <c r="AM12" s="235" t="s">
        <v>2047</v>
      </c>
      <c r="AN12" s="235" t="s">
        <v>2048</v>
      </c>
      <c r="AO12" s="235" t="s">
        <v>2046</v>
      </c>
    </row>
    <row r="13" spans="1:41" s="610" customFormat="1" ht="35.25">
      <c r="A13" s="235">
        <v>12</v>
      </c>
      <c r="B13" s="635" t="s">
        <v>5</v>
      </c>
      <c r="C13" s="636">
        <v>45924</v>
      </c>
      <c r="D13" s="636">
        <v>45937</v>
      </c>
      <c r="E13" s="235" t="s">
        <v>2029</v>
      </c>
      <c r="F13" s="235" t="s">
        <v>313</v>
      </c>
      <c r="G13" s="235">
        <v>50303</v>
      </c>
      <c r="H13" s="235" t="s">
        <v>2049</v>
      </c>
      <c r="I13" s="635" t="s">
        <v>1303</v>
      </c>
      <c r="J13" s="235">
        <v>0</v>
      </c>
      <c r="K13" s="235"/>
      <c r="L13" s="235">
        <v>4</v>
      </c>
      <c r="M13" s="634">
        <v>45936</v>
      </c>
      <c r="N13" s="235"/>
      <c r="O13" s="235"/>
      <c r="P13" s="235"/>
      <c r="Q13" s="235"/>
      <c r="R13" s="235"/>
      <c r="S13" s="235"/>
      <c r="T13" s="235"/>
      <c r="U13" s="235"/>
      <c r="V13" s="235"/>
      <c r="W13" s="235"/>
      <c r="X13" s="235"/>
      <c r="Y13" s="235"/>
      <c r="Z13" s="235"/>
      <c r="AA13" s="235"/>
      <c r="AB13" s="235"/>
      <c r="AC13" s="235"/>
      <c r="AD13" s="235" t="s">
        <v>2046</v>
      </c>
      <c r="AE13" s="235"/>
      <c r="AF13" s="235"/>
      <c r="AG13" s="235"/>
      <c r="AH13" s="235"/>
      <c r="AI13" s="235"/>
      <c r="AJ13" s="235"/>
      <c r="AK13" s="235"/>
      <c r="AL13" s="235"/>
      <c r="AM13" s="235"/>
      <c r="AN13" s="235" t="s">
        <v>2050</v>
      </c>
      <c r="AO13" s="235" t="s">
        <v>2046</v>
      </c>
    </row>
    <row r="14" spans="1:41" s="610" customFormat="1">
      <c r="A14" s="235"/>
      <c r="B14" s="235"/>
      <c r="C14" s="235"/>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5"/>
      <c r="AO14" s="235"/>
    </row>
    <row r="15" spans="1:41" s="610" customFormat="1">
      <c r="A15" s="235"/>
      <c r="B15" s="235"/>
      <c r="C15" s="235"/>
      <c r="D15" s="235"/>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5"/>
      <c r="AI15" s="235"/>
      <c r="AJ15" s="235"/>
      <c r="AK15" s="235"/>
      <c r="AL15" s="235"/>
      <c r="AM15" s="235"/>
      <c r="AN15" s="235"/>
      <c r="AO15" s="235"/>
    </row>
    <row r="16" spans="1:41" s="610" customFormat="1">
      <c r="A16" s="235"/>
      <c r="B16" s="235"/>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row>
    <row r="17" spans="1:41" s="610" customFormat="1">
      <c r="A17" s="235"/>
      <c r="B17" s="235"/>
      <c r="C17" s="235"/>
      <c r="D17" s="235"/>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row>
    <row r="18" spans="1:41" s="610" customFormat="1"/>
    <row r="19" spans="1:41" s="610" customFormat="1"/>
    <row r="20" spans="1:41" s="610" customFormat="1"/>
    <row r="21" spans="1:41" s="610" customFormat="1"/>
    <row r="22" spans="1:41" s="610" customFormat="1"/>
    <row r="23" spans="1:41" s="610" customFormat="1"/>
    <row r="24" spans="1:41" s="610" customFormat="1"/>
    <row r="25" spans="1:41" s="610" customFormat="1"/>
    <row r="26" spans="1:41" s="610" customFormat="1"/>
    <row r="27" spans="1:41" s="610" customFormat="1"/>
    <row r="28" spans="1:41" s="610" customFormat="1"/>
  </sheetData>
  <conditionalFormatting sqref="J1 I2:I13">
    <cfRule type="containsText" dxfId="587" priority="7" operator="containsText" text="Closed">
      <formula>NOT(ISERROR(SEARCH("Closed",I1)))</formula>
    </cfRule>
    <cfRule type="containsText" dxfId="586" priority="8" operator="containsText" text="Open">
      <formula>NOT(ISERROR(SEARCH("Open",I1)))</formula>
    </cfRule>
    <cfRule type="containsText" dxfId="585" priority="9" operator="containsText" text="Inprogress">
      <formula>NOT(ISERROR(SEARCH("Inprogress",I1)))</formula>
    </cfRule>
  </conditionalFormatting>
  <dataValidations count="11">
    <dataValidation type="list" showErrorMessage="1" sqref="P1" xr:uid="{029D1C96-A7B4-4701-AA5F-7992A3DDA5BC}">
      <formula1>"Qadir,Rijo,Karthik,Sushmitha,None,TBD"</formula1>
    </dataValidation>
    <dataValidation type="list" showErrorMessage="1" sqref="R1" xr:uid="{7FAE51AB-BCD5-4DD1-A91D-46DC403A8F16}">
      <formula1>"Qadir,Rijo,Karthik,None,TBD"</formula1>
    </dataValidation>
    <dataValidation type="list" showErrorMessage="1" sqref="Q1" xr:uid="{C09469C1-6BAF-4ACD-9F42-8AA644339470}">
      <formula1>"Pass,Fail(BacktoDev),DB Script tests in QA DB,TBD"</formula1>
    </dataValidation>
    <dataValidation type="list" showErrorMessage="1" sqref="AC1" xr:uid="{AC0BFFF3-3A61-4A5E-836D-3E3F73FCE40E}">
      <formula1>"Pending-Waiting for Customer confirmation, Approved-Satisified AC,Not Approved-New minor changes requested(Back to Dev),NA,TBD"</formula1>
    </dataValidation>
    <dataValidation type="list" showErrorMessage="1" sqref="AB1" xr:uid="{E74CFC69-C2B3-4E96-8BA5-CDC730CE8D67}">
      <formula1>"Approved-Satisified AC,Not Approved(Back to Dev),NA,TBD"</formula1>
    </dataValidation>
    <dataValidation type="list" showErrorMessage="1" sqref="S1:T1 X1 AA1" xr:uid="{051F0FCD-6E5D-4026-8EAB-543791033662}">
      <formula1>"No issues found,Issues observed(BacktoDev),DB Script tests in QA DB,NA,TBD"</formula1>
    </dataValidation>
    <dataValidation type="list" showErrorMessage="1" sqref="Y1:Z1 W1 O1" xr:uid="{A437D374-0665-4F01-B8FA-E4461508A8E2}">
      <formula1>"Open,Inprogress,Completed,TBD,NA"</formula1>
    </dataValidation>
    <dataValidation allowBlank="1" showInputMessage="1" showErrorMessage="1" sqref="AD1:AE1" xr:uid="{01135C30-E0FF-4469-9613-4F9AD183724A}"/>
    <dataValidation showErrorMessage="1" sqref="I1" xr:uid="{499709B7-6639-4616-87E8-C08E80FE29D0}"/>
    <dataValidation type="list" allowBlank="1" showErrorMessage="1" sqref="J1" xr:uid="{C7F24792-2C79-4F18-81BE-22753CDD620C}">
      <formula1>"Open,Inprogress,Closed"</formula1>
    </dataValidation>
    <dataValidation type="list" allowBlank="1" showInputMessage="1" showErrorMessage="1" sqref="AE3:AE4 AE10" xr:uid="{52BFC847-5251-4FDD-B0DD-03D7005BCCF2}">
      <formula1>"Exceeds Expectation,Meets Expectation,Needs improvements"</formula1>
    </dataValidation>
  </dataValidations>
  <hyperlinks>
    <hyperlink ref="T3" r:id="rId1" xr:uid="{18555E5A-FA05-41DF-B544-9A03A89312ED}"/>
    <hyperlink ref="T11" r:id="rId2" xr:uid="{21D366CF-0B15-422F-BA34-619455C42A4B}"/>
    <hyperlink ref="T4" r:id="rId3" xr:uid="{CDBE2B8F-0DFD-4806-88A6-B683AA22443A}"/>
    <hyperlink ref="T2" r:id="rId4" xr:uid="{9E7CE5B4-53C7-4633-973B-5BC0FF8FB5F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DA7DF4E-B888-4DA9-AF5F-45A30D13BC79}">
          <x14:formula1>
            <xm:f>Settings!$C$3:$C$20</xm:f>
          </x14:formula1>
          <xm:sqref>I2:I13</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75DE5-B51C-4D94-9009-26B9A5962EF7}">
  <dimension ref="A1:M29"/>
  <sheetViews>
    <sheetView topLeftCell="E1" workbookViewId="0">
      <selection activeCell="M2" sqref="M2"/>
    </sheetView>
  </sheetViews>
  <sheetFormatPr defaultRowHeight="12.75"/>
  <cols>
    <col min="3" max="3" width="12.28515625" customWidth="1"/>
    <col min="4" max="4" width="12.7109375" customWidth="1"/>
    <col min="5" max="5" width="14.42578125" customWidth="1"/>
    <col min="6" max="6" width="12.5703125" customWidth="1"/>
    <col min="7" max="7" width="79.140625" customWidth="1"/>
    <col min="9" max="9" width="14.28515625" customWidth="1"/>
    <col min="11" max="11" width="23" customWidth="1"/>
    <col min="12" max="12" width="17.7109375" customWidth="1"/>
    <col min="13" max="13" width="26.140625" customWidth="1"/>
  </cols>
  <sheetData>
    <row r="1" spans="1:13" ht="33" customHeight="1">
      <c r="A1" s="586" t="s">
        <v>266</v>
      </c>
      <c r="B1" s="155" t="s">
        <v>10</v>
      </c>
      <c r="C1" s="280" t="s">
        <v>267</v>
      </c>
      <c r="D1" s="280" t="s">
        <v>268</v>
      </c>
      <c r="E1" s="155" t="s">
        <v>269</v>
      </c>
      <c r="F1" s="280" t="s">
        <v>270</v>
      </c>
      <c r="G1" s="280" t="s">
        <v>271</v>
      </c>
      <c r="H1" s="155" t="s">
        <v>272</v>
      </c>
      <c r="I1" s="155" t="s">
        <v>273</v>
      </c>
      <c r="J1" s="155" t="s">
        <v>274</v>
      </c>
      <c r="K1" s="155" t="s">
        <v>275</v>
      </c>
      <c r="L1" s="605" t="s">
        <v>276</v>
      </c>
      <c r="M1" s="468" t="s">
        <v>277</v>
      </c>
    </row>
    <row r="2" spans="1:13" ht="46.5">
      <c r="A2" s="147">
        <v>1</v>
      </c>
      <c r="B2" s="146" t="s">
        <v>2051</v>
      </c>
      <c r="C2" s="147" t="s">
        <v>1619</v>
      </c>
      <c r="D2" s="590"/>
      <c r="E2" s="147" t="s">
        <v>1673</v>
      </c>
      <c r="F2" s="598" t="s">
        <v>522</v>
      </c>
      <c r="G2" s="146" t="s">
        <v>1542</v>
      </c>
      <c r="H2" s="513" t="s">
        <v>1670</v>
      </c>
      <c r="I2" s="598" t="s">
        <v>518</v>
      </c>
      <c r="J2" s="513" t="s">
        <v>519</v>
      </c>
      <c r="K2" s="598" t="s">
        <v>1205</v>
      </c>
      <c r="L2" s="68" t="s">
        <v>1325</v>
      </c>
      <c r="M2" s="373" t="s">
        <v>1675</v>
      </c>
    </row>
    <row r="3" spans="1:13" ht="46.5">
      <c r="A3" s="188">
        <v>2</v>
      </c>
      <c r="B3" s="146" t="s">
        <v>2051</v>
      </c>
      <c r="C3" s="146" t="s">
        <v>2022</v>
      </c>
      <c r="D3" s="590"/>
      <c r="E3" s="626" t="s">
        <v>1673</v>
      </c>
      <c r="F3" s="639" t="s">
        <v>522</v>
      </c>
      <c r="G3" s="146" t="s">
        <v>1953</v>
      </c>
      <c r="H3" s="513" t="s">
        <v>1670</v>
      </c>
      <c r="I3" s="598" t="s">
        <v>518</v>
      </c>
      <c r="J3" s="513" t="s">
        <v>519</v>
      </c>
      <c r="K3" s="598" t="s">
        <v>1674</v>
      </c>
      <c r="L3" s="62" t="s">
        <v>529</v>
      </c>
      <c r="M3" s="629" t="s">
        <v>2052</v>
      </c>
    </row>
    <row r="4" spans="1:13" ht="127.5">
      <c r="A4" s="147">
        <v>3</v>
      </c>
      <c r="B4" s="146" t="s">
        <v>2051</v>
      </c>
      <c r="C4" s="146" t="s">
        <v>1893</v>
      </c>
      <c r="D4" s="511"/>
      <c r="E4" s="147" t="s">
        <v>1673</v>
      </c>
      <c r="F4" s="639" t="s">
        <v>522</v>
      </c>
      <c r="G4" s="146" t="s">
        <v>2053</v>
      </c>
      <c r="H4" s="513" t="s">
        <v>1670</v>
      </c>
      <c r="I4" s="598" t="s">
        <v>518</v>
      </c>
      <c r="J4" s="513" t="s">
        <v>519</v>
      </c>
      <c r="K4" s="598" t="s">
        <v>1674</v>
      </c>
      <c r="L4" s="62" t="s">
        <v>529</v>
      </c>
      <c r="M4" s="146" t="s">
        <v>2054</v>
      </c>
    </row>
    <row r="5" spans="1:13" ht="96.75" customHeight="1">
      <c r="A5" s="147">
        <v>4</v>
      </c>
      <c r="B5" s="146" t="s">
        <v>2051</v>
      </c>
      <c r="C5" s="510" t="s">
        <v>1787</v>
      </c>
      <c r="D5" s="511"/>
      <c r="E5" s="147" t="s">
        <v>1673</v>
      </c>
      <c r="F5" s="512" t="s">
        <v>522</v>
      </c>
      <c r="G5" s="146" t="s">
        <v>1788</v>
      </c>
      <c r="H5" s="513" t="s">
        <v>1670</v>
      </c>
      <c r="I5" s="598" t="s">
        <v>518</v>
      </c>
      <c r="J5" s="513" t="s">
        <v>519</v>
      </c>
      <c r="K5" s="598" t="s">
        <v>1205</v>
      </c>
      <c r="L5" s="62" t="s">
        <v>529</v>
      </c>
      <c r="M5" s="629" t="s">
        <v>1879</v>
      </c>
    </row>
    <row r="6" spans="1:13" ht="63" customHeight="1">
      <c r="A6" s="147">
        <v>5</v>
      </c>
      <c r="B6" s="146" t="s">
        <v>2051</v>
      </c>
      <c r="C6" s="510" t="s">
        <v>1856</v>
      </c>
      <c r="D6" s="511"/>
      <c r="E6" s="147" t="s">
        <v>1673</v>
      </c>
      <c r="F6" s="512" t="s">
        <v>522</v>
      </c>
      <c r="G6" s="146" t="s">
        <v>1880</v>
      </c>
      <c r="H6" s="513" t="s">
        <v>1670</v>
      </c>
      <c r="I6" s="598" t="s">
        <v>518</v>
      </c>
      <c r="J6" s="513" t="s">
        <v>519</v>
      </c>
      <c r="K6" s="598" t="s">
        <v>1205</v>
      </c>
      <c r="L6" s="62" t="s">
        <v>529</v>
      </c>
      <c r="M6" s="96" t="s">
        <v>1927</v>
      </c>
    </row>
    <row r="7" spans="1:13" ht="81">
      <c r="A7" s="147">
        <v>6</v>
      </c>
      <c r="B7" s="146" t="s">
        <v>2051</v>
      </c>
      <c r="C7" s="147" t="s">
        <v>1955</v>
      </c>
      <c r="D7" s="511"/>
      <c r="E7" s="147" t="s">
        <v>1673</v>
      </c>
      <c r="F7" s="512" t="s">
        <v>522</v>
      </c>
      <c r="G7" s="146" t="s">
        <v>2055</v>
      </c>
      <c r="H7" s="513" t="s">
        <v>1670</v>
      </c>
      <c r="I7" s="598" t="s">
        <v>518</v>
      </c>
      <c r="J7" s="513" t="s">
        <v>519</v>
      </c>
      <c r="K7" s="598" t="s">
        <v>1674</v>
      </c>
      <c r="L7" s="62" t="s">
        <v>2056</v>
      </c>
      <c r="M7" s="146" t="s">
        <v>2057</v>
      </c>
    </row>
    <row r="8" spans="1:13" s="150" customFormat="1" ht="81">
      <c r="A8" s="147">
        <v>7</v>
      </c>
      <c r="B8" s="146" t="s">
        <v>2051</v>
      </c>
      <c r="C8" s="147" t="s">
        <v>1822</v>
      </c>
      <c r="D8" s="511"/>
      <c r="E8" s="147" t="s">
        <v>1673</v>
      </c>
      <c r="F8" s="512" t="s">
        <v>522</v>
      </c>
      <c r="G8" s="146" t="s">
        <v>1882</v>
      </c>
      <c r="H8" s="165" t="s">
        <v>1670</v>
      </c>
      <c r="I8" s="512" t="s">
        <v>518</v>
      </c>
      <c r="J8" s="165" t="s">
        <v>519</v>
      </c>
      <c r="K8" s="512" t="s">
        <v>1205</v>
      </c>
      <c r="L8" s="62" t="s">
        <v>529</v>
      </c>
      <c r="M8" s="146" t="s">
        <v>1883</v>
      </c>
    </row>
    <row r="9" spans="1:13" s="150" customFormat="1" ht="75" customHeight="1">
      <c r="A9" s="147">
        <v>8</v>
      </c>
      <c r="B9" s="146" t="s">
        <v>2051</v>
      </c>
      <c r="C9" s="147">
        <v>26102</v>
      </c>
      <c r="D9" s="511"/>
      <c r="E9" s="147" t="s">
        <v>313</v>
      </c>
      <c r="F9" s="512" t="s">
        <v>522</v>
      </c>
      <c r="G9" s="146" t="s">
        <v>1906</v>
      </c>
      <c r="H9" s="165" t="s">
        <v>1670</v>
      </c>
      <c r="I9" s="512" t="s">
        <v>518</v>
      </c>
      <c r="J9" s="165" t="s">
        <v>525</v>
      </c>
      <c r="K9" s="512" t="s">
        <v>1674</v>
      </c>
      <c r="L9" s="62" t="s">
        <v>532</v>
      </c>
      <c r="M9" s="146" t="s">
        <v>2058</v>
      </c>
    </row>
    <row r="10" spans="1:13" s="150" customFormat="1" ht="58.5">
      <c r="A10" s="147">
        <v>9</v>
      </c>
      <c r="B10" s="146" t="s">
        <v>2051</v>
      </c>
      <c r="C10" s="147">
        <v>25786</v>
      </c>
      <c r="D10" s="511"/>
      <c r="E10" s="147" t="s">
        <v>315</v>
      </c>
      <c r="F10" s="512" t="s">
        <v>522</v>
      </c>
      <c r="G10" s="146" t="s">
        <v>1794</v>
      </c>
      <c r="H10" s="165" t="s">
        <v>1670</v>
      </c>
      <c r="I10" s="512" t="s">
        <v>518</v>
      </c>
      <c r="J10" s="165" t="s">
        <v>525</v>
      </c>
      <c r="K10" s="512" t="s">
        <v>1205</v>
      </c>
      <c r="L10" s="62" t="s">
        <v>529</v>
      </c>
      <c r="M10" s="146" t="s">
        <v>2059</v>
      </c>
    </row>
    <row r="11" spans="1:13" s="150" customFormat="1">
      <c r="A11" s="147"/>
      <c r="B11" s="146"/>
      <c r="C11" s="147"/>
      <c r="D11" s="511"/>
      <c r="E11" s="147"/>
      <c r="F11" s="512"/>
      <c r="G11" s="146"/>
      <c r="H11" s="165"/>
      <c r="I11" s="512"/>
      <c r="J11" s="165"/>
      <c r="K11" s="512"/>
      <c r="L11" s="62"/>
      <c r="M11" s="146"/>
    </row>
    <row r="12" spans="1:13" s="150" customFormat="1">
      <c r="A12" s="147"/>
      <c r="B12" s="146"/>
      <c r="C12" s="147"/>
      <c r="D12" s="511"/>
      <c r="E12" s="147"/>
      <c r="F12" s="512"/>
      <c r="G12" s="146"/>
      <c r="H12" s="165"/>
      <c r="I12" s="512"/>
      <c r="J12" s="165"/>
      <c r="K12" s="512"/>
      <c r="L12" s="62"/>
      <c r="M12" s="147"/>
    </row>
    <row r="13" spans="1:13" s="150" customFormat="1">
      <c r="A13" s="147"/>
      <c r="B13" s="146"/>
      <c r="C13" s="147"/>
      <c r="D13" s="511"/>
      <c r="E13" s="147"/>
      <c r="F13" s="512"/>
      <c r="G13" s="146"/>
      <c r="H13" s="165"/>
      <c r="I13" s="512"/>
      <c r="J13" s="165"/>
      <c r="K13" s="512"/>
      <c r="L13" s="62"/>
      <c r="M13" s="147"/>
    </row>
    <row r="14" spans="1:13" s="150" customFormat="1">
      <c r="A14" s="147"/>
      <c r="B14" s="146"/>
      <c r="C14" s="147"/>
      <c r="D14" s="511"/>
      <c r="E14" s="147"/>
      <c r="F14" s="512"/>
      <c r="G14" s="146"/>
      <c r="H14" s="165"/>
      <c r="I14" s="512"/>
      <c r="J14" s="165"/>
      <c r="K14" s="512"/>
      <c r="L14" s="62"/>
      <c r="M14" s="147"/>
    </row>
    <row r="15" spans="1:13" s="150" customFormat="1">
      <c r="A15" s="147"/>
      <c r="B15" s="146"/>
      <c r="C15" s="147"/>
      <c r="D15" s="511"/>
      <c r="E15" s="147"/>
      <c r="F15" s="512"/>
      <c r="G15" s="146"/>
      <c r="H15" s="165"/>
      <c r="I15" s="512"/>
      <c r="J15" s="165"/>
      <c r="K15" s="512"/>
      <c r="L15" s="62"/>
      <c r="M15" s="147"/>
    </row>
    <row r="16" spans="1:13" s="150" customFormat="1">
      <c r="A16" s="147"/>
      <c r="B16" s="146"/>
      <c r="C16" s="147"/>
      <c r="D16" s="511"/>
      <c r="E16" s="147"/>
      <c r="F16" s="512"/>
      <c r="G16" s="146"/>
      <c r="H16" s="165"/>
      <c r="I16" s="512"/>
      <c r="J16" s="165"/>
      <c r="K16" s="512"/>
      <c r="L16" s="62"/>
      <c r="M16" s="147"/>
    </row>
    <row r="17" spans="1:13" s="150" customFormat="1">
      <c r="A17" s="147"/>
      <c r="B17" s="146"/>
      <c r="C17" s="147"/>
      <c r="D17" s="511"/>
      <c r="E17" s="147"/>
      <c r="F17" s="512"/>
      <c r="G17" s="146"/>
      <c r="H17" s="165"/>
      <c r="I17" s="512"/>
      <c r="J17" s="165"/>
      <c r="K17" s="512"/>
      <c r="L17" s="62"/>
      <c r="M17" s="147"/>
    </row>
    <row r="18" spans="1:13" s="150" customFormat="1">
      <c r="A18" s="147"/>
      <c r="B18" s="146"/>
      <c r="C18" s="147"/>
      <c r="D18" s="511"/>
      <c r="E18" s="147"/>
      <c r="F18" s="512"/>
      <c r="G18" s="146"/>
      <c r="H18" s="165"/>
      <c r="I18" s="512"/>
      <c r="J18" s="165"/>
      <c r="K18" s="512"/>
      <c r="L18" s="62"/>
      <c r="M18" s="147"/>
    </row>
    <row r="19" spans="1:13" s="150" customFormat="1">
      <c r="A19" s="147"/>
      <c r="B19" s="146"/>
      <c r="C19" s="147"/>
      <c r="D19" s="511"/>
      <c r="E19" s="147"/>
      <c r="F19" s="512"/>
      <c r="G19" s="146"/>
      <c r="H19" s="165"/>
      <c r="I19" s="512"/>
      <c r="J19" s="165"/>
      <c r="K19" s="512"/>
      <c r="L19" s="62"/>
      <c r="M19" s="147"/>
    </row>
    <row r="20" spans="1:13" s="150" customFormat="1">
      <c r="A20" s="147"/>
      <c r="B20" s="146"/>
      <c r="C20" s="147"/>
      <c r="D20" s="511"/>
      <c r="E20" s="147"/>
      <c r="F20" s="512"/>
      <c r="G20" s="146"/>
      <c r="H20" s="165"/>
      <c r="I20" s="512"/>
      <c r="J20" s="165"/>
      <c r="K20" s="512"/>
      <c r="L20" s="62"/>
      <c r="M20" s="147"/>
    </row>
    <row r="21" spans="1:13" s="150" customFormat="1">
      <c r="A21" s="147"/>
      <c r="B21" s="146"/>
      <c r="C21" s="147"/>
      <c r="D21" s="511"/>
      <c r="E21" s="147"/>
      <c r="F21" s="512"/>
      <c r="G21" s="146"/>
      <c r="H21" s="165"/>
      <c r="I21" s="512"/>
      <c r="J21" s="165"/>
      <c r="K21" s="512"/>
      <c r="L21" s="62"/>
      <c r="M21" s="147"/>
    </row>
    <row r="22" spans="1:13" s="150" customFormat="1">
      <c r="A22" s="147"/>
      <c r="B22" s="146"/>
      <c r="C22" s="147"/>
      <c r="D22" s="511"/>
      <c r="E22" s="147"/>
      <c r="F22" s="512"/>
      <c r="G22" s="146"/>
      <c r="H22" s="165"/>
      <c r="I22" s="512"/>
      <c r="J22" s="165"/>
      <c r="K22" s="512"/>
      <c r="L22" s="62"/>
      <c r="M22" s="147"/>
    </row>
    <row r="23" spans="1:13">
      <c r="A23" s="93"/>
      <c r="B23" s="77"/>
      <c r="C23" s="93"/>
      <c r="D23" s="511"/>
      <c r="E23" s="93"/>
      <c r="F23" s="512"/>
      <c r="G23" s="96"/>
      <c r="H23" s="165"/>
      <c r="I23" s="512"/>
      <c r="J23" s="165"/>
      <c r="K23" s="512"/>
      <c r="L23" s="62"/>
      <c r="M23" s="93"/>
    </row>
    <row r="24" spans="1:13">
      <c r="A24" s="93"/>
      <c r="B24" s="77"/>
      <c r="C24" s="93"/>
      <c r="D24" s="511"/>
      <c r="E24" s="93"/>
      <c r="F24" s="512"/>
      <c r="G24" s="96"/>
      <c r="H24" s="165"/>
      <c r="I24" s="512"/>
      <c r="J24" s="165"/>
      <c r="K24" s="512"/>
      <c r="L24" s="62"/>
      <c r="M24" s="93"/>
    </row>
    <row r="25" spans="1:13">
      <c r="A25" s="93"/>
      <c r="B25" s="77"/>
      <c r="C25" s="93"/>
      <c r="D25" s="511"/>
      <c r="E25" s="93"/>
      <c r="F25" s="512"/>
      <c r="G25" s="96"/>
      <c r="H25" s="165"/>
      <c r="I25" s="512"/>
      <c r="J25" s="165"/>
      <c r="K25" s="512"/>
      <c r="L25" s="62"/>
      <c r="M25" s="93"/>
    </row>
    <row r="26" spans="1:13">
      <c r="A26" s="93"/>
      <c r="B26" s="77"/>
      <c r="C26" s="93"/>
      <c r="D26" s="511"/>
      <c r="E26" s="93"/>
      <c r="F26" s="512"/>
      <c r="G26" s="96"/>
      <c r="H26" s="165"/>
      <c r="I26" s="512"/>
      <c r="J26" s="165"/>
      <c r="K26" s="512"/>
      <c r="L26" s="62"/>
      <c r="M26" s="93"/>
    </row>
    <row r="27" spans="1:13">
      <c r="A27" s="93"/>
      <c r="B27" s="77"/>
      <c r="C27" s="93"/>
      <c r="D27" s="511"/>
      <c r="E27" s="93"/>
      <c r="F27" s="512"/>
      <c r="G27" s="96"/>
      <c r="H27" s="165"/>
      <c r="I27" s="512"/>
      <c r="J27" s="165"/>
      <c r="K27" s="512"/>
      <c r="L27" s="62"/>
      <c r="M27" s="93"/>
    </row>
    <row r="28" spans="1:13">
      <c r="A28" s="93"/>
      <c r="B28" s="77"/>
      <c r="C28" s="93"/>
      <c r="D28" s="511"/>
      <c r="E28" s="93"/>
      <c r="F28" s="512"/>
      <c r="G28" s="96"/>
      <c r="H28" s="165"/>
      <c r="I28" s="512"/>
      <c r="J28" s="165"/>
      <c r="K28" s="512"/>
      <c r="L28" s="62"/>
      <c r="M28" s="93"/>
    </row>
    <row r="29" spans="1:13">
      <c r="A29" s="93"/>
      <c r="B29" s="77"/>
      <c r="C29" s="93"/>
      <c r="D29" s="511"/>
      <c r="E29" s="93"/>
      <c r="F29" s="512"/>
      <c r="G29" s="96"/>
      <c r="H29" s="165"/>
      <c r="I29" s="512"/>
      <c r="J29" s="165"/>
      <c r="K29" s="512"/>
      <c r="L29" s="62"/>
      <c r="M29" s="93"/>
    </row>
  </sheetData>
  <dataValidations count="5">
    <dataValidation type="list" allowBlank="1" showErrorMessage="1" sqref="F2:F29" xr:uid="{D407C191-B377-4F5F-BA4D-32F46CBC068B}">
      <formula1>"Bounceback/Sub-Defect,Defect,None"</formula1>
    </dataValidation>
    <dataValidation type="list" allowBlank="1" showErrorMessage="1" sqref="J2:J29" xr:uid="{DE74B130-4A97-4584-A83A-33C16B00AE4B}">
      <formula1>"Internal,External"</formula1>
    </dataValidation>
    <dataValidation type="list" allowBlank="1" showErrorMessage="1" sqref="H2:H29" xr:uid="{7EAFF420-BD6F-4D00-AEC9-BFD5CFF3EA7C}">
      <formula1>"Minor,Significant,Major"</formula1>
    </dataValidation>
    <dataValidation type="list" allowBlank="1" showErrorMessage="1" sqref="I2:I29" xr:uid="{76DAF0CE-6113-482E-818E-6D6BF8DD1931}">
      <formula1>"Manual, Automation"</formula1>
    </dataValidation>
    <dataValidation type="list" allowBlank="1" showErrorMessage="1" sqref="K2:K29" xr:uid="{DD70666A-8553-41C6-ACE6-76A0BD18C6A3}">
      <formula1>"Open,Inprogress,Closed/Rejected"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7864969-6706-4A35-BD0F-F8E708060F40}">
          <x14:formula1>
            <xm:f>Details!$A$2:$A$10</xm:f>
          </x14:formula1>
          <xm:sqref>L2:L29</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635E-65E4-4049-BA42-6B2A9C2F1FB6}">
  <dimension ref="A1:M29"/>
  <sheetViews>
    <sheetView topLeftCell="A4" workbookViewId="0">
      <selection activeCell="M6" sqref="M6"/>
    </sheetView>
  </sheetViews>
  <sheetFormatPr defaultRowHeight="12.75"/>
  <cols>
    <col min="1" max="1" width="9" customWidth="1"/>
    <col min="2" max="2" width="27.5703125" customWidth="1"/>
    <col min="3" max="3" width="12.28515625" customWidth="1"/>
    <col min="6" max="6" width="13.5703125" customWidth="1"/>
    <col min="7" max="7" width="98.28515625" customWidth="1"/>
    <col min="8" max="8" width="14.85546875" customWidth="1"/>
    <col min="11" max="11" width="18.5703125" customWidth="1"/>
    <col min="12" max="12" width="18.7109375" customWidth="1"/>
    <col min="13" max="13" width="24.85546875" customWidth="1"/>
  </cols>
  <sheetData>
    <row r="1" spans="1:13" ht="45" customHeight="1">
      <c r="A1" s="586" t="s">
        <v>266</v>
      </c>
      <c r="B1" s="155" t="s">
        <v>10</v>
      </c>
      <c r="C1" s="280" t="s">
        <v>267</v>
      </c>
      <c r="D1" s="280" t="s">
        <v>268</v>
      </c>
      <c r="E1" s="155" t="s">
        <v>269</v>
      </c>
      <c r="F1" s="280" t="s">
        <v>270</v>
      </c>
      <c r="G1" s="280" t="s">
        <v>271</v>
      </c>
      <c r="H1" s="155" t="s">
        <v>272</v>
      </c>
      <c r="I1" s="155" t="s">
        <v>273</v>
      </c>
      <c r="J1" s="155" t="s">
        <v>274</v>
      </c>
      <c r="K1" s="155" t="s">
        <v>275</v>
      </c>
      <c r="L1" s="605" t="s">
        <v>276</v>
      </c>
      <c r="M1" s="468" t="s">
        <v>277</v>
      </c>
    </row>
    <row r="2" spans="1:13" ht="46.5">
      <c r="A2" s="147">
        <v>1</v>
      </c>
      <c r="B2" s="146" t="s">
        <v>1974</v>
      </c>
      <c r="C2" s="147" t="s">
        <v>1619</v>
      </c>
      <c r="D2" s="590"/>
      <c r="E2" s="147" t="s">
        <v>1673</v>
      </c>
      <c r="F2" s="598" t="s">
        <v>522</v>
      </c>
      <c r="G2" s="146" t="s">
        <v>1542</v>
      </c>
      <c r="H2" s="513" t="s">
        <v>1670</v>
      </c>
      <c r="I2" s="598" t="s">
        <v>518</v>
      </c>
      <c r="J2" s="513" t="s">
        <v>519</v>
      </c>
      <c r="K2" s="598" t="s">
        <v>1205</v>
      </c>
      <c r="L2" s="68" t="s">
        <v>1325</v>
      </c>
      <c r="M2" s="373" t="s">
        <v>1675</v>
      </c>
    </row>
    <row r="3" spans="1:13" ht="81">
      <c r="A3" s="188">
        <v>2</v>
      </c>
      <c r="B3" s="146" t="s">
        <v>1974</v>
      </c>
      <c r="C3" s="146">
        <v>43613</v>
      </c>
      <c r="D3" s="590"/>
      <c r="E3" s="626" t="s">
        <v>313</v>
      </c>
      <c r="F3" s="639" t="s">
        <v>1668</v>
      </c>
      <c r="G3" s="146" t="s">
        <v>2060</v>
      </c>
      <c r="H3" s="513" t="s">
        <v>1670</v>
      </c>
      <c r="I3" s="598" t="s">
        <v>518</v>
      </c>
      <c r="J3" s="513" t="s">
        <v>525</v>
      </c>
      <c r="K3" s="598" t="s">
        <v>1674</v>
      </c>
      <c r="L3" s="68" t="s">
        <v>526</v>
      </c>
      <c r="M3" s="146" t="s">
        <v>2061</v>
      </c>
    </row>
    <row r="4" spans="1:13" ht="255">
      <c r="A4" s="147">
        <v>3</v>
      </c>
      <c r="B4" s="146" t="s">
        <v>1974</v>
      </c>
      <c r="C4" s="146">
        <v>46798</v>
      </c>
      <c r="D4" s="511"/>
      <c r="E4" s="147" t="s">
        <v>315</v>
      </c>
      <c r="F4" s="639" t="s">
        <v>1668</v>
      </c>
      <c r="G4" s="146" t="s">
        <v>2062</v>
      </c>
      <c r="H4" s="513" t="s">
        <v>1670</v>
      </c>
      <c r="I4" s="598" t="s">
        <v>518</v>
      </c>
      <c r="J4" s="513" t="s">
        <v>525</v>
      </c>
      <c r="K4" s="598" t="s">
        <v>1674</v>
      </c>
      <c r="L4" s="68" t="s">
        <v>526</v>
      </c>
      <c r="M4" s="373" t="s">
        <v>2063</v>
      </c>
    </row>
    <row r="5" spans="1:13" ht="35.25">
      <c r="A5" s="147">
        <v>4</v>
      </c>
      <c r="B5" s="146" t="s">
        <v>1974</v>
      </c>
      <c r="C5" s="510" t="s">
        <v>2022</v>
      </c>
      <c r="D5" s="511"/>
      <c r="E5" s="147" t="s">
        <v>1673</v>
      </c>
      <c r="F5" s="512" t="s">
        <v>522</v>
      </c>
      <c r="G5" s="146" t="s">
        <v>1953</v>
      </c>
      <c r="H5" s="513" t="s">
        <v>1670</v>
      </c>
      <c r="I5" s="598" t="s">
        <v>518</v>
      </c>
      <c r="J5" s="513" t="s">
        <v>519</v>
      </c>
      <c r="K5" s="598" t="s">
        <v>1205</v>
      </c>
      <c r="L5" s="62" t="s">
        <v>529</v>
      </c>
      <c r="M5" s="629" t="s">
        <v>2052</v>
      </c>
    </row>
    <row r="6" spans="1:13" ht="58.5">
      <c r="A6" s="147">
        <v>5</v>
      </c>
      <c r="B6" s="146" t="s">
        <v>1974</v>
      </c>
      <c r="C6" s="510" t="s">
        <v>1893</v>
      </c>
      <c r="D6" s="511"/>
      <c r="E6" s="147" t="s">
        <v>1673</v>
      </c>
      <c r="F6" s="512" t="s">
        <v>522</v>
      </c>
      <c r="G6" s="146" t="s">
        <v>2053</v>
      </c>
      <c r="H6" s="513" t="s">
        <v>1670</v>
      </c>
      <c r="I6" s="598" t="s">
        <v>518</v>
      </c>
      <c r="J6" s="513" t="s">
        <v>519</v>
      </c>
      <c r="K6" s="598" t="s">
        <v>1205</v>
      </c>
      <c r="L6" s="62" t="s">
        <v>529</v>
      </c>
      <c r="M6" s="146" t="s">
        <v>2064</v>
      </c>
    </row>
    <row r="7" spans="1:13" ht="58.5">
      <c r="A7" s="147">
        <v>6</v>
      </c>
      <c r="B7" s="146" t="s">
        <v>1974</v>
      </c>
      <c r="C7" s="147" t="s">
        <v>1787</v>
      </c>
      <c r="D7" s="511"/>
      <c r="E7" s="147" t="s">
        <v>1673</v>
      </c>
      <c r="F7" s="512" t="s">
        <v>522</v>
      </c>
      <c r="G7" s="146" t="s">
        <v>1788</v>
      </c>
      <c r="H7" s="513" t="s">
        <v>1670</v>
      </c>
      <c r="I7" s="598" t="s">
        <v>518</v>
      </c>
      <c r="J7" s="513" t="s">
        <v>519</v>
      </c>
      <c r="K7" s="598" t="s">
        <v>1671</v>
      </c>
      <c r="L7" s="62" t="s">
        <v>529</v>
      </c>
      <c r="M7" s="146" t="s">
        <v>2065</v>
      </c>
    </row>
    <row r="8" spans="1:13">
      <c r="A8" s="93"/>
      <c r="B8" s="77"/>
      <c r="C8" s="93"/>
      <c r="D8" s="511"/>
      <c r="E8" s="93"/>
      <c r="F8" s="512"/>
      <c r="G8" s="96"/>
      <c r="H8" s="165"/>
      <c r="I8" s="512"/>
      <c r="J8" s="165"/>
      <c r="K8" s="512"/>
      <c r="L8" s="62"/>
      <c r="M8" s="96"/>
    </row>
    <row r="9" spans="1:13">
      <c r="A9" s="93"/>
      <c r="B9" s="77"/>
      <c r="C9" s="93"/>
      <c r="D9" s="511"/>
      <c r="E9" s="93"/>
      <c r="F9" s="512"/>
      <c r="G9" s="96"/>
      <c r="H9" s="165"/>
      <c r="I9" s="512"/>
      <c r="J9" s="165"/>
      <c r="K9" s="512"/>
      <c r="L9" s="62"/>
      <c r="M9" s="96"/>
    </row>
    <row r="10" spans="1:13">
      <c r="A10" s="93"/>
      <c r="B10" s="77"/>
      <c r="C10" s="93"/>
      <c r="D10" s="511"/>
      <c r="E10" s="93"/>
      <c r="F10" s="512"/>
      <c r="G10" s="96"/>
      <c r="H10" s="165"/>
      <c r="I10" s="512"/>
      <c r="J10" s="165"/>
      <c r="K10" s="512"/>
      <c r="L10" s="62"/>
      <c r="M10" s="96"/>
    </row>
    <row r="11" spans="1:13">
      <c r="A11" s="93"/>
      <c r="B11" s="77"/>
      <c r="C11" s="93"/>
      <c r="D11" s="511"/>
      <c r="E11" s="93"/>
      <c r="F11" s="512"/>
      <c r="G11" s="96"/>
      <c r="H11" s="165"/>
      <c r="I11" s="512"/>
      <c r="J11" s="165"/>
      <c r="K11" s="512"/>
      <c r="L11" s="62"/>
      <c r="M11" s="96"/>
    </row>
    <row r="12" spans="1:13">
      <c r="A12" s="93"/>
      <c r="B12" s="77"/>
      <c r="C12" s="93"/>
      <c r="D12" s="511"/>
      <c r="E12" s="93"/>
      <c r="F12" s="512"/>
      <c r="G12" s="96"/>
      <c r="H12" s="165"/>
      <c r="I12" s="512"/>
      <c r="J12" s="165"/>
      <c r="K12" s="512"/>
      <c r="L12" s="62"/>
      <c r="M12" s="93"/>
    </row>
    <row r="13" spans="1:13">
      <c r="A13" s="93"/>
      <c r="B13" s="77"/>
      <c r="C13" s="93"/>
      <c r="D13" s="511"/>
      <c r="E13" s="93"/>
      <c r="F13" s="512"/>
      <c r="G13" s="96"/>
      <c r="H13" s="165"/>
      <c r="I13" s="512"/>
      <c r="J13" s="165"/>
      <c r="K13" s="512"/>
      <c r="L13" s="62"/>
      <c r="M13" s="93"/>
    </row>
    <row r="14" spans="1:13">
      <c r="A14" s="93"/>
      <c r="B14" s="77"/>
      <c r="C14" s="93"/>
      <c r="D14" s="511"/>
      <c r="E14" s="93"/>
      <c r="F14" s="512"/>
      <c r="G14" s="96"/>
      <c r="H14" s="165"/>
      <c r="I14" s="512"/>
      <c r="J14" s="165"/>
      <c r="K14" s="512"/>
      <c r="L14" s="62"/>
      <c r="M14" s="93"/>
    </row>
    <row r="15" spans="1:13">
      <c r="A15" s="93"/>
      <c r="B15" s="77"/>
      <c r="C15" s="93"/>
      <c r="D15" s="511"/>
      <c r="E15" s="93"/>
      <c r="F15" s="512"/>
      <c r="G15" s="96"/>
      <c r="H15" s="165"/>
      <c r="I15" s="512"/>
      <c r="J15" s="165"/>
      <c r="K15" s="512"/>
      <c r="L15" s="62"/>
      <c r="M15" s="93"/>
    </row>
    <row r="16" spans="1:13">
      <c r="A16" s="93"/>
      <c r="B16" s="77"/>
      <c r="C16" s="93"/>
      <c r="D16" s="511"/>
      <c r="E16" s="93"/>
      <c r="F16" s="512"/>
      <c r="G16" s="96"/>
      <c r="H16" s="165"/>
      <c r="I16" s="512"/>
      <c r="J16" s="165"/>
      <c r="K16" s="512"/>
      <c r="L16" s="62"/>
      <c r="M16" s="93"/>
    </row>
    <row r="17" spans="1:13">
      <c r="A17" s="93"/>
      <c r="B17" s="77"/>
      <c r="C17" s="93"/>
      <c r="D17" s="511"/>
      <c r="E17" s="93"/>
      <c r="F17" s="512"/>
      <c r="G17" s="96"/>
      <c r="H17" s="165"/>
      <c r="I17" s="512"/>
      <c r="J17" s="165"/>
      <c r="K17" s="512"/>
      <c r="L17" s="62"/>
      <c r="M17" s="93"/>
    </row>
    <row r="18" spans="1:13">
      <c r="A18" s="93"/>
      <c r="B18" s="77"/>
      <c r="C18" s="93"/>
      <c r="D18" s="511"/>
      <c r="E18" s="93"/>
      <c r="F18" s="512"/>
      <c r="G18" s="96"/>
      <c r="H18" s="165"/>
      <c r="I18" s="512"/>
      <c r="J18" s="165"/>
      <c r="K18" s="512"/>
      <c r="L18" s="62"/>
      <c r="M18" s="93"/>
    </row>
    <row r="19" spans="1:13">
      <c r="A19" s="93"/>
      <c r="B19" s="77"/>
      <c r="C19" s="93"/>
      <c r="D19" s="511"/>
      <c r="E19" s="93"/>
      <c r="F19" s="512"/>
      <c r="G19" s="96"/>
      <c r="H19" s="165"/>
      <c r="I19" s="512"/>
      <c r="J19" s="165"/>
      <c r="K19" s="512"/>
      <c r="L19" s="62"/>
      <c r="M19" s="93"/>
    </row>
    <row r="20" spans="1:13">
      <c r="A20" s="93"/>
      <c r="B20" s="77"/>
      <c r="C20" s="93"/>
      <c r="D20" s="511"/>
      <c r="E20" s="93"/>
      <c r="F20" s="512"/>
      <c r="G20" s="96"/>
      <c r="H20" s="165"/>
      <c r="I20" s="512"/>
      <c r="J20" s="165"/>
      <c r="K20" s="512"/>
      <c r="L20" s="62"/>
      <c r="M20" s="93"/>
    </row>
    <row r="21" spans="1:13">
      <c r="A21" s="93"/>
      <c r="B21" s="77"/>
      <c r="C21" s="93"/>
      <c r="D21" s="511"/>
      <c r="E21" s="93"/>
      <c r="F21" s="512"/>
      <c r="G21" s="96"/>
      <c r="H21" s="165"/>
      <c r="I21" s="512"/>
      <c r="J21" s="165"/>
      <c r="K21" s="512"/>
      <c r="L21" s="62"/>
      <c r="M21" s="93"/>
    </row>
    <row r="22" spans="1:13">
      <c r="A22" s="93"/>
      <c r="B22" s="77"/>
      <c r="C22" s="93"/>
      <c r="D22" s="511"/>
      <c r="E22" s="93"/>
      <c r="F22" s="512"/>
      <c r="G22" s="96"/>
      <c r="H22" s="165"/>
      <c r="I22" s="512"/>
      <c r="J22" s="165"/>
      <c r="K22" s="512"/>
      <c r="L22" s="62"/>
      <c r="M22" s="93"/>
    </row>
    <row r="23" spans="1:13">
      <c r="A23" s="93"/>
      <c r="B23" s="77"/>
      <c r="C23" s="93"/>
      <c r="D23" s="511"/>
      <c r="E23" s="93"/>
      <c r="F23" s="512"/>
      <c r="G23" s="96"/>
      <c r="H23" s="165"/>
      <c r="I23" s="512"/>
      <c r="J23" s="165"/>
      <c r="K23" s="512"/>
      <c r="L23" s="62"/>
      <c r="M23" s="93"/>
    </row>
    <row r="24" spans="1:13">
      <c r="A24" s="93"/>
      <c r="B24" s="77"/>
      <c r="C24" s="93"/>
      <c r="D24" s="511"/>
      <c r="E24" s="93"/>
      <c r="F24" s="512"/>
      <c r="G24" s="96"/>
      <c r="H24" s="165"/>
      <c r="I24" s="512"/>
      <c r="J24" s="165"/>
      <c r="K24" s="512"/>
      <c r="L24" s="62"/>
      <c r="M24" s="93"/>
    </row>
    <row r="25" spans="1:13">
      <c r="A25" s="93"/>
      <c r="B25" s="77"/>
      <c r="C25" s="93"/>
      <c r="D25" s="511"/>
      <c r="E25" s="93"/>
      <c r="F25" s="512"/>
      <c r="G25" s="96"/>
      <c r="H25" s="165"/>
      <c r="I25" s="512"/>
      <c r="J25" s="165"/>
      <c r="K25" s="512"/>
      <c r="L25" s="62"/>
      <c r="M25" s="93"/>
    </row>
    <row r="26" spans="1:13">
      <c r="A26" s="93"/>
      <c r="B26" s="77"/>
      <c r="C26" s="93"/>
      <c r="D26" s="511"/>
      <c r="E26" s="93"/>
      <c r="F26" s="512"/>
      <c r="G26" s="96"/>
      <c r="H26" s="165"/>
      <c r="I26" s="512"/>
      <c r="J26" s="165"/>
      <c r="K26" s="512"/>
      <c r="L26" s="62"/>
      <c r="M26" s="93"/>
    </row>
    <row r="27" spans="1:13">
      <c r="A27" s="93"/>
      <c r="B27" s="77"/>
      <c r="C27" s="93"/>
      <c r="D27" s="511"/>
      <c r="E27" s="93"/>
      <c r="F27" s="512"/>
      <c r="G27" s="96"/>
      <c r="H27" s="165"/>
      <c r="I27" s="512"/>
      <c r="J27" s="165"/>
      <c r="K27" s="512"/>
      <c r="L27" s="62"/>
      <c r="M27" s="93"/>
    </row>
    <row r="28" spans="1:13">
      <c r="A28" s="93"/>
      <c r="B28" s="77"/>
      <c r="C28" s="93"/>
      <c r="D28" s="511"/>
      <c r="E28" s="93"/>
      <c r="F28" s="512"/>
      <c r="G28" s="96"/>
      <c r="H28" s="165"/>
      <c r="I28" s="512"/>
      <c r="J28" s="165"/>
      <c r="K28" s="512"/>
      <c r="L28" s="62"/>
      <c r="M28" s="93"/>
    </row>
    <row r="29" spans="1:13">
      <c r="A29" s="93"/>
      <c r="B29" s="77"/>
      <c r="C29" s="93"/>
      <c r="D29" s="511"/>
      <c r="E29" s="93"/>
      <c r="F29" s="512"/>
      <c r="G29" s="96"/>
      <c r="H29" s="165"/>
      <c r="I29" s="512"/>
      <c r="J29" s="165"/>
      <c r="K29" s="512"/>
      <c r="L29" s="62"/>
      <c r="M29" s="93"/>
    </row>
  </sheetData>
  <dataValidations count="5">
    <dataValidation type="list" allowBlank="1" showErrorMessage="1" sqref="K2:K29" xr:uid="{AE7CA43A-EDF1-439D-A398-963EABB9B190}">
      <formula1>"Open,Inprogress,Closed/Rejected"</formula1>
    </dataValidation>
    <dataValidation type="list" allowBlank="1" showErrorMessage="1" sqref="I2:I29" xr:uid="{902D3C47-CABA-47C5-B14E-85BE19EB0562}">
      <formula1>"Manual, Automation"</formula1>
    </dataValidation>
    <dataValidation type="list" allowBlank="1" showErrorMessage="1" sqref="H2:H29" xr:uid="{A6BF9E88-485F-4CE7-8607-4D7B97EC7E6E}">
      <formula1>"Minor,Significant,Major"</formula1>
    </dataValidation>
    <dataValidation type="list" allowBlank="1" showErrorMessage="1" sqref="J2:J29" xr:uid="{84D1787C-53CB-40C4-B067-0B990C2163FA}">
      <formula1>"Internal,External"</formula1>
    </dataValidation>
    <dataValidation type="list" allowBlank="1" showErrorMessage="1" sqref="F2:F29" xr:uid="{4FC1B055-E727-4576-9C30-2579682103B5}">
      <formula1>"Bounceback/Sub-Defect,Defect,None"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7A5895F-B454-4AA0-9426-AC45392D000D}">
          <x14:formula1>
            <xm:f>Details!$A$2:$A$10</xm:f>
          </x14:formula1>
          <xm:sqref>L2:L29</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C97F-81D0-4991-969D-3BA03228DE37}">
  <dimension ref="A1:AO15"/>
  <sheetViews>
    <sheetView workbookViewId="0">
      <pane ySplit="1" topLeftCell="A15" activePane="bottomLeft" state="frozen"/>
      <selection pane="bottomLeft" activeCell="AD7" sqref="AD7"/>
    </sheetView>
  </sheetViews>
  <sheetFormatPr defaultRowHeight="12.75"/>
  <cols>
    <col min="2" max="2" width="12" customWidth="1"/>
    <col min="3" max="4" width="9.85546875" bestFit="1" customWidth="1"/>
    <col min="5" max="5" width="17.7109375" customWidth="1"/>
    <col min="7" max="7" width="12.140625" customWidth="1"/>
    <col min="8" max="8" width="38.7109375" customWidth="1"/>
    <col min="9" max="9" width="22" customWidth="1"/>
    <col min="20" max="20" width="20.7109375" customWidth="1"/>
    <col min="30" max="30" width="24.28515625" customWidth="1"/>
    <col min="31" max="31" width="13.28515625" customWidth="1"/>
    <col min="32" max="32" width="12.5703125" customWidth="1"/>
    <col min="33" max="33" width="14.42578125" customWidth="1"/>
    <col min="34" max="34" width="11.5703125" customWidth="1"/>
    <col min="35" max="35" width="11.28515625" customWidth="1"/>
    <col min="36" max="36" width="12.42578125" customWidth="1"/>
    <col min="37" max="37" width="10.5703125" customWidth="1"/>
    <col min="38" max="38" width="10.42578125" customWidth="1"/>
    <col min="39" max="39" width="21.28515625" customWidth="1"/>
    <col min="40" max="40" width="30.42578125" customWidth="1"/>
    <col min="41" max="41" width="16.7109375" customWidth="1"/>
  </cols>
  <sheetData>
    <row r="1" spans="1:41"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45910</v>
      </c>
      <c r="AG1" s="518">
        <v>45911</v>
      </c>
      <c r="AH1" s="518">
        <v>45912</v>
      </c>
      <c r="AI1" s="518">
        <v>45915</v>
      </c>
      <c r="AJ1" s="518">
        <v>45916</v>
      </c>
      <c r="AK1" s="611">
        <v>45917</v>
      </c>
      <c r="AL1" s="518">
        <v>45918</v>
      </c>
      <c r="AM1" s="518">
        <v>45919</v>
      </c>
      <c r="AN1" s="518">
        <v>45922</v>
      </c>
      <c r="AO1" s="518">
        <v>45923</v>
      </c>
    </row>
    <row r="2" spans="1:41" s="64" customFormat="1" ht="58.5" customHeight="1">
      <c r="A2" s="146">
        <v>1</v>
      </c>
      <c r="B2" s="151" t="s">
        <v>5</v>
      </c>
      <c r="C2" s="624">
        <v>45910</v>
      </c>
      <c r="D2" s="624">
        <v>45923</v>
      </c>
      <c r="E2" s="146" t="s">
        <v>2066</v>
      </c>
      <c r="F2" s="146" t="s">
        <v>315</v>
      </c>
      <c r="G2" s="146">
        <v>46798</v>
      </c>
      <c r="H2" s="146" t="s">
        <v>1975</v>
      </c>
      <c r="I2" s="151" t="s">
        <v>399</v>
      </c>
      <c r="J2" s="146">
        <v>3</v>
      </c>
      <c r="K2" s="146"/>
      <c r="L2" s="146">
        <v>39</v>
      </c>
      <c r="M2" s="177">
        <v>45910</v>
      </c>
      <c r="N2" s="146"/>
      <c r="O2" s="146"/>
      <c r="P2" s="146"/>
      <c r="Q2" s="146"/>
      <c r="R2" s="146"/>
      <c r="S2" s="146"/>
      <c r="T2" s="146"/>
      <c r="U2" s="146"/>
      <c r="V2" s="146"/>
      <c r="W2" s="146"/>
      <c r="X2" s="146"/>
      <c r="Y2" s="146"/>
      <c r="Z2" s="146"/>
      <c r="AA2" s="146"/>
      <c r="AB2" s="146"/>
      <c r="AC2" s="146"/>
      <c r="AD2" s="146" t="s">
        <v>2067</v>
      </c>
      <c r="AE2" s="490" t="s">
        <v>2068</v>
      </c>
      <c r="AF2" s="146" t="s">
        <v>2069</v>
      </c>
      <c r="AG2" s="146" t="s">
        <v>2070</v>
      </c>
      <c r="AH2" s="146" t="s">
        <v>2071</v>
      </c>
      <c r="AI2" s="146" t="s">
        <v>2072</v>
      </c>
      <c r="AJ2" s="146" t="s">
        <v>2073</v>
      </c>
      <c r="AK2" s="146" t="s">
        <v>2074</v>
      </c>
      <c r="AL2" s="146" t="s">
        <v>2075</v>
      </c>
      <c r="AM2" s="146" t="s">
        <v>2076</v>
      </c>
      <c r="AN2" s="146" t="s">
        <v>2077</v>
      </c>
      <c r="AO2" s="146" t="s">
        <v>2078</v>
      </c>
    </row>
    <row r="3" spans="1:41" s="64" customFormat="1" ht="92.25">
      <c r="A3" s="146">
        <v>2</v>
      </c>
      <c r="B3" s="146" t="s">
        <v>5</v>
      </c>
      <c r="C3" s="624">
        <v>45910</v>
      </c>
      <c r="D3" s="624">
        <v>45923</v>
      </c>
      <c r="E3" s="146" t="s">
        <v>2066</v>
      </c>
      <c r="F3" s="146" t="s">
        <v>1216</v>
      </c>
      <c r="G3" s="146">
        <v>49074</v>
      </c>
      <c r="H3" s="146" t="s">
        <v>2079</v>
      </c>
      <c r="I3" s="151" t="s">
        <v>306</v>
      </c>
      <c r="J3" s="146">
        <v>3</v>
      </c>
      <c r="K3" s="146">
        <v>3.25</v>
      </c>
      <c r="L3" s="146">
        <v>13</v>
      </c>
      <c r="M3" s="177">
        <v>45910</v>
      </c>
      <c r="N3" s="177">
        <v>45916</v>
      </c>
      <c r="O3" s="146" t="s">
        <v>320</v>
      </c>
      <c r="P3" s="146" t="s">
        <v>313</v>
      </c>
      <c r="Q3" s="146" t="s">
        <v>316</v>
      </c>
      <c r="R3" s="146" t="s">
        <v>317</v>
      </c>
      <c r="S3" s="146" t="s">
        <v>316</v>
      </c>
      <c r="T3" s="112" t="s">
        <v>2080</v>
      </c>
      <c r="U3" s="177">
        <v>45917</v>
      </c>
      <c r="V3" s="177">
        <v>45920</v>
      </c>
      <c r="W3" s="146" t="s">
        <v>320</v>
      </c>
      <c r="X3" s="146" t="s">
        <v>320</v>
      </c>
      <c r="Y3" s="146" t="s">
        <v>320</v>
      </c>
      <c r="Z3" s="146"/>
      <c r="AA3" s="146"/>
      <c r="AB3" s="146"/>
      <c r="AC3" s="146"/>
      <c r="AD3" s="146"/>
      <c r="AE3" s="490" t="s">
        <v>423</v>
      </c>
      <c r="AF3" s="146" t="s">
        <v>2081</v>
      </c>
      <c r="AG3" s="146" t="s">
        <v>2082</v>
      </c>
      <c r="AH3" s="146" t="s">
        <v>2083</v>
      </c>
      <c r="AI3" s="146" t="s">
        <v>2084</v>
      </c>
      <c r="AJ3" s="146" t="s">
        <v>2085</v>
      </c>
      <c r="AK3" s="146" t="s">
        <v>2086</v>
      </c>
      <c r="AL3" s="146" t="s">
        <v>2087</v>
      </c>
      <c r="AM3" s="146" t="s">
        <v>2088</v>
      </c>
      <c r="AN3" s="146" t="s">
        <v>2089</v>
      </c>
      <c r="AO3" s="146" t="s">
        <v>434</v>
      </c>
    </row>
    <row r="4" spans="1:41" s="64" customFormat="1" ht="58.5">
      <c r="A4" s="146">
        <v>3</v>
      </c>
      <c r="B4" s="146" t="s">
        <v>5</v>
      </c>
      <c r="C4" s="624">
        <v>45910</v>
      </c>
      <c r="D4" s="624">
        <v>45923</v>
      </c>
      <c r="E4" s="146" t="s">
        <v>2066</v>
      </c>
      <c r="F4" s="146" t="s">
        <v>313</v>
      </c>
      <c r="G4" s="146">
        <v>49369</v>
      </c>
      <c r="H4" s="146" t="s">
        <v>2090</v>
      </c>
      <c r="I4" s="151" t="s">
        <v>306</v>
      </c>
      <c r="J4" s="146">
        <v>2</v>
      </c>
      <c r="K4" s="146">
        <v>2</v>
      </c>
      <c r="L4" s="146">
        <v>8</v>
      </c>
      <c r="M4" s="556">
        <v>45894</v>
      </c>
      <c r="N4" s="556">
        <v>45894</v>
      </c>
      <c r="O4" s="183" t="s">
        <v>12</v>
      </c>
      <c r="P4" s="183" t="s">
        <v>315</v>
      </c>
      <c r="Q4" s="183" t="s">
        <v>316</v>
      </c>
      <c r="R4" s="183" t="s">
        <v>317</v>
      </c>
      <c r="S4" s="183" t="s">
        <v>316</v>
      </c>
      <c r="T4" s="556" t="s">
        <v>320</v>
      </c>
      <c r="U4" s="197" t="s">
        <v>320</v>
      </c>
      <c r="V4" s="93" t="s">
        <v>320</v>
      </c>
      <c r="W4" s="93" t="s">
        <v>320</v>
      </c>
      <c r="X4" s="93" t="s">
        <v>320</v>
      </c>
      <c r="Y4" s="556" t="s">
        <v>320</v>
      </c>
      <c r="Z4" s="556" t="s">
        <v>320</v>
      </c>
      <c r="AA4" s="197" t="s">
        <v>320</v>
      </c>
      <c r="AB4" s="93" t="s">
        <v>316</v>
      </c>
      <c r="AC4" s="93" t="s">
        <v>316</v>
      </c>
      <c r="AD4" s="146" t="s">
        <v>1937</v>
      </c>
      <c r="AE4" s="490" t="s">
        <v>423</v>
      </c>
      <c r="AF4" s="146" t="s">
        <v>2091</v>
      </c>
      <c r="AG4" s="146" t="s">
        <v>2092</v>
      </c>
      <c r="AH4" s="146" t="s">
        <v>562</v>
      </c>
      <c r="AI4" s="146" t="s">
        <v>434</v>
      </c>
      <c r="AJ4" s="146" t="s">
        <v>434</v>
      </c>
      <c r="AK4" s="146" t="s">
        <v>434</v>
      </c>
      <c r="AL4" s="146" t="s">
        <v>434</v>
      </c>
      <c r="AM4" s="146" t="s">
        <v>434</v>
      </c>
      <c r="AN4" s="146" t="s">
        <v>434</v>
      </c>
      <c r="AO4" s="146"/>
    </row>
    <row r="5" spans="1:41" s="64" customFormat="1" ht="92.25">
      <c r="A5" s="146">
        <v>4</v>
      </c>
      <c r="B5" s="146" t="s">
        <v>5</v>
      </c>
      <c r="C5" s="624">
        <v>45910</v>
      </c>
      <c r="D5" s="624">
        <v>45923</v>
      </c>
      <c r="E5" s="146" t="s">
        <v>2066</v>
      </c>
      <c r="F5" s="93" t="s">
        <v>317</v>
      </c>
      <c r="G5" s="93">
        <v>49950</v>
      </c>
      <c r="H5" s="96" t="s">
        <v>1599</v>
      </c>
      <c r="I5" s="151" t="s">
        <v>399</v>
      </c>
      <c r="J5" s="146">
        <v>2</v>
      </c>
      <c r="K5" s="146"/>
      <c r="L5" s="146"/>
      <c r="M5" s="146"/>
      <c r="N5" s="146"/>
      <c r="O5" s="146"/>
      <c r="P5" s="146"/>
      <c r="Q5" s="146"/>
      <c r="R5" s="146"/>
      <c r="S5" s="146"/>
      <c r="T5" s="146"/>
      <c r="U5" s="146"/>
      <c r="V5" s="146"/>
      <c r="W5" s="146"/>
      <c r="X5" s="146"/>
      <c r="Y5" s="146"/>
      <c r="Z5" s="146"/>
      <c r="AA5" s="146"/>
      <c r="AB5" s="146"/>
      <c r="AC5" s="146"/>
      <c r="AD5" s="146"/>
      <c r="AE5" s="146"/>
      <c r="AF5" s="146" t="s">
        <v>2093</v>
      </c>
      <c r="AG5" s="146" t="s">
        <v>2094</v>
      </c>
      <c r="AH5" s="146" t="s">
        <v>2095</v>
      </c>
      <c r="AI5" s="146" t="s">
        <v>2096</v>
      </c>
      <c r="AJ5" s="146" t="s">
        <v>2097</v>
      </c>
      <c r="AK5" s="146" t="s">
        <v>2097</v>
      </c>
      <c r="AL5" s="146" t="s">
        <v>2098</v>
      </c>
      <c r="AM5" s="146" t="s">
        <v>2099</v>
      </c>
      <c r="AN5" s="146" t="s">
        <v>1358</v>
      </c>
      <c r="AO5" s="146" t="s">
        <v>2100</v>
      </c>
    </row>
    <row r="6" spans="1:41" s="64" customFormat="1" ht="69.75" customHeight="1">
      <c r="A6" s="146">
        <v>5</v>
      </c>
      <c r="B6" s="146" t="s">
        <v>5</v>
      </c>
      <c r="C6" s="624">
        <v>45910</v>
      </c>
      <c r="D6" s="624">
        <v>45923</v>
      </c>
      <c r="E6" s="146" t="s">
        <v>2066</v>
      </c>
      <c r="F6" s="146" t="s">
        <v>313</v>
      </c>
      <c r="G6" s="146">
        <v>43612</v>
      </c>
      <c r="H6" s="146" t="s">
        <v>2101</v>
      </c>
      <c r="I6" s="151" t="s">
        <v>306</v>
      </c>
      <c r="J6" s="146">
        <v>5</v>
      </c>
      <c r="K6" s="146">
        <v>9</v>
      </c>
      <c r="L6" s="146">
        <v>36</v>
      </c>
      <c r="M6" s="556">
        <v>45911</v>
      </c>
      <c r="N6" s="556">
        <v>45918</v>
      </c>
      <c r="O6" s="183" t="s">
        <v>12</v>
      </c>
      <c r="P6" s="183" t="s">
        <v>315</v>
      </c>
      <c r="Q6" s="183" t="s">
        <v>316</v>
      </c>
      <c r="R6" s="183" t="s">
        <v>317</v>
      </c>
      <c r="S6" s="183" t="s">
        <v>316</v>
      </c>
      <c r="T6" s="112" t="s">
        <v>2102</v>
      </c>
      <c r="U6" s="556">
        <v>45922</v>
      </c>
      <c r="V6" s="556">
        <v>45922</v>
      </c>
      <c r="W6" s="93" t="s">
        <v>316</v>
      </c>
      <c r="X6" s="93" t="s">
        <v>319</v>
      </c>
      <c r="Y6" s="93" t="s">
        <v>319</v>
      </c>
      <c r="Z6" s="93" t="s">
        <v>320</v>
      </c>
      <c r="AA6" s="93" t="s">
        <v>316</v>
      </c>
      <c r="AB6" s="146" t="s">
        <v>2103</v>
      </c>
      <c r="AC6" s="146" t="s">
        <v>2104</v>
      </c>
      <c r="AD6" s="146" t="s">
        <v>1993</v>
      </c>
      <c r="AE6" s="490" t="s">
        <v>1994</v>
      </c>
      <c r="AF6" s="146"/>
      <c r="AG6" s="146" t="s">
        <v>2105</v>
      </c>
      <c r="AH6" s="146" t="s">
        <v>2106</v>
      </c>
      <c r="AI6" s="146" t="s">
        <v>2107</v>
      </c>
      <c r="AJ6" s="146" t="s">
        <v>2108</v>
      </c>
      <c r="AK6" s="146" t="s">
        <v>2109</v>
      </c>
      <c r="AL6" s="146" t="s">
        <v>2110</v>
      </c>
      <c r="AM6" s="146" t="s">
        <v>2111</v>
      </c>
      <c r="AN6" s="146" t="s">
        <v>2112</v>
      </c>
      <c r="AO6" s="146" t="s">
        <v>2113</v>
      </c>
    </row>
    <row r="7" spans="1:41" s="64" customFormat="1" ht="58.5">
      <c r="A7" s="146">
        <v>6</v>
      </c>
      <c r="B7" s="146" t="s">
        <v>5</v>
      </c>
      <c r="C7" s="624">
        <v>45910</v>
      </c>
      <c r="D7" s="624">
        <v>45923</v>
      </c>
      <c r="E7" s="146" t="s">
        <v>2066</v>
      </c>
      <c r="F7" s="146" t="s">
        <v>313</v>
      </c>
      <c r="G7" s="146">
        <v>25774</v>
      </c>
      <c r="H7" s="146" t="s">
        <v>2114</v>
      </c>
      <c r="I7" s="151" t="s">
        <v>306</v>
      </c>
      <c r="J7" s="146">
        <v>1</v>
      </c>
      <c r="K7" s="146">
        <v>0.75</v>
      </c>
      <c r="L7" s="146">
        <v>3</v>
      </c>
      <c r="M7" s="556">
        <v>45908</v>
      </c>
      <c r="N7" s="556">
        <v>45908</v>
      </c>
      <c r="O7" s="183" t="s">
        <v>12</v>
      </c>
      <c r="P7" s="183" t="s">
        <v>315</v>
      </c>
      <c r="Q7" s="183" t="s">
        <v>316</v>
      </c>
      <c r="R7" s="183" t="s">
        <v>317</v>
      </c>
      <c r="S7" s="183" t="s">
        <v>316</v>
      </c>
      <c r="T7" s="556" t="s">
        <v>320</v>
      </c>
      <c r="U7" s="197" t="s">
        <v>320</v>
      </c>
      <c r="V7" s="93" t="s">
        <v>320</v>
      </c>
      <c r="W7" s="93" t="s">
        <v>320</v>
      </c>
      <c r="X7" s="93" t="s">
        <v>320</v>
      </c>
      <c r="Y7" s="556" t="s">
        <v>320</v>
      </c>
      <c r="Z7" s="556" t="s">
        <v>320</v>
      </c>
      <c r="AA7" s="197" t="s">
        <v>320</v>
      </c>
      <c r="AB7" s="93" t="s">
        <v>316</v>
      </c>
      <c r="AC7" s="93" t="s">
        <v>316</v>
      </c>
      <c r="AD7" s="146" t="s">
        <v>1937</v>
      </c>
      <c r="AE7" s="490" t="s">
        <v>423</v>
      </c>
      <c r="AF7" s="146"/>
      <c r="AG7" s="146" t="s">
        <v>2115</v>
      </c>
      <c r="AH7" s="146" t="s">
        <v>2116</v>
      </c>
      <c r="AI7" s="146" t="s">
        <v>434</v>
      </c>
      <c r="AJ7" s="146" t="s">
        <v>434</v>
      </c>
      <c r="AK7" s="146" t="s">
        <v>434</v>
      </c>
      <c r="AL7" s="146" t="s">
        <v>434</v>
      </c>
      <c r="AM7" s="146" t="s">
        <v>434</v>
      </c>
      <c r="AN7" s="146" t="s">
        <v>434</v>
      </c>
      <c r="AO7" s="146" t="s">
        <v>434</v>
      </c>
    </row>
    <row r="8" spans="1:41" s="64" customFormat="1" ht="58.5">
      <c r="A8" s="146">
        <v>7</v>
      </c>
      <c r="B8" s="146" t="s">
        <v>5</v>
      </c>
      <c r="C8" s="624">
        <v>45910</v>
      </c>
      <c r="D8" s="624">
        <v>45923</v>
      </c>
      <c r="E8" s="146" t="s">
        <v>2066</v>
      </c>
      <c r="F8" s="146" t="s">
        <v>313</v>
      </c>
      <c r="G8" s="146" t="s">
        <v>2117</v>
      </c>
      <c r="H8" s="146" t="s">
        <v>2118</v>
      </c>
      <c r="I8" s="151" t="s">
        <v>376</v>
      </c>
      <c r="J8" s="146"/>
      <c r="K8" s="146"/>
      <c r="L8" s="146">
        <v>7</v>
      </c>
      <c r="M8" s="556">
        <v>45912</v>
      </c>
      <c r="N8" s="556">
        <v>45912</v>
      </c>
      <c r="O8" s="183" t="s">
        <v>12</v>
      </c>
      <c r="P8" s="183" t="s">
        <v>315</v>
      </c>
      <c r="Q8" s="183" t="s">
        <v>316</v>
      </c>
      <c r="R8" s="183" t="s">
        <v>317</v>
      </c>
      <c r="S8" s="183" t="s">
        <v>316</v>
      </c>
      <c r="T8" s="556" t="s">
        <v>320</v>
      </c>
      <c r="U8" s="197" t="s">
        <v>320</v>
      </c>
      <c r="V8" s="93" t="s">
        <v>320</v>
      </c>
      <c r="W8" s="93" t="s">
        <v>320</v>
      </c>
      <c r="X8" s="93" t="s">
        <v>320</v>
      </c>
      <c r="Y8" s="556" t="s">
        <v>320</v>
      </c>
      <c r="Z8" s="556" t="s">
        <v>320</v>
      </c>
      <c r="AA8" s="197" t="s">
        <v>320</v>
      </c>
      <c r="AB8" s="93" t="s">
        <v>316</v>
      </c>
      <c r="AC8" s="93" t="s">
        <v>316</v>
      </c>
      <c r="AD8" s="146" t="s">
        <v>1937</v>
      </c>
      <c r="AE8" s="490" t="s">
        <v>423</v>
      </c>
      <c r="AF8" s="146"/>
      <c r="AG8" s="146"/>
      <c r="AH8" s="146" t="s">
        <v>2119</v>
      </c>
      <c r="AI8" s="146" t="s">
        <v>2120</v>
      </c>
      <c r="AJ8" s="146" t="s">
        <v>2121</v>
      </c>
      <c r="AK8" s="146" t="s">
        <v>434</v>
      </c>
      <c r="AL8" s="146" t="s">
        <v>434</v>
      </c>
      <c r="AM8" s="146" t="s">
        <v>434</v>
      </c>
      <c r="AN8" s="146" t="s">
        <v>434</v>
      </c>
      <c r="AO8" s="146" t="s">
        <v>434</v>
      </c>
    </row>
    <row r="9" spans="1:41" s="64" customFormat="1" ht="69">
      <c r="A9" s="146">
        <v>8</v>
      </c>
      <c r="B9" s="146" t="s">
        <v>5</v>
      </c>
      <c r="C9" s="624">
        <v>45910</v>
      </c>
      <c r="D9" s="624">
        <v>45923</v>
      </c>
      <c r="E9" s="146" t="s">
        <v>2066</v>
      </c>
      <c r="F9" s="146" t="s">
        <v>313</v>
      </c>
      <c r="G9" s="146" t="s">
        <v>2122</v>
      </c>
      <c r="H9" s="146" t="s">
        <v>2123</v>
      </c>
      <c r="I9" s="151" t="s">
        <v>376</v>
      </c>
      <c r="J9" s="146"/>
      <c r="K9" s="146"/>
      <c r="L9" s="146">
        <v>5.5</v>
      </c>
      <c r="M9" s="556">
        <v>45912</v>
      </c>
      <c r="N9" s="556">
        <v>45915</v>
      </c>
      <c r="O9" s="183" t="s">
        <v>12</v>
      </c>
      <c r="P9" s="183" t="s">
        <v>315</v>
      </c>
      <c r="Q9" s="183" t="s">
        <v>316</v>
      </c>
      <c r="R9" s="183" t="s">
        <v>317</v>
      </c>
      <c r="S9" s="183" t="s">
        <v>316</v>
      </c>
      <c r="T9" s="556" t="s">
        <v>320</v>
      </c>
      <c r="U9" s="197" t="s">
        <v>320</v>
      </c>
      <c r="V9" s="93" t="s">
        <v>320</v>
      </c>
      <c r="W9" s="93" t="s">
        <v>320</v>
      </c>
      <c r="X9" s="93" t="s">
        <v>320</v>
      </c>
      <c r="Y9" s="556" t="s">
        <v>320</v>
      </c>
      <c r="Z9" s="556" t="s">
        <v>320</v>
      </c>
      <c r="AA9" s="197" t="s">
        <v>320</v>
      </c>
      <c r="AB9" s="93" t="s">
        <v>316</v>
      </c>
      <c r="AC9" s="93" t="s">
        <v>316</v>
      </c>
      <c r="AD9" s="146" t="s">
        <v>1937</v>
      </c>
      <c r="AE9" s="490" t="s">
        <v>423</v>
      </c>
      <c r="AF9" s="146"/>
      <c r="AG9" s="146"/>
      <c r="AH9" s="146" t="s">
        <v>2124</v>
      </c>
      <c r="AI9" s="146" t="s">
        <v>2125</v>
      </c>
      <c r="AJ9" s="146" t="s">
        <v>2126</v>
      </c>
      <c r="AK9" s="146" t="s">
        <v>434</v>
      </c>
      <c r="AL9" s="146" t="s">
        <v>434</v>
      </c>
      <c r="AM9" s="146" t="s">
        <v>434</v>
      </c>
      <c r="AN9" s="146"/>
      <c r="AO9" s="146" t="s">
        <v>434</v>
      </c>
    </row>
    <row r="10" spans="1:41" s="64" customFormat="1" ht="58.5">
      <c r="A10" s="146">
        <v>9</v>
      </c>
      <c r="B10" s="146" t="s">
        <v>5</v>
      </c>
      <c r="C10" s="624">
        <v>45910</v>
      </c>
      <c r="D10" s="624">
        <v>45923</v>
      </c>
      <c r="E10" s="146" t="s">
        <v>2066</v>
      </c>
      <c r="F10" s="93" t="s">
        <v>317</v>
      </c>
      <c r="G10" s="146" t="s">
        <v>2127</v>
      </c>
      <c r="H10" s="146" t="s">
        <v>2128</v>
      </c>
      <c r="I10" s="151" t="s">
        <v>376</v>
      </c>
      <c r="J10" s="146"/>
      <c r="K10" s="146"/>
      <c r="L10" s="146">
        <v>5</v>
      </c>
      <c r="M10" s="556">
        <v>45912</v>
      </c>
      <c r="N10" s="146" t="s">
        <v>2129</v>
      </c>
      <c r="O10" s="146" t="s">
        <v>12</v>
      </c>
      <c r="P10" s="146"/>
      <c r="Q10" s="146"/>
      <c r="R10" s="146"/>
      <c r="S10" s="146"/>
      <c r="T10" s="556" t="s">
        <v>320</v>
      </c>
      <c r="U10" s="197" t="s">
        <v>320</v>
      </c>
      <c r="V10" s="93" t="s">
        <v>320</v>
      </c>
      <c r="W10" s="93" t="s">
        <v>320</v>
      </c>
      <c r="X10" s="93" t="s">
        <v>320</v>
      </c>
      <c r="Y10" s="556" t="s">
        <v>320</v>
      </c>
      <c r="Z10" s="556" t="s">
        <v>320</v>
      </c>
      <c r="AA10" s="197" t="s">
        <v>320</v>
      </c>
      <c r="AB10" s="93" t="s">
        <v>316</v>
      </c>
      <c r="AC10" s="93" t="s">
        <v>316</v>
      </c>
      <c r="AD10" s="146" t="s">
        <v>1937</v>
      </c>
      <c r="AE10" s="490" t="s">
        <v>423</v>
      </c>
      <c r="AF10" s="146"/>
      <c r="AG10" s="146"/>
      <c r="AH10" s="146" t="s">
        <v>2119</v>
      </c>
      <c r="AI10" s="146" t="s">
        <v>2125</v>
      </c>
      <c r="AJ10" s="146" t="s">
        <v>2126</v>
      </c>
      <c r="AK10" s="146" t="s">
        <v>434</v>
      </c>
      <c r="AL10" s="146" t="s">
        <v>434</v>
      </c>
      <c r="AM10" s="146" t="s">
        <v>434</v>
      </c>
      <c r="AN10" s="146"/>
      <c r="AO10" s="146" t="s">
        <v>434</v>
      </c>
    </row>
    <row r="11" spans="1:41" s="64" customFormat="1" ht="92.25">
      <c r="A11" s="146">
        <v>10</v>
      </c>
      <c r="B11" s="146" t="s">
        <v>5</v>
      </c>
      <c r="C11" s="624">
        <v>45910</v>
      </c>
      <c r="D11" s="624">
        <v>45923</v>
      </c>
      <c r="E11" s="146" t="s">
        <v>2066</v>
      </c>
      <c r="F11" s="146" t="s">
        <v>317</v>
      </c>
      <c r="G11" s="146">
        <v>25952</v>
      </c>
      <c r="H11" s="146" t="s">
        <v>2130</v>
      </c>
      <c r="I11" s="151" t="s">
        <v>348</v>
      </c>
      <c r="J11" s="146"/>
      <c r="K11" s="146"/>
      <c r="L11" s="146"/>
      <c r="M11" s="556">
        <v>45915</v>
      </c>
      <c r="N11" s="146"/>
      <c r="O11" s="146"/>
      <c r="P11" s="146"/>
      <c r="Q11" s="146"/>
      <c r="R11" s="146"/>
      <c r="S11" s="146"/>
      <c r="T11" s="146"/>
      <c r="U11" s="146"/>
      <c r="V11" s="146"/>
      <c r="W11" s="146"/>
      <c r="X11" s="146"/>
      <c r="Y11" s="146"/>
      <c r="Z11" s="146"/>
      <c r="AA11" s="146"/>
      <c r="AB11" s="146"/>
      <c r="AC11" s="146"/>
      <c r="AD11" s="146" t="s">
        <v>2131</v>
      </c>
      <c r="AE11" s="146"/>
      <c r="AF11" s="146"/>
      <c r="AG11" s="146"/>
      <c r="AH11" s="146"/>
      <c r="AI11" s="146"/>
      <c r="AJ11" s="146" t="s">
        <v>2132</v>
      </c>
      <c r="AK11" s="146" t="s">
        <v>2132</v>
      </c>
      <c r="AL11" s="146" t="s">
        <v>2132</v>
      </c>
      <c r="AM11" s="146" t="s">
        <v>2132</v>
      </c>
      <c r="AN11" s="146" t="s">
        <v>1358</v>
      </c>
      <c r="AO11" s="146" t="s">
        <v>2133</v>
      </c>
    </row>
    <row r="12" spans="1:41" s="64" customFormat="1" ht="58.5">
      <c r="A12" s="146">
        <v>11</v>
      </c>
      <c r="B12" s="146" t="s">
        <v>5</v>
      </c>
      <c r="C12" s="624">
        <v>45910</v>
      </c>
      <c r="D12" s="624">
        <v>45923</v>
      </c>
      <c r="E12" s="146" t="s">
        <v>2134</v>
      </c>
      <c r="F12" s="146" t="s">
        <v>1216</v>
      </c>
      <c r="G12" s="146">
        <v>50101</v>
      </c>
      <c r="H12" s="146" t="s">
        <v>2135</v>
      </c>
      <c r="I12" s="151" t="s">
        <v>306</v>
      </c>
      <c r="J12" s="146">
        <v>3</v>
      </c>
      <c r="K12" s="146">
        <v>4.25</v>
      </c>
      <c r="L12" s="146">
        <v>17</v>
      </c>
      <c r="M12" s="177">
        <v>45917</v>
      </c>
      <c r="N12" s="177">
        <v>45922</v>
      </c>
      <c r="O12" s="146" t="s">
        <v>320</v>
      </c>
      <c r="P12" s="146" t="s">
        <v>313</v>
      </c>
      <c r="Q12" s="146" t="s">
        <v>316</v>
      </c>
      <c r="R12" s="146" t="s">
        <v>313</v>
      </c>
      <c r="S12" s="146" t="s">
        <v>316</v>
      </c>
      <c r="T12" s="112" t="s">
        <v>2136</v>
      </c>
      <c r="U12" s="177">
        <v>45922</v>
      </c>
      <c r="V12" s="177">
        <v>45922</v>
      </c>
      <c r="W12" s="146" t="s">
        <v>320</v>
      </c>
      <c r="X12" s="146" t="s">
        <v>320</v>
      </c>
      <c r="Y12" s="146" t="s">
        <v>320</v>
      </c>
      <c r="Z12" s="146"/>
      <c r="AA12" s="146"/>
      <c r="AB12" s="146"/>
      <c r="AC12" s="146"/>
      <c r="AD12" s="146"/>
      <c r="AE12" s="146"/>
      <c r="AF12" s="146"/>
      <c r="AG12" s="146"/>
      <c r="AH12" s="146"/>
      <c r="AI12" s="146"/>
      <c r="AJ12" s="146"/>
      <c r="AK12" s="146" t="s">
        <v>2137</v>
      </c>
      <c r="AL12" s="146" t="s">
        <v>2138</v>
      </c>
      <c r="AM12" s="64" t="s">
        <v>2139</v>
      </c>
      <c r="AN12" s="146" t="s">
        <v>2140</v>
      </c>
      <c r="AO12" s="146" t="s">
        <v>2141</v>
      </c>
    </row>
    <row r="13" spans="1:41" s="64" customFormat="1" ht="115.5">
      <c r="A13" s="189">
        <v>12</v>
      </c>
      <c r="B13" s="189" t="s">
        <v>5</v>
      </c>
      <c r="C13" s="627">
        <v>45910</v>
      </c>
      <c r="D13" s="627">
        <v>45923</v>
      </c>
      <c r="E13" s="189" t="s">
        <v>2142</v>
      </c>
      <c r="F13" s="189" t="s">
        <v>317</v>
      </c>
      <c r="G13" s="135" t="s">
        <v>2143</v>
      </c>
      <c r="H13" s="189" t="s">
        <v>2144</v>
      </c>
      <c r="I13" s="536" t="s">
        <v>348</v>
      </c>
      <c r="J13" s="189">
        <v>0</v>
      </c>
      <c r="K13" s="189"/>
      <c r="L13" s="189"/>
      <c r="M13" s="552">
        <v>45918</v>
      </c>
      <c r="N13" s="189"/>
      <c r="O13" s="189"/>
      <c r="P13" s="189"/>
      <c r="Q13" s="189"/>
      <c r="R13" s="189"/>
      <c r="S13" s="189"/>
      <c r="T13" s="189"/>
      <c r="U13" s="189"/>
      <c r="V13" s="189"/>
      <c r="W13" s="189"/>
      <c r="X13" s="189"/>
      <c r="Y13" s="189"/>
      <c r="Z13" s="189"/>
      <c r="AA13" s="189"/>
      <c r="AB13" s="189"/>
      <c r="AC13" s="189"/>
      <c r="AD13" s="146" t="s">
        <v>2131</v>
      </c>
      <c r="AE13" s="189"/>
      <c r="AF13" s="189"/>
      <c r="AG13" s="189"/>
      <c r="AH13" s="189"/>
      <c r="AI13" s="189"/>
      <c r="AJ13" s="189"/>
      <c r="AK13" s="189"/>
      <c r="AL13" s="189" t="s">
        <v>2145</v>
      </c>
      <c r="AM13" s="189" t="s">
        <v>2146</v>
      </c>
      <c r="AN13" s="189" t="s">
        <v>1358</v>
      </c>
      <c r="AO13" s="189" t="s">
        <v>2147</v>
      </c>
    </row>
    <row r="14" spans="1:41" s="64" customFormat="1" ht="81">
      <c r="A14" s="189">
        <v>13</v>
      </c>
      <c r="B14" s="189" t="s">
        <v>5</v>
      </c>
      <c r="C14" s="627">
        <v>45910</v>
      </c>
      <c r="D14" s="627">
        <v>45923</v>
      </c>
      <c r="E14" s="189" t="s">
        <v>2148</v>
      </c>
      <c r="F14" s="189" t="s">
        <v>313</v>
      </c>
      <c r="G14" s="633">
        <v>44479</v>
      </c>
      <c r="H14" s="630" t="s">
        <v>1986</v>
      </c>
      <c r="I14" s="536" t="s">
        <v>399</v>
      </c>
      <c r="J14" s="189">
        <v>3</v>
      </c>
      <c r="K14" s="189"/>
      <c r="L14" s="189">
        <v>4</v>
      </c>
      <c r="M14" s="552">
        <v>45923</v>
      </c>
      <c r="N14" s="189"/>
      <c r="O14" s="189"/>
      <c r="P14" s="189"/>
      <c r="Q14" s="189"/>
      <c r="R14" s="189"/>
      <c r="S14" s="189"/>
      <c r="T14" s="189"/>
      <c r="U14" s="189"/>
      <c r="V14" s="189"/>
      <c r="W14" s="189"/>
      <c r="X14" s="189"/>
      <c r="Y14" s="189"/>
      <c r="Z14" s="189"/>
      <c r="AA14" s="631"/>
      <c r="AB14" s="189"/>
      <c r="AC14" s="632"/>
      <c r="AD14" s="189" t="s">
        <v>2149</v>
      </c>
      <c r="AE14" s="189"/>
      <c r="AF14" s="189"/>
      <c r="AG14" s="189"/>
      <c r="AH14" s="189"/>
      <c r="AI14" s="189"/>
      <c r="AJ14" s="189"/>
      <c r="AK14" s="189"/>
      <c r="AL14" s="189"/>
      <c r="AM14" s="189"/>
      <c r="AN14" s="189"/>
      <c r="AO14" s="189"/>
    </row>
    <row r="15" spans="1:41" ht="58.5">
      <c r="A15" s="147">
        <v>14</v>
      </c>
      <c r="B15" s="151" t="s">
        <v>5</v>
      </c>
      <c r="C15" s="624">
        <v>45910</v>
      </c>
      <c r="D15" s="624">
        <v>45923</v>
      </c>
      <c r="E15" s="146" t="s">
        <v>2066</v>
      </c>
      <c r="F15" s="146" t="s">
        <v>315</v>
      </c>
      <c r="G15" s="199">
        <v>43613</v>
      </c>
      <c r="H15" s="96" t="s">
        <v>1990</v>
      </c>
      <c r="I15" s="151" t="s">
        <v>553</v>
      </c>
      <c r="J15" s="147">
        <v>5</v>
      </c>
      <c r="K15" s="93"/>
      <c r="L15" s="93">
        <v>2.5</v>
      </c>
      <c r="M15" s="177">
        <v>45922</v>
      </c>
      <c r="N15" s="93"/>
      <c r="O15" s="93"/>
      <c r="P15" s="93"/>
      <c r="Q15" s="93"/>
      <c r="R15" s="93"/>
      <c r="S15" s="93"/>
      <c r="T15" s="93"/>
      <c r="U15" s="93"/>
      <c r="V15" s="93"/>
      <c r="W15" s="93"/>
      <c r="X15" s="93"/>
      <c r="Y15" s="93"/>
      <c r="Z15" s="93"/>
      <c r="AA15" s="93"/>
      <c r="AB15" s="93"/>
      <c r="AC15" s="93"/>
      <c r="AD15" s="96" t="s">
        <v>2150</v>
      </c>
      <c r="AE15" s="93"/>
      <c r="AF15" s="93"/>
      <c r="AG15" s="93"/>
      <c r="AH15" s="93"/>
      <c r="AI15" s="93"/>
      <c r="AJ15" s="93"/>
      <c r="AK15" s="93"/>
      <c r="AL15" s="93"/>
      <c r="AM15" s="93"/>
      <c r="AN15" s="93"/>
      <c r="AO15" s="93"/>
    </row>
  </sheetData>
  <autoFilter ref="A1:AO14" xr:uid="{899CC97F-81D0-4991-969D-3BA03228DE37}"/>
  <conditionalFormatting sqref="J1">
    <cfRule type="containsText" dxfId="584" priority="4" operator="containsText" text="Closed">
      <formula>NOT(ISERROR(SEARCH("Closed",J1)))</formula>
    </cfRule>
    <cfRule type="containsText" dxfId="583" priority="5" operator="containsText" text="Open">
      <formula>NOT(ISERROR(SEARCH("Open",J1)))</formula>
    </cfRule>
    <cfRule type="containsText" dxfId="582" priority="6" operator="containsText" text="Inprogress">
      <formula>NOT(ISERROR(SEARCH("Inprogress",J1)))</formula>
    </cfRule>
  </conditionalFormatting>
  <conditionalFormatting sqref="I2:I15">
    <cfRule type="containsText" dxfId="581" priority="1" operator="containsText" text="Closed">
      <formula>NOT(ISERROR(SEARCH("Closed",I2)))</formula>
    </cfRule>
    <cfRule type="containsText" dxfId="580" priority="2" operator="containsText" text="Open">
      <formula>NOT(ISERROR(SEARCH("Open",I2)))</formula>
    </cfRule>
    <cfRule type="containsText" dxfId="579" priority="3" operator="containsText" text="Inprogress">
      <formula>NOT(ISERROR(SEARCH("Inprogress",I2)))</formula>
    </cfRule>
  </conditionalFormatting>
  <dataValidations count="11">
    <dataValidation type="list" allowBlank="1" showErrorMessage="1" sqref="J1" xr:uid="{4E971F20-42B9-43C3-B284-6B29385DEDCB}">
      <formula1>"Open,Inprogress,Closed"</formula1>
    </dataValidation>
    <dataValidation showErrorMessage="1" sqref="I1" xr:uid="{198A7885-29E9-439F-8579-83CCC51EFE33}"/>
    <dataValidation allowBlank="1" showInputMessage="1" showErrorMessage="1" sqref="AD1:AE1" xr:uid="{78453D06-62EA-4330-BBF7-07EF038341ED}"/>
    <dataValidation type="list" showErrorMessage="1" sqref="Y1:Z1 W1 O1" xr:uid="{2F123A5E-8705-4EB8-BBEF-657D36AE54B7}">
      <formula1>"Open,Inprogress,Completed,TBD,NA"</formula1>
    </dataValidation>
    <dataValidation type="list" showErrorMessage="1" sqref="S1:T1 X1 AA1" xr:uid="{C15FBE50-2364-40F7-BDF1-7AC6C275448F}">
      <formula1>"No issues found,Issues observed(BacktoDev),DB Script tests in QA DB,NA,TBD"</formula1>
    </dataValidation>
    <dataValidation type="list" showErrorMessage="1" sqref="AB1" xr:uid="{250DD2E0-C663-4A41-A36D-CC118B1C4BF6}">
      <formula1>"Approved-Satisified AC,Not Approved(Back to Dev),NA,TBD"</formula1>
    </dataValidation>
    <dataValidation type="list" showErrorMessage="1" sqref="AC1" xr:uid="{4D2CFA42-2340-4E3F-B489-F0EF1B0B9A37}">
      <formula1>"Pending-Waiting for Customer confirmation, Approved-Satisified AC,Not Approved-New minor changes requested(Back to Dev),NA,TBD"</formula1>
    </dataValidation>
    <dataValidation type="list" showErrorMessage="1" sqref="Q1" xr:uid="{47A3E28B-BFAB-430B-B591-CEA7B6F0817B}">
      <formula1>"Pass,Fail(BacktoDev),DB Script tests in QA DB,TBD"</formula1>
    </dataValidation>
    <dataValidation type="list" showErrorMessage="1" sqref="R1" xr:uid="{A001B330-5805-43A2-8753-4BFE59CF1749}">
      <formula1>"Qadir,Rijo,Karthik,None,TBD"</formula1>
    </dataValidation>
    <dataValidation type="list" showErrorMessage="1" sqref="P1" xr:uid="{58C2A4D0-A197-435F-B747-A9CB841A26CA}">
      <formula1>"Qadir,Rijo,Karthik,Sushmitha,None,TBD"</formula1>
    </dataValidation>
    <dataValidation type="list" allowBlank="1" showInputMessage="1" showErrorMessage="1" sqref="AE6:AE10 AE2:AE4" xr:uid="{39098FC2-74D2-4A7C-9044-3339E9730313}">
      <formula1>"Exceeds Expectation,Meets Expectation,Needs improvements"</formula1>
    </dataValidation>
  </dataValidations>
  <hyperlinks>
    <hyperlink ref="T3" r:id="rId1" xr:uid="{7E7DB2FF-7184-4848-9EE0-6FBD49068AAC}"/>
    <hyperlink ref="T6" r:id="rId2" xr:uid="{5AAE479E-91DA-47B3-A2BF-2B26BACA55CB}"/>
    <hyperlink ref="T12" r:id="rId3" xr:uid="{0372D235-6D03-4CD8-BC13-9D5032FBAE8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BEEA1C5-7CAD-4634-AB43-E0D08EAF2036}">
          <x14:formula1>
            <xm:f>Settings!$C$3:$C$20</xm:f>
          </x14:formula1>
          <xm:sqref>I2:I15</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470F-CCBB-4019-9AC0-9C0330D2DA3A}">
  <dimension ref="A1:M29"/>
  <sheetViews>
    <sheetView workbookViewId="0"/>
  </sheetViews>
  <sheetFormatPr defaultRowHeight="12.75"/>
  <cols>
    <col min="2" max="2" width="31.7109375" customWidth="1"/>
    <col min="3" max="3" width="14.140625" customWidth="1"/>
    <col min="7" max="7" width="61.140625" customWidth="1"/>
    <col min="12" max="12" width="14.5703125" customWidth="1"/>
    <col min="13" max="13" width="40.85546875" customWidth="1"/>
  </cols>
  <sheetData>
    <row r="1" spans="1:13" ht="40.5">
      <c r="A1" s="586" t="s">
        <v>266</v>
      </c>
      <c r="B1" s="155" t="s">
        <v>10</v>
      </c>
      <c r="C1" s="280" t="s">
        <v>267</v>
      </c>
      <c r="D1" s="280" t="s">
        <v>268</v>
      </c>
      <c r="E1" s="155" t="s">
        <v>269</v>
      </c>
      <c r="F1" s="280" t="s">
        <v>270</v>
      </c>
      <c r="G1" s="280" t="s">
        <v>271</v>
      </c>
      <c r="H1" s="155" t="s">
        <v>272</v>
      </c>
      <c r="I1" s="155" t="s">
        <v>273</v>
      </c>
      <c r="J1" s="155" t="s">
        <v>274</v>
      </c>
      <c r="K1" s="155" t="s">
        <v>275</v>
      </c>
      <c r="L1" s="605" t="s">
        <v>276</v>
      </c>
      <c r="M1" s="468" t="s">
        <v>277</v>
      </c>
    </row>
    <row r="2" spans="1:13" s="150" customFormat="1" ht="71.25" customHeight="1">
      <c r="A2" s="147">
        <v>1</v>
      </c>
      <c r="B2" s="146" t="s">
        <v>2066</v>
      </c>
      <c r="C2" s="147" t="s">
        <v>2117</v>
      </c>
      <c r="D2" s="590"/>
      <c r="E2" s="147"/>
      <c r="F2" s="598" t="s">
        <v>522</v>
      </c>
      <c r="G2" s="147" t="s">
        <v>2118</v>
      </c>
      <c r="H2" s="513" t="s">
        <v>1670</v>
      </c>
      <c r="I2" s="598" t="s">
        <v>518</v>
      </c>
      <c r="J2" s="513" t="s">
        <v>519</v>
      </c>
      <c r="K2" s="598" t="s">
        <v>1674</v>
      </c>
      <c r="L2" s="68" t="s">
        <v>529</v>
      </c>
      <c r="M2" s="373" t="s">
        <v>2151</v>
      </c>
    </row>
    <row r="3" spans="1:13" s="150" customFormat="1" ht="35.25">
      <c r="A3" s="188">
        <v>2</v>
      </c>
      <c r="B3" s="146" t="s">
        <v>2066</v>
      </c>
      <c r="C3" s="146" t="s">
        <v>2122</v>
      </c>
      <c r="D3" s="590"/>
      <c r="E3" s="626"/>
      <c r="F3" s="598" t="s">
        <v>522</v>
      </c>
      <c r="G3" s="146" t="s">
        <v>2123</v>
      </c>
      <c r="H3" s="513" t="s">
        <v>1670</v>
      </c>
      <c r="I3" s="598" t="s">
        <v>518</v>
      </c>
      <c r="J3" s="513" t="s">
        <v>519</v>
      </c>
      <c r="K3" s="598" t="s">
        <v>1674</v>
      </c>
      <c r="L3" s="68" t="s">
        <v>529</v>
      </c>
      <c r="M3" s="146" t="s">
        <v>2152</v>
      </c>
    </row>
    <row r="4" spans="1:13" s="150" customFormat="1" ht="69">
      <c r="A4" s="147">
        <v>3</v>
      </c>
      <c r="B4" s="146" t="s">
        <v>2066</v>
      </c>
      <c r="C4" s="146" t="s">
        <v>2127</v>
      </c>
      <c r="D4" s="511"/>
      <c r="E4" s="147"/>
      <c r="F4" s="598" t="s">
        <v>522</v>
      </c>
      <c r="G4" s="146" t="s">
        <v>2128</v>
      </c>
      <c r="H4" s="513" t="s">
        <v>1670</v>
      </c>
      <c r="I4" s="598" t="s">
        <v>518</v>
      </c>
      <c r="J4" s="513" t="s">
        <v>519</v>
      </c>
      <c r="K4" s="598" t="s">
        <v>1674</v>
      </c>
      <c r="L4" s="68" t="s">
        <v>529</v>
      </c>
      <c r="M4" s="373" t="s">
        <v>2151</v>
      </c>
    </row>
    <row r="5" spans="1:13" ht="92.25">
      <c r="A5" s="147">
        <v>4</v>
      </c>
      <c r="B5" s="146" t="s">
        <v>2066</v>
      </c>
      <c r="C5" s="147">
        <v>25774</v>
      </c>
      <c r="D5" s="511"/>
      <c r="E5" s="147"/>
      <c r="F5" s="512" t="s">
        <v>522</v>
      </c>
      <c r="G5" s="146" t="s">
        <v>2114</v>
      </c>
      <c r="H5" s="513" t="s">
        <v>1670</v>
      </c>
      <c r="I5" s="598" t="s">
        <v>518</v>
      </c>
      <c r="J5" s="513" t="s">
        <v>525</v>
      </c>
      <c r="K5" s="598" t="s">
        <v>1674</v>
      </c>
      <c r="L5" s="628" t="s">
        <v>529</v>
      </c>
      <c r="M5" s="593" t="s">
        <v>2153</v>
      </c>
    </row>
    <row r="6" spans="1:13" ht="23.25">
      <c r="A6" s="147">
        <v>5</v>
      </c>
      <c r="B6" s="146" t="s">
        <v>2066</v>
      </c>
      <c r="C6" s="510" t="s">
        <v>2154</v>
      </c>
      <c r="D6" s="511"/>
      <c r="E6" s="147"/>
      <c r="F6" s="512" t="s">
        <v>522</v>
      </c>
      <c r="G6" s="146" t="s">
        <v>2144</v>
      </c>
      <c r="H6" s="165" t="s">
        <v>1670</v>
      </c>
      <c r="I6" s="512" t="s">
        <v>518</v>
      </c>
      <c r="J6" s="165" t="s">
        <v>519</v>
      </c>
      <c r="K6" s="512" t="s">
        <v>1205</v>
      </c>
      <c r="L6" s="62" t="s">
        <v>529</v>
      </c>
      <c r="M6" s="629" t="s">
        <v>2155</v>
      </c>
    </row>
    <row r="7" spans="1:13" ht="35.25">
      <c r="A7" s="147">
        <v>6</v>
      </c>
      <c r="B7" s="146" t="s">
        <v>2066</v>
      </c>
      <c r="C7" s="510">
        <v>25952</v>
      </c>
      <c r="D7" s="511"/>
      <c r="E7" s="147"/>
      <c r="F7" s="512" t="s">
        <v>522</v>
      </c>
      <c r="G7" s="146" t="s">
        <v>2130</v>
      </c>
      <c r="H7" s="165" t="s">
        <v>1670</v>
      </c>
      <c r="I7" s="512" t="s">
        <v>518</v>
      </c>
      <c r="J7" s="165" t="s">
        <v>525</v>
      </c>
      <c r="K7" s="512" t="s">
        <v>1205</v>
      </c>
      <c r="L7" s="62" t="s">
        <v>529</v>
      </c>
      <c r="M7" s="146" t="s">
        <v>2156</v>
      </c>
    </row>
    <row r="8" spans="1:13" ht="46.5">
      <c r="A8" s="147">
        <v>7</v>
      </c>
      <c r="B8" s="146" t="s">
        <v>2066</v>
      </c>
      <c r="C8" s="147">
        <v>25956</v>
      </c>
      <c r="D8" s="511"/>
      <c r="E8" s="147"/>
      <c r="F8" s="512" t="s">
        <v>522</v>
      </c>
      <c r="G8" s="146" t="s">
        <v>2157</v>
      </c>
      <c r="H8" s="202" t="s">
        <v>1670</v>
      </c>
      <c r="I8" s="596" t="s">
        <v>518</v>
      </c>
      <c r="J8" s="202" t="s">
        <v>525</v>
      </c>
      <c r="K8" s="512" t="s">
        <v>1671</v>
      </c>
      <c r="L8" s="62" t="s">
        <v>529</v>
      </c>
      <c r="M8" s="146" t="s">
        <v>2158</v>
      </c>
    </row>
    <row r="9" spans="1:13">
      <c r="A9" s="93"/>
      <c r="B9" s="77"/>
      <c r="C9" s="93"/>
      <c r="D9" s="511"/>
      <c r="E9" s="93"/>
      <c r="F9" s="512"/>
      <c r="G9" s="96"/>
      <c r="H9" s="165"/>
      <c r="I9" s="512"/>
      <c r="J9" s="165"/>
      <c r="K9" s="512"/>
      <c r="L9" s="62"/>
      <c r="M9" s="96"/>
    </row>
    <row r="10" spans="1:13">
      <c r="A10" s="93"/>
      <c r="B10" s="77"/>
      <c r="C10" s="93"/>
      <c r="D10" s="511"/>
      <c r="E10" s="93"/>
      <c r="F10" s="512"/>
      <c r="G10" s="96"/>
      <c r="H10" s="165"/>
      <c r="I10" s="512"/>
      <c r="J10" s="165"/>
      <c r="K10" s="512"/>
      <c r="L10" s="62"/>
      <c r="M10" s="96"/>
    </row>
    <row r="11" spans="1:13">
      <c r="A11" s="93"/>
      <c r="B11" s="77"/>
      <c r="C11" s="93"/>
      <c r="D11" s="511"/>
      <c r="E11" s="93"/>
      <c r="F11" s="512"/>
      <c r="G11" s="96"/>
      <c r="H11" s="165"/>
      <c r="I11" s="512"/>
      <c r="J11" s="165"/>
      <c r="K11" s="512"/>
      <c r="L11" s="62"/>
      <c r="M11" s="96"/>
    </row>
    <row r="12" spans="1:13">
      <c r="A12" s="93"/>
      <c r="B12" s="77"/>
      <c r="C12" s="93"/>
      <c r="D12" s="511"/>
      <c r="E12" s="93"/>
      <c r="F12" s="512"/>
      <c r="G12" s="96"/>
      <c r="H12" s="165"/>
      <c r="I12" s="512"/>
      <c r="J12" s="165"/>
      <c r="K12" s="512"/>
      <c r="L12" s="62"/>
      <c r="M12" s="93"/>
    </row>
    <row r="13" spans="1:13">
      <c r="A13" s="93"/>
      <c r="B13" s="77"/>
      <c r="C13" s="93"/>
      <c r="D13" s="511"/>
      <c r="E13" s="93"/>
      <c r="F13" s="512"/>
      <c r="G13" s="96"/>
      <c r="H13" s="165"/>
      <c r="I13" s="512"/>
      <c r="J13" s="165"/>
      <c r="K13" s="512"/>
      <c r="L13" s="62"/>
      <c r="M13" s="93"/>
    </row>
    <row r="14" spans="1:13">
      <c r="A14" s="93"/>
      <c r="B14" s="77"/>
      <c r="C14" s="93"/>
      <c r="D14" s="511"/>
      <c r="E14" s="93"/>
      <c r="F14" s="512"/>
      <c r="G14" s="96"/>
      <c r="H14" s="165"/>
      <c r="I14" s="512"/>
      <c r="J14" s="165"/>
      <c r="K14" s="512"/>
      <c r="L14" s="62"/>
      <c r="M14" s="93"/>
    </row>
    <row r="15" spans="1:13">
      <c r="A15" s="93"/>
      <c r="B15" s="77"/>
      <c r="C15" s="93"/>
      <c r="D15" s="511"/>
      <c r="E15" s="93"/>
      <c r="F15" s="512"/>
      <c r="G15" s="96"/>
      <c r="H15" s="165"/>
      <c r="I15" s="512"/>
      <c r="J15" s="165"/>
      <c r="K15" s="512"/>
      <c r="L15" s="62"/>
      <c r="M15" s="93"/>
    </row>
    <row r="16" spans="1:13">
      <c r="A16" s="93"/>
      <c r="B16" s="77"/>
      <c r="C16" s="93"/>
      <c r="D16" s="511"/>
      <c r="E16" s="93"/>
      <c r="F16" s="512"/>
      <c r="G16" s="96"/>
      <c r="H16" s="165"/>
      <c r="I16" s="512"/>
      <c r="J16" s="165"/>
      <c r="K16" s="512"/>
      <c r="L16" s="62"/>
      <c r="M16" s="93"/>
    </row>
    <row r="17" spans="1:13">
      <c r="A17" s="93"/>
      <c r="B17" s="77"/>
      <c r="C17" s="93"/>
      <c r="D17" s="511"/>
      <c r="E17" s="93"/>
      <c r="F17" s="512"/>
      <c r="G17" s="96"/>
      <c r="H17" s="165"/>
      <c r="I17" s="512"/>
      <c r="J17" s="165"/>
      <c r="K17" s="512"/>
      <c r="L17" s="62"/>
      <c r="M17" s="93"/>
    </row>
    <row r="18" spans="1:13">
      <c r="A18" s="93"/>
      <c r="B18" s="77"/>
      <c r="C18" s="93"/>
      <c r="D18" s="511"/>
      <c r="E18" s="93"/>
      <c r="F18" s="512"/>
      <c r="G18" s="96"/>
      <c r="H18" s="165"/>
      <c r="I18" s="512"/>
      <c r="J18" s="165"/>
      <c r="K18" s="512"/>
      <c r="L18" s="62"/>
      <c r="M18" s="93"/>
    </row>
    <row r="19" spans="1:13">
      <c r="A19" s="93"/>
      <c r="B19" s="77"/>
      <c r="C19" s="93"/>
      <c r="D19" s="511"/>
      <c r="E19" s="93"/>
      <c r="F19" s="512"/>
      <c r="G19" s="96"/>
      <c r="H19" s="165"/>
      <c r="I19" s="512"/>
      <c r="J19" s="165"/>
      <c r="K19" s="512"/>
      <c r="L19" s="62"/>
      <c r="M19" s="93"/>
    </row>
    <row r="20" spans="1:13">
      <c r="A20" s="93"/>
      <c r="B20" s="77"/>
      <c r="C20" s="93"/>
      <c r="D20" s="511"/>
      <c r="E20" s="93"/>
      <c r="F20" s="512"/>
      <c r="G20" s="96"/>
      <c r="H20" s="165"/>
      <c r="I20" s="512"/>
      <c r="J20" s="165"/>
      <c r="K20" s="512"/>
      <c r="L20" s="62"/>
      <c r="M20" s="93"/>
    </row>
    <row r="21" spans="1:13">
      <c r="A21" s="93"/>
      <c r="B21" s="77"/>
      <c r="C21" s="93"/>
      <c r="D21" s="511"/>
      <c r="E21" s="93"/>
      <c r="F21" s="512"/>
      <c r="G21" s="96"/>
      <c r="H21" s="165"/>
      <c r="I21" s="512"/>
      <c r="J21" s="165"/>
      <c r="K21" s="512"/>
      <c r="L21" s="62"/>
      <c r="M21" s="93"/>
    </row>
    <row r="22" spans="1:13">
      <c r="A22" s="93"/>
      <c r="B22" s="77"/>
      <c r="C22" s="93"/>
      <c r="D22" s="511"/>
      <c r="E22" s="93"/>
      <c r="F22" s="512"/>
      <c r="G22" s="96"/>
      <c r="H22" s="165"/>
      <c r="I22" s="512"/>
      <c r="J22" s="165"/>
      <c r="K22" s="512"/>
      <c r="L22" s="62"/>
      <c r="M22" s="93"/>
    </row>
    <row r="23" spans="1:13">
      <c r="A23" s="93"/>
      <c r="B23" s="77"/>
      <c r="C23" s="93"/>
      <c r="D23" s="511"/>
      <c r="E23" s="93"/>
      <c r="F23" s="512"/>
      <c r="G23" s="96"/>
      <c r="H23" s="165"/>
      <c r="I23" s="512"/>
      <c r="J23" s="165"/>
      <c r="K23" s="512"/>
      <c r="L23" s="62"/>
      <c r="M23" s="93"/>
    </row>
    <row r="24" spans="1:13">
      <c r="A24" s="93"/>
      <c r="B24" s="77"/>
      <c r="C24" s="93"/>
      <c r="D24" s="511"/>
      <c r="E24" s="93"/>
      <c r="F24" s="512"/>
      <c r="G24" s="96"/>
      <c r="H24" s="165"/>
      <c r="I24" s="512"/>
      <c r="J24" s="165"/>
      <c r="K24" s="512"/>
      <c r="L24" s="62"/>
      <c r="M24" s="93"/>
    </row>
    <row r="25" spans="1:13">
      <c r="A25" s="93"/>
      <c r="B25" s="77"/>
      <c r="C25" s="93"/>
      <c r="D25" s="511"/>
      <c r="E25" s="93"/>
      <c r="F25" s="512"/>
      <c r="G25" s="96"/>
      <c r="H25" s="165"/>
      <c r="I25" s="512"/>
      <c r="J25" s="165"/>
      <c r="K25" s="512"/>
      <c r="L25" s="62"/>
      <c r="M25" s="93"/>
    </row>
    <row r="26" spans="1:13">
      <c r="A26" s="93"/>
      <c r="B26" s="77"/>
      <c r="C26" s="93"/>
      <c r="D26" s="511"/>
      <c r="E26" s="93"/>
      <c r="F26" s="512"/>
      <c r="G26" s="96"/>
      <c r="H26" s="165"/>
      <c r="I26" s="512"/>
      <c r="J26" s="165"/>
      <c r="K26" s="512"/>
      <c r="L26" s="62"/>
      <c r="M26" s="93"/>
    </row>
    <row r="27" spans="1:13">
      <c r="A27" s="93"/>
      <c r="B27" s="77"/>
      <c r="C27" s="93"/>
      <c r="D27" s="511"/>
      <c r="E27" s="93"/>
      <c r="F27" s="512"/>
      <c r="G27" s="96"/>
      <c r="H27" s="165"/>
      <c r="I27" s="512"/>
      <c r="J27" s="165"/>
      <c r="K27" s="512"/>
      <c r="L27" s="62"/>
      <c r="M27" s="93"/>
    </row>
    <row r="28" spans="1:13">
      <c r="A28" s="93"/>
      <c r="B28" s="77"/>
      <c r="C28" s="93"/>
      <c r="D28" s="511"/>
      <c r="E28" s="93"/>
      <c r="F28" s="512"/>
      <c r="G28" s="96"/>
      <c r="H28" s="165"/>
      <c r="I28" s="512"/>
      <c r="J28" s="165"/>
      <c r="K28" s="512"/>
      <c r="L28" s="62"/>
      <c r="M28" s="93"/>
    </row>
    <row r="29" spans="1:13">
      <c r="A29" s="93"/>
      <c r="B29" s="77"/>
      <c r="C29" s="93"/>
      <c r="D29" s="511"/>
      <c r="E29" s="93"/>
      <c r="F29" s="512"/>
      <c r="G29" s="96"/>
      <c r="H29" s="165"/>
      <c r="I29" s="512"/>
      <c r="J29" s="165"/>
      <c r="K29" s="512"/>
      <c r="L29" s="62"/>
      <c r="M29" s="93"/>
    </row>
  </sheetData>
  <dataValidations count="5">
    <dataValidation type="list" allowBlank="1" showErrorMessage="1" sqref="F2:F29" xr:uid="{7B992980-CF87-4071-8821-DF5D67D96735}">
      <formula1>"Bounceback/Sub-Defect,Defect,None"</formula1>
    </dataValidation>
    <dataValidation type="list" allowBlank="1" showErrorMessage="1" sqref="J2:J29" xr:uid="{B3967D80-B48B-4EF6-B54A-8F1B89D18199}">
      <formula1>"Internal,External"</formula1>
    </dataValidation>
    <dataValidation type="list" allowBlank="1" showErrorMessage="1" sqref="H2:H29" xr:uid="{C56ADB4E-A83E-4F75-A92C-ECE53C6A2D9D}">
      <formula1>"Minor,Significant,Major"</formula1>
    </dataValidation>
    <dataValidation type="list" allowBlank="1" showErrorMessage="1" sqref="I2:I29" xr:uid="{2084489F-7E64-4911-B4E2-52F3E4BFCBF9}">
      <formula1>"Manual, Automation"</formula1>
    </dataValidation>
    <dataValidation type="list" allowBlank="1" showErrorMessage="1" sqref="K2:K29" xr:uid="{AFF6FCA7-3EBE-4688-A7EB-409DBE3F48EF}">
      <formula1>"Open,Inprogress,Closed/Rejected"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3F2A6ECE-75A2-4391-8AEA-53A4B6554F7E}">
          <x14:formula1>
            <xm:f>Details!$A$2:$A$10</xm:f>
          </x14:formula1>
          <xm:sqref>L2:L29</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919AD-239B-4218-B839-46FBF5134C06}">
  <dimension ref="A1:AO19"/>
  <sheetViews>
    <sheetView workbookViewId="0">
      <pane ySplit="1" topLeftCell="A2" activePane="bottomLeft" state="frozen"/>
      <selection pane="bottomLeft" activeCell="M10" sqref="M10"/>
    </sheetView>
  </sheetViews>
  <sheetFormatPr defaultRowHeight="12.75"/>
  <cols>
    <col min="2" max="2" width="11.28515625" customWidth="1"/>
    <col min="3" max="3" width="11.85546875" customWidth="1"/>
    <col min="5" max="5" width="15" customWidth="1"/>
    <col min="6" max="6" width="13.7109375" customWidth="1"/>
    <col min="7" max="7" width="11.140625" customWidth="1"/>
    <col min="8" max="8" width="74.85546875" customWidth="1"/>
    <col min="9" max="9" width="19.5703125" customWidth="1"/>
    <col min="13" max="13" width="9.42578125" bestFit="1" customWidth="1"/>
    <col min="15" max="15" width="12" customWidth="1"/>
    <col min="19" max="19" width="16" customWidth="1"/>
    <col min="20" max="20" width="22.42578125" customWidth="1"/>
    <col min="30" max="30" width="22.28515625" customWidth="1"/>
    <col min="31" max="31" width="13.7109375" customWidth="1"/>
    <col min="32" max="32" width="27.140625" customWidth="1"/>
    <col min="33" max="33" width="12.28515625" customWidth="1"/>
    <col min="34" max="34" width="28.42578125" customWidth="1"/>
    <col min="35" max="35" width="31.7109375" customWidth="1"/>
    <col min="36" max="36" width="16.140625" customWidth="1"/>
    <col min="37" max="37" width="51.5703125" style="610" customWidth="1"/>
    <col min="38" max="39" width="18.140625" customWidth="1"/>
    <col min="40" max="40" width="20.5703125" customWidth="1"/>
    <col min="41" max="41" width="16.85546875" customWidth="1"/>
  </cols>
  <sheetData>
    <row r="1" spans="1:41"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45896</v>
      </c>
      <c r="AG1" s="518">
        <v>45897</v>
      </c>
      <c r="AH1" s="518">
        <v>45898</v>
      </c>
      <c r="AI1" s="518">
        <v>45901</v>
      </c>
      <c r="AJ1" s="518">
        <v>45902</v>
      </c>
      <c r="AK1" s="611">
        <v>45903</v>
      </c>
      <c r="AL1" s="518">
        <v>45904</v>
      </c>
      <c r="AM1" s="518">
        <v>45905</v>
      </c>
      <c r="AN1" s="518">
        <v>45908</v>
      </c>
      <c r="AO1" s="518">
        <v>45909</v>
      </c>
    </row>
    <row r="2" spans="1:41" ht="83.25" customHeight="1">
      <c r="A2" s="93">
        <v>1</v>
      </c>
      <c r="B2" s="490" t="s">
        <v>5</v>
      </c>
      <c r="C2" s="458">
        <v>45896</v>
      </c>
      <c r="D2" s="458">
        <v>45909</v>
      </c>
      <c r="E2" s="77" t="s">
        <v>2159</v>
      </c>
      <c r="F2" s="93" t="s">
        <v>317</v>
      </c>
      <c r="G2" s="93" t="s">
        <v>2160</v>
      </c>
      <c r="H2" s="225" t="s">
        <v>2161</v>
      </c>
      <c r="I2" s="490" t="s">
        <v>376</v>
      </c>
      <c r="J2" s="93">
        <v>0</v>
      </c>
      <c r="K2" s="93">
        <v>2</v>
      </c>
      <c r="L2" s="93">
        <v>6.5</v>
      </c>
      <c r="M2" s="171">
        <v>45897</v>
      </c>
      <c r="N2" s="171">
        <v>45908</v>
      </c>
      <c r="O2" s="93" t="s">
        <v>320</v>
      </c>
      <c r="P2" s="93" t="s">
        <v>320</v>
      </c>
      <c r="Q2" s="93" t="s">
        <v>320</v>
      </c>
      <c r="R2" s="93" t="s">
        <v>320</v>
      </c>
      <c r="S2" s="93" t="s">
        <v>320</v>
      </c>
      <c r="T2" s="93" t="s">
        <v>320</v>
      </c>
      <c r="U2" s="93" t="s">
        <v>320</v>
      </c>
      <c r="V2" s="93" t="s">
        <v>320</v>
      </c>
      <c r="W2" s="93" t="s">
        <v>320</v>
      </c>
      <c r="X2" s="93" t="s">
        <v>320</v>
      </c>
      <c r="Y2" s="93" t="s">
        <v>320</v>
      </c>
      <c r="Z2" s="93" t="s">
        <v>320</v>
      </c>
      <c r="AA2" s="93" t="s">
        <v>320</v>
      </c>
      <c r="AB2" s="93" t="s">
        <v>320</v>
      </c>
      <c r="AC2" s="93" t="s">
        <v>320</v>
      </c>
      <c r="AD2" s="96" t="s">
        <v>2162</v>
      </c>
      <c r="AE2" s="561" t="s">
        <v>423</v>
      </c>
      <c r="AF2" s="96" t="s">
        <v>2163</v>
      </c>
      <c r="AG2" s="96" t="s">
        <v>2164</v>
      </c>
      <c r="AH2" s="96" t="s">
        <v>1516</v>
      </c>
      <c r="AI2" s="96" t="s">
        <v>494</v>
      </c>
      <c r="AJ2" s="96" t="s">
        <v>2165</v>
      </c>
      <c r="AK2" s="235" t="s">
        <v>2166</v>
      </c>
      <c r="AL2" s="96" t="s">
        <v>2167</v>
      </c>
      <c r="AM2" s="96" t="s">
        <v>2167</v>
      </c>
      <c r="AN2" s="96" t="s">
        <v>2167</v>
      </c>
      <c r="AO2" s="93"/>
    </row>
    <row r="3" spans="1:41" ht="138.75">
      <c r="A3" s="93">
        <v>2</v>
      </c>
      <c r="B3" s="490" t="s">
        <v>5</v>
      </c>
      <c r="C3" s="458">
        <v>45896</v>
      </c>
      <c r="D3" s="458">
        <v>45909</v>
      </c>
      <c r="E3" s="77" t="s">
        <v>2159</v>
      </c>
      <c r="F3" s="93" t="s">
        <v>317</v>
      </c>
      <c r="G3" s="129" t="s">
        <v>2168</v>
      </c>
      <c r="H3" s="96" t="s">
        <v>2169</v>
      </c>
      <c r="I3" s="490" t="s">
        <v>376</v>
      </c>
      <c r="J3" s="93">
        <v>0</v>
      </c>
      <c r="K3" s="93">
        <v>1</v>
      </c>
      <c r="L3" s="93">
        <v>3.75</v>
      </c>
      <c r="M3" s="171">
        <v>45897</v>
      </c>
      <c r="N3" s="171">
        <v>45902</v>
      </c>
      <c r="O3" s="93" t="s">
        <v>320</v>
      </c>
      <c r="P3" s="93" t="s">
        <v>320</v>
      </c>
      <c r="Q3" s="93" t="s">
        <v>320</v>
      </c>
      <c r="R3" s="93" t="s">
        <v>320</v>
      </c>
      <c r="S3" s="93" t="s">
        <v>320</v>
      </c>
      <c r="T3" s="93" t="s">
        <v>320</v>
      </c>
      <c r="U3" s="93" t="s">
        <v>320</v>
      </c>
      <c r="V3" s="93" t="s">
        <v>320</v>
      </c>
      <c r="W3" s="93" t="s">
        <v>320</v>
      </c>
      <c r="X3" s="93" t="s">
        <v>320</v>
      </c>
      <c r="Y3" s="93" t="s">
        <v>320</v>
      </c>
      <c r="Z3" s="93" t="s">
        <v>320</v>
      </c>
      <c r="AA3" s="93" t="s">
        <v>320</v>
      </c>
      <c r="AB3" s="93" t="s">
        <v>320</v>
      </c>
      <c r="AC3" s="93" t="s">
        <v>320</v>
      </c>
      <c r="AD3" s="96" t="s">
        <v>2170</v>
      </c>
      <c r="AE3" s="561" t="s">
        <v>423</v>
      </c>
      <c r="AF3" s="96" t="s">
        <v>2171</v>
      </c>
      <c r="AG3" s="96" t="s">
        <v>2172</v>
      </c>
      <c r="AH3" s="96"/>
      <c r="AI3" s="96" t="s">
        <v>494</v>
      </c>
      <c r="AJ3" s="96" t="s">
        <v>2173</v>
      </c>
      <c r="AK3" s="235" t="s">
        <v>2174</v>
      </c>
      <c r="AL3" s="93" t="s">
        <v>434</v>
      </c>
      <c r="AM3" s="93" t="s">
        <v>434</v>
      </c>
      <c r="AN3" s="93" t="s">
        <v>434</v>
      </c>
      <c r="AO3" s="93"/>
    </row>
    <row r="4" spans="1:41" ht="58.5">
      <c r="A4" s="93">
        <v>3</v>
      </c>
      <c r="B4" s="490" t="s">
        <v>5</v>
      </c>
      <c r="C4" s="458">
        <v>45896</v>
      </c>
      <c r="D4" s="458">
        <v>45909</v>
      </c>
      <c r="E4" s="77" t="s">
        <v>2159</v>
      </c>
      <c r="F4" s="93" t="s">
        <v>315</v>
      </c>
      <c r="G4" s="571" t="s">
        <v>2175</v>
      </c>
      <c r="H4" s="96" t="s">
        <v>2176</v>
      </c>
      <c r="I4" s="490" t="s">
        <v>376</v>
      </c>
      <c r="J4" s="93">
        <v>1</v>
      </c>
      <c r="K4" s="93">
        <v>0</v>
      </c>
      <c r="L4" s="93">
        <v>0</v>
      </c>
      <c r="M4" s="171">
        <v>45897</v>
      </c>
      <c r="N4" s="171">
        <v>45897</v>
      </c>
      <c r="O4" s="93" t="s">
        <v>320</v>
      </c>
      <c r="P4" s="93" t="s">
        <v>320</v>
      </c>
      <c r="Q4" s="93" t="s">
        <v>320</v>
      </c>
      <c r="R4" s="93" t="s">
        <v>320</v>
      </c>
      <c r="S4" s="93" t="s">
        <v>320</v>
      </c>
      <c r="T4" s="93" t="s">
        <v>320</v>
      </c>
      <c r="U4" s="93" t="s">
        <v>320</v>
      </c>
      <c r="V4" s="93" t="s">
        <v>320</v>
      </c>
      <c r="W4" s="93" t="s">
        <v>320</v>
      </c>
      <c r="X4" s="93" t="s">
        <v>320</v>
      </c>
      <c r="Y4" s="93" t="s">
        <v>320</v>
      </c>
      <c r="Z4" s="93" t="s">
        <v>320</v>
      </c>
      <c r="AA4" s="93" t="s">
        <v>320</v>
      </c>
      <c r="AB4" s="93" t="s">
        <v>320</v>
      </c>
      <c r="AC4" s="93" t="s">
        <v>320</v>
      </c>
      <c r="AD4" s="96" t="s">
        <v>2177</v>
      </c>
      <c r="AE4" s="561" t="s">
        <v>423</v>
      </c>
      <c r="AF4" s="96" t="s">
        <v>2178</v>
      </c>
      <c r="AG4" s="96" t="s">
        <v>562</v>
      </c>
      <c r="AH4" s="93" t="s">
        <v>434</v>
      </c>
      <c r="AI4" s="93" t="s">
        <v>434</v>
      </c>
      <c r="AJ4" s="96" t="s">
        <v>434</v>
      </c>
      <c r="AK4" s="235" t="s">
        <v>434</v>
      </c>
      <c r="AL4" s="93" t="s">
        <v>434</v>
      </c>
      <c r="AM4" s="93" t="s">
        <v>434</v>
      </c>
      <c r="AN4" s="93" t="s">
        <v>434</v>
      </c>
      <c r="AO4" s="93"/>
    </row>
    <row r="5" spans="1:41" ht="104.25">
      <c r="A5" s="93">
        <v>4</v>
      </c>
      <c r="B5" s="490" t="s">
        <v>5</v>
      </c>
      <c r="C5" s="458">
        <v>45896</v>
      </c>
      <c r="D5" s="458">
        <v>45909</v>
      </c>
      <c r="E5" s="77" t="s">
        <v>2159</v>
      </c>
      <c r="F5" s="93" t="s">
        <v>313</v>
      </c>
      <c r="G5" s="93">
        <v>49369</v>
      </c>
      <c r="H5" s="96" t="s">
        <v>2179</v>
      </c>
      <c r="I5" s="490" t="s">
        <v>399</v>
      </c>
      <c r="J5" s="93">
        <v>2</v>
      </c>
      <c r="K5" s="93"/>
      <c r="L5" s="93"/>
      <c r="M5" s="556"/>
      <c r="N5" s="556"/>
      <c r="O5" s="197"/>
      <c r="P5" s="93"/>
      <c r="Q5" s="93"/>
      <c r="R5" s="93"/>
      <c r="S5" s="93"/>
      <c r="T5" s="130"/>
      <c r="U5" s="556"/>
      <c r="V5" s="556"/>
      <c r="W5" s="116"/>
      <c r="X5" s="93"/>
      <c r="Y5" s="93"/>
      <c r="Z5" s="93"/>
      <c r="AA5" s="93"/>
      <c r="AB5" s="93"/>
      <c r="AC5" s="93"/>
      <c r="AD5" s="96" t="s">
        <v>2180</v>
      </c>
      <c r="AE5" s="561" t="s">
        <v>423</v>
      </c>
      <c r="AF5" s="96"/>
      <c r="AG5" s="96" t="s">
        <v>2181</v>
      </c>
      <c r="AH5" s="96" t="s">
        <v>2182</v>
      </c>
      <c r="AI5" s="96" t="s">
        <v>2182</v>
      </c>
      <c r="AJ5" s="96" t="s">
        <v>2182</v>
      </c>
      <c r="AK5" s="96" t="s">
        <v>2182</v>
      </c>
      <c r="AL5" s="96" t="s">
        <v>2182</v>
      </c>
      <c r="AM5" s="96" t="s">
        <v>2182</v>
      </c>
      <c r="AN5" s="96" t="s">
        <v>2182</v>
      </c>
      <c r="AO5" s="96" t="s">
        <v>2183</v>
      </c>
    </row>
    <row r="6" spans="1:41" ht="92.25">
      <c r="A6" s="239">
        <v>5</v>
      </c>
      <c r="B6" s="613" t="s">
        <v>5</v>
      </c>
      <c r="C6" s="614">
        <v>45896</v>
      </c>
      <c r="D6" s="614">
        <v>45909</v>
      </c>
      <c r="E6" s="238" t="s">
        <v>2184</v>
      </c>
      <c r="F6" s="615" t="s">
        <v>313</v>
      </c>
      <c r="G6" s="616">
        <v>25756</v>
      </c>
      <c r="H6" s="617" t="s">
        <v>2185</v>
      </c>
      <c r="I6" s="613" t="s">
        <v>376</v>
      </c>
      <c r="J6" s="239">
        <v>5</v>
      </c>
      <c r="K6" s="239">
        <v>4.5</v>
      </c>
      <c r="L6" s="239">
        <v>18</v>
      </c>
      <c r="M6" s="171">
        <v>45896</v>
      </c>
      <c r="N6" s="171">
        <v>45904</v>
      </c>
      <c r="O6" s="197" t="s">
        <v>12</v>
      </c>
      <c r="P6" s="93" t="s">
        <v>315</v>
      </c>
      <c r="Q6" s="93" t="s">
        <v>316</v>
      </c>
      <c r="R6" s="93" t="s">
        <v>317</v>
      </c>
      <c r="S6" s="93" t="s">
        <v>316</v>
      </c>
      <c r="T6" s="618" t="s">
        <v>2186</v>
      </c>
      <c r="U6" s="171">
        <v>45908</v>
      </c>
      <c r="V6" s="171">
        <v>45908</v>
      </c>
      <c r="W6" s="93" t="s">
        <v>316</v>
      </c>
      <c r="X6" s="93" t="s">
        <v>319</v>
      </c>
      <c r="Y6" s="93" t="s">
        <v>319</v>
      </c>
      <c r="Z6" s="93" t="s">
        <v>320</v>
      </c>
      <c r="AA6" s="93" t="s">
        <v>316</v>
      </c>
      <c r="AB6" s="93" t="s">
        <v>316</v>
      </c>
      <c r="AC6" s="93" t="s">
        <v>316</v>
      </c>
      <c r="AD6" s="240" t="s">
        <v>2187</v>
      </c>
      <c r="AE6" s="561" t="s">
        <v>423</v>
      </c>
      <c r="AF6" s="240"/>
      <c r="AG6" s="240" t="s">
        <v>2188</v>
      </c>
      <c r="AH6" s="240" t="s">
        <v>2189</v>
      </c>
      <c r="AI6" s="240" t="s">
        <v>2190</v>
      </c>
      <c r="AJ6" s="240" t="s">
        <v>2191</v>
      </c>
      <c r="AK6" s="240" t="s">
        <v>2191</v>
      </c>
      <c r="AL6" s="240" t="s">
        <v>2192</v>
      </c>
      <c r="AM6" s="240" t="s">
        <v>2193</v>
      </c>
      <c r="AN6" s="240" t="s">
        <v>2194</v>
      </c>
      <c r="AO6" s="240" t="s">
        <v>2187</v>
      </c>
    </row>
    <row r="7" spans="1:41" ht="76.5" customHeight="1">
      <c r="A7" s="93">
        <v>6</v>
      </c>
      <c r="B7" s="490" t="s">
        <v>5</v>
      </c>
      <c r="C7" s="458">
        <v>45896</v>
      </c>
      <c r="D7" s="458">
        <v>45909</v>
      </c>
      <c r="E7" s="77" t="s">
        <v>2159</v>
      </c>
      <c r="F7" s="93" t="s">
        <v>315</v>
      </c>
      <c r="G7" s="129">
        <v>25757</v>
      </c>
      <c r="H7" s="96" t="s">
        <v>2195</v>
      </c>
      <c r="I7" s="490" t="s">
        <v>376</v>
      </c>
      <c r="J7" s="93">
        <v>1</v>
      </c>
      <c r="K7" s="93">
        <v>1.25</v>
      </c>
      <c r="L7" s="93">
        <v>5</v>
      </c>
      <c r="M7" s="171">
        <v>45897</v>
      </c>
      <c r="N7" s="171">
        <v>45897</v>
      </c>
      <c r="O7" s="197" t="s">
        <v>12</v>
      </c>
      <c r="P7" s="93" t="s">
        <v>313</v>
      </c>
      <c r="Q7" s="93" t="s">
        <v>316</v>
      </c>
      <c r="R7" s="93" t="s">
        <v>317</v>
      </c>
      <c r="S7" s="93" t="s">
        <v>316</v>
      </c>
      <c r="T7" s="130" t="s">
        <v>2196</v>
      </c>
      <c r="U7" s="171">
        <v>45897</v>
      </c>
      <c r="V7" s="171">
        <v>45897</v>
      </c>
      <c r="W7" s="93" t="s">
        <v>316</v>
      </c>
      <c r="X7" s="93" t="s">
        <v>319</v>
      </c>
      <c r="Y7" s="93" t="s">
        <v>319</v>
      </c>
      <c r="Z7" s="93" t="s">
        <v>320</v>
      </c>
      <c r="AA7" s="93" t="s">
        <v>316</v>
      </c>
      <c r="AB7" s="93" t="s">
        <v>316</v>
      </c>
      <c r="AC7" s="93" t="s">
        <v>316</v>
      </c>
      <c r="AD7" s="620"/>
      <c r="AE7" s="490" t="s">
        <v>423</v>
      </c>
      <c r="AF7" s="133"/>
      <c r="AG7" s="96" t="s">
        <v>2197</v>
      </c>
      <c r="AH7" s="96" t="s">
        <v>2198</v>
      </c>
      <c r="AI7" s="96" t="s">
        <v>2199</v>
      </c>
      <c r="AJ7" s="96" t="s">
        <v>434</v>
      </c>
      <c r="AK7" s="96" t="s">
        <v>434</v>
      </c>
      <c r="AL7" s="96" t="s">
        <v>434</v>
      </c>
      <c r="AM7" s="96" t="s">
        <v>434</v>
      </c>
      <c r="AN7" s="96" t="s">
        <v>434</v>
      </c>
      <c r="AO7" s="93"/>
    </row>
    <row r="8" spans="1:41" ht="46.5">
      <c r="A8" s="239">
        <v>7</v>
      </c>
      <c r="B8" s="613" t="s">
        <v>5</v>
      </c>
      <c r="C8" s="614">
        <v>45896</v>
      </c>
      <c r="D8" s="614">
        <v>45909</v>
      </c>
      <c r="E8" s="238" t="s">
        <v>2184</v>
      </c>
      <c r="F8" s="239" t="s">
        <v>315</v>
      </c>
      <c r="G8" s="239">
        <v>46798</v>
      </c>
      <c r="H8" s="240" t="s">
        <v>1975</v>
      </c>
      <c r="I8" s="613" t="s">
        <v>399</v>
      </c>
      <c r="J8" s="239">
        <v>5</v>
      </c>
      <c r="K8" s="239"/>
      <c r="L8" s="239">
        <v>18</v>
      </c>
      <c r="M8" s="171">
        <v>45897</v>
      </c>
      <c r="N8" s="239"/>
      <c r="O8" s="239"/>
      <c r="P8" s="239"/>
      <c r="Q8" s="239"/>
      <c r="R8" s="239"/>
      <c r="S8" s="239"/>
      <c r="T8" s="239"/>
      <c r="U8" s="239"/>
      <c r="V8" s="239"/>
      <c r="W8" s="239"/>
      <c r="X8" s="239"/>
      <c r="Y8" s="239"/>
      <c r="Z8" s="239"/>
      <c r="AA8" s="239"/>
      <c r="AB8" s="239"/>
      <c r="AC8" s="239"/>
      <c r="AD8" s="622" t="s">
        <v>2200</v>
      </c>
      <c r="AE8" s="490" t="s">
        <v>423</v>
      </c>
      <c r="AF8" s="623"/>
      <c r="AG8" s="240"/>
      <c r="AH8" s="240"/>
      <c r="AI8" s="240" t="s">
        <v>2190</v>
      </c>
      <c r="AJ8" s="240" t="s">
        <v>2201</v>
      </c>
      <c r="AK8" s="240" t="s">
        <v>2201</v>
      </c>
      <c r="AL8" s="240" t="s">
        <v>2202</v>
      </c>
      <c r="AM8" s="240" t="s">
        <v>2203</v>
      </c>
      <c r="AN8" s="240" t="s">
        <v>2204</v>
      </c>
      <c r="AO8" s="240" t="s">
        <v>2205</v>
      </c>
    </row>
    <row r="9" spans="1:41" ht="40.5" customHeight="1">
      <c r="A9" s="93">
        <v>8</v>
      </c>
      <c r="B9" s="490" t="s">
        <v>5</v>
      </c>
      <c r="C9" s="458">
        <v>45896</v>
      </c>
      <c r="D9" s="458">
        <v>45909</v>
      </c>
      <c r="E9" s="77" t="s">
        <v>2159</v>
      </c>
      <c r="F9" s="93" t="s">
        <v>315</v>
      </c>
      <c r="G9" s="93">
        <v>49788</v>
      </c>
      <c r="H9" s="96" t="s">
        <v>583</v>
      </c>
      <c r="I9" s="490" t="s">
        <v>306</v>
      </c>
      <c r="J9" s="93">
        <v>2</v>
      </c>
      <c r="K9" s="93">
        <v>1.62</v>
      </c>
      <c r="L9" s="93">
        <v>6.5</v>
      </c>
      <c r="M9" s="93" t="s">
        <v>320</v>
      </c>
      <c r="N9" s="93" t="s">
        <v>320</v>
      </c>
      <c r="O9" s="93" t="s">
        <v>320</v>
      </c>
      <c r="P9" s="93" t="s">
        <v>320</v>
      </c>
      <c r="Q9" s="93" t="s">
        <v>320</v>
      </c>
      <c r="R9" s="93" t="s">
        <v>320</v>
      </c>
      <c r="S9" s="93" t="s">
        <v>320</v>
      </c>
      <c r="T9" s="93" t="s">
        <v>320</v>
      </c>
      <c r="U9" s="93" t="s">
        <v>320</v>
      </c>
      <c r="V9" s="93" t="s">
        <v>320</v>
      </c>
      <c r="W9" s="93" t="s">
        <v>320</v>
      </c>
      <c r="X9" s="93" t="s">
        <v>320</v>
      </c>
      <c r="Y9" s="93" t="s">
        <v>320</v>
      </c>
      <c r="Z9" s="93" t="s">
        <v>320</v>
      </c>
      <c r="AA9" s="93" t="s">
        <v>320</v>
      </c>
      <c r="AB9" s="93" t="s">
        <v>320</v>
      </c>
      <c r="AC9" s="93" t="s">
        <v>320</v>
      </c>
      <c r="AD9" s="96" t="s">
        <v>1830</v>
      </c>
      <c r="AE9" s="613" t="s">
        <v>423</v>
      </c>
      <c r="AF9" s="93"/>
      <c r="AG9" s="96"/>
      <c r="AH9" s="96"/>
      <c r="AI9" s="96" t="s">
        <v>2206</v>
      </c>
      <c r="AJ9" s="96" t="s">
        <v>395</v>
      </c>
      <c r="AK9" s="96" t="s">
        <v>434</v>
      </c>
      <c r="AL9" s="96" t="s">
        <v>434</v>
      </c>
      <c r="AM9" s="158" t="s">
        <v>434</v>
      </c>
      <c r="AN9" s="96"/>
      <c r="AO9" s="93"/>
    </row>
    <row r="10" spans="1:41" ht="23.25">
      <c r="A10" s="93">
        <v>9</v>
      </c>
      <c r="B10" s="490" t="s">
        <v>5</v>
      </c>
      <c r="C10" s="458">
        <v>45896</v>
      </c>
      <c r="D10" s="458">
        <v>45909</v>
      </c>
      <c r="E10" s="77" t="s">
        <v>2159</v>
      </c>
      <c r="F10" s="93" t="s">
        <v>313</v>
      </c>
      <c r="G10" s="129">
        <v>49787</v>
      </c>
      <c r="H10" s="96" t="s">
        <v>588</v>
      </c>
      <c r="I10" s="490" t="s">
        <v>306</v>
      </c>
      <c r="J10" s="93">
        <v>1</v>
      </c>
      <c r="K10" s="93">
        <v>0.5</v>
      </c>
      <c r="L10" s="93">
        <v>2</v>
      </c>
      <c r="M10" s="93" t="s">
        <v>320</v>
      </c>
      <c r="N10" s="93" t="s">
        <v>320</v>
      </c>
      <c r="O10" s="93" t="s">
        <v>320</v>
      </c>
      <c r="P10" s="93" t="s">
        <v>320</v>
      </c>
      <c r="Q10" s="93" t="s">
        <v>320</v>
      </c>
      <c r="R10" s="93" t="s">
        <v>320</v>
      </c>
      <c r="S10" s="93" t="s">
        <v>320</v>
      </c>
      <c r="T10" s="93" t="s">
        <v>320</v>
      </c>
      <c r="U10" s="93" t="s">
        <v>320</v>
      </c>
      <c r="V10" s="93" t="s">
        <v>320</v>
      </c>
      <c r="W10" s="93" t="s">
        <v>320</v>
      </c>
      <c r="X10" s="93" t="s">
        <v>320</v>
      </c>
      <c r="Y10" s="93" t="s">
        <v>320</v>
      </c>
      <c r="Z10" s="93" t="s">
        <v>320</v>
      </c>
      <c r="AA10" s="93" t="s">
        <v>320</v>
      </c>
      <c r="AB10" s="93" t="s">
        <v>320</v>
      </c>
      <c r="AC10" s="93" t="s">
        <v>320</v>
      </c>
      <c r="AD10" s="96" t="s">
        <v>1830</v>
      </c>
      <c r="AE10" s="561" t="s">
        <v>423</v>
      </c>
      <c r="AF10" s="93"/>
      <c r="AG10" s="93"/>
      <c r="AH10" s="96"/>
      <c r="AI10" s="96" t="s">
        <v>2207</v>
      </c>
      <c r="AJ10" s="96" t="s">
        <v>576</v>
      </c>
      <c r="AK10" s="96" t="s">
        <v>434</v>
      </c>
      <c r="AL10" s="96" t="s">
        <v>434</v>
      </c>
      <c r="AM10" s="96" t="s">
        <v>434</v>
      </c>
      <c r="AN10" s="96"/>
      <c r="AO10" s="93"/>
    </row>
    <row r="11" spans="1:41" ht="92.25">
      <c r="A11" s="93">
        <v>10</v>
      </c>
      <c r="B11" s="490" t="s">
        <v>5</v>
      </c>
      <c r="C11" s="458">
        <v>45896</v>
      </c>
      <c r="D11" s="458">
        <v>45909</v>
      </c>
      <c r="E11" s="77" t="s">
        <v>2159</v>
      </c>
      <c r="F11" s="96" t="s">
        <v>2208</v>
      </c>
      <c r="G11" s="93">
        <v>49789</v>
      </c>
      <c r="H11" s="96" t="s">
        <v>596</v>
      </c>
      <c r="I11" s="490" t="s">
        <v>306</v>
      </c>
      <c r="J11" s="93">
        <v>5</v>
      </c>
      <c r="K11" s="93">
        <v>3.5</v>
      </c>
      <c r="L11" s="93">
        <v>14.5</v>
      </c>
      <c r="M11" s="93" t="s">
        <v>320</v>
      </c>
      <c r="N11" s="93" t="s">
        <v>320</v>
      </c>
      <c r="O11" s="93" t="s">
        <v>320</v>
      </c>
      <c r="P11" s="93" t="s">
        <v>320</v>
      </c>
      <c r="Q11" s="93" t="s">
        <v>320</v>
      </c>
      <c r="R11" s="93" t="s">
        <v>320</v>
      </c>
      <c r="S11" s="93" t="s">
        <v>320</v>
      </c>
      <c r="T11" s="93" t="s">
        <v>320</v>
      </c>
      <c r="U11" s="93" t="s">
        <v>320</v>
      </c>
      <c r="V11" s="93" t="s">
        <v>320</v>
      </c>
      <c r="W11" s="93" t="s">
        <v>320</v>
      </c>
      <c r="X11" s="93" t="s">
        <v>320</v>
      </c>
      <c r="Y11" s="93" t="s">
        <v>320</v>
      </c>
      <c r="Z11" s="93" t="s">
        <v>320</v>
      </c>
      <c r="AA11" s="93" t="s">
        <v>320</v>
      </c>
      <c r="AB11" s="93" t="s">
        <v>320</v>
      </c>
      <c r="AC11" s="93" t="s">
        <v>320</v>
      </c>
      <c r="AD11" s="96" t="s">
        <v>1830</v>
      </c>
      <c r="AE11" s="561" t="s">
        <v>423</v>
      </c>
      <c r="AF11" s="93"/>
      <c r="AG11" s="93"/>
      <c r="AH11" s="93"/>
      <c r="AI11" s="96" t="s">
        <v>2209</v>
      </c>
      <c r="AJ11" s="96" t="s">
        <v>2210</v>
      </c>
      <c r="AK11" s="235" t="s">
        <v>576</v>
      </c>
      <c r="AL11" s="93" t="s">
        <v>434</v>
      </c>
      <c r="AM11" s="93" t="s">
        <v>434</v>
      </c>
      <c r="AN11" s="93"/>
      <c r="AO11" s="93"/>
    </row>
    <row r="12" spans="1:41" ht="23.25">
      <c r="A12" s="93">
        <v>11</v>
      </c>
      <c r="B12" s="490" t="s">
        <v>5</v>
      </c>
      <c r="C12" s="458">
        <v>45896</v>
      </c>
      <c r="D12" s="458">
        <v>45909</v>
      </c>
      <c r="E12" s="77" t="s">
        <v>2159</v>
      </c>
      <c r="F12" s="93" t="s">
        <v>2038</v>
      </c>
      <c r="G12" s="129">
        <v>49795</v>
      </c>
      <c r="H12" s="96" t="s">
        <v>2211</v>
      </c>
      <c r="I12" s="490" t="s">
        <v>306</v>
      </c>
      <c r="J12" s="93">
        <v>2</v>
      </c>
      <c r="K12" s="93">
        <v>2</v>
      </c>
      <c r="L12" s="93">
        <v>4</v>
      </c>
      <c r="M12" s="93" t="s">
        <v>320</v>
      </c>
      <c r="N12" s="93" t="s">
        <v>320</v>
      </c>
      <c r="O12" s="93" t="s">
        <v>320</v>
      </c>
      <c r="P12" s="93" t="s">
        <v>320</v>
      </c>
      <c r="Q12" s="93" t="s">
        <v>320</v>
      </c>
      <c r="R12" s="93" t="s">
        <v>320</v>
      </c>
      <c r="S12" s="93" t="s">
        <v>320</v>
      </c>
      <c r="T12" s="93" t="s">
        <v>320</v>
      </c>
      <c r="U12" s="93" t="s">
        <v>320</v>
      </c>
      <c r="V12" s="93" t="s">
        <v>320</v>
      </c>
      <c r="W12" s="93" t="s">
        <v>320</v>
      </c>
      <c r="X12" s="93" t="s">
        <v>320</v>
      </c>
      <c r="Y12" s="93" t="s">
        <v>320</v>
      </c>
      <c r="Z12" s="93" t="s">
        <v>320</v>
      </c>
      <c r="AA12" s="93" t="s">
        <v>320</v>
      </c>
      <c r="AB12" s="93" t="s">
        <v>320</v>
      </c>
      <c r="AC12" s="93" t="s">
        <v>320</v>
      </c>
      <c r="AD12" s="96" t="s">
        <v>1830</v>
      </c>
      <c r="AE12" s="561" t="s">
        <v>423</v>
      </c>
      <c r="AF12" s="93"/>
      <c r="AG12" s="93"/>
      <c r="AH12" s="93"/>
      <c r="AI12" s="96" t="s">
        <v>2212</v>
      </c>
      <c r="AJ12" s="96" t="s">
        <v>2213</v>
      </c>
      <c r="AK12" s="235" t="s">
        <v>434</v>
      </c>
      <c r="AL12" s="96" t="s">
        <v>434</v>
      </c>
      <c r="AM12" s="96" t="s">
        <v>434</v>
      </c>
      <c r="AN12" s="93"/>
      <c r="AO12" s="96"/>
    </row>
    <row r="13" spans="1:41" ht="58.5">
      <c r="A13" s="93">
        <v>12</v>
      </c>
      <c r="B13" s="490" t="s">
        <v>5</v>
      </c>
      <c r="C13" s="458">
        <v>45896</v>
      </c>
      <c r="D13" s="458">
        <v>45909</v>
      </c>
      <c r="E13" s="77" t="s">
        <v>2159</v>
      </c>
      <c r="F13" s="93" t="s">
        <v>315</v>
      </c>
      <c r="G13" s="612">
        <v>49791</v>
      </c>
      <c r="H13" s="93" t="s">
        <v>2214</v>
      </c>
      <c r="I13" s="490" t="s">
        <v>306</v>
      </c>
      <c r="J13" s="93">
        <v>2</v>
      </c>
      <c r="K13" s="93">
        <v>1.63</v>
      </c>
      <c r="L13" s="93">
        <v>6.52</v>
      </c>
      <c r="M13" s="93" t="s">
        <v>320</v>
      </c>
      <c r="N13" s="93" t="s">
        <v>320</v>
      </c>
      <c r="O13" s="93" t="s">
        <v>320</v>
      </c>
      <c r="P13" s="93" t="s">
        <v>320</v>
      </c>
      <c r="Q13" s="93" t="s">
        <v>320</v>
      </c>
      <c r="R13" s="93" t="s">
        <v>320</v>
      </c>
      <c r="S13" s="93" t="s">
        <v>320</v>
      </c>
      <c r="T13" s="93" t="s">
        <v>320</v>
      </c>
      <c r="U13" s="93" t="s">
        <v>320</v>
      </c>
      <c r="V13" s="93" t="s">
        <v>320</v>
      </c>
      <c r="W13" s="93" t="s">
        <v>320</v>
      </c>
      <c r="X13" s="93" t="s">
        <v>320</v>
      </c>
      <c r="Y13" s="93" t="s">
        <v>320</v>
      </c>
      <c r="Z13" s="93" t="s">
        <v>320</v>
      </c>
      <c r="AA13" s="93" t="s">
        <v>320</v>
      </c>
      <c r="AB13" s="93" t="s">
        <v>320</v>
      </c>
      <c r="AC13" s="93" t="s">
        <v>320</v>
      </c>
      <c r="AD13" s="96" t="s">
        <v>1830</v>
      </c>
      <c r="AE13" s="561" t="s">
        <v>423</v>
      </c>
      <c r="AF13" s="93"/>
      <c r="AG13" s="93"/>
      <c r="AH13" s="93"/>
      <c r="AI13" s="93"/>
      <c r="AJ13" s="96" t="s">
        <v>2215</v>
      </c>
      <c r="AK13" s="235" t="s">
        <v>2216</v>
      </c>
      <c r="AL13" s="96" t="s">
        <v>2217</v>
      </c>
      <c r="AM13" s="96" t="s">
        <v>434</v>
      </c>
      <c r="AN13" s="93"/>
      <c r="AO13" s="96"/>
    </row>
    <row r="14" spans="1:41" ht="46.5">
      <c r="A14" s="93">
        <v>13</v>
      </c>
      <c r="B14" s="490" t="s">
        <v>5</v>
      </c>
      <c r="C14" s="458">
        <v>45896</v>
      </c>
      <c r="D14" s="458">
        <v>45909</v>
      </c>
      <c r="E14" s="77" t="s">
        <v>2159</v>
      </c>
      <c r="F14" s="93" t="s">
        <v>2038</v>
      </c>
      <c r="G14" s="93">
        <v>49794</v>
      </c>
      <c r="H14" s="96" t="s">
        <v>2218</v>
      </c>
      <c r="I14" s="490" t="s">
        <v>306</v>
      </c>
      <c r="J14" s="93">
        <v>3</v>
      </c>
      <c r="K14" s="93">
        <v>1.25</v>
      </c>
      <c r="L14" s="93">
        <v>5</v>
      </c>
      <c r="M14" s="93" t="s">
        <v>320</v>
      </c>
      <c r="N14" s="93" t="s">
        <v>320</v>
      </c>
      <c r="O14" s="93" t="s">
        <v>320</v>
      </c>
      <c r="P14" s="93" t="s">
        <v>320</v>
      </c>
      <c r="Q14" s="93" t="s">
        <v>320</v>
      </c>
      <c r="R14" s="93" t="s">
        <v>320</v>
      </c>
      <c r="S14" s="93" t="s">
        <v>320</v>
      </c>
      <c r="T14" s="93" t="s">
        <v>320</v>
      </c>
      <c r="U14" s="93" t="s">
        <v>320</v>
      </c>
      <c r="V14" s="93" t="s">
        <v>320</v>
      </c>
      <c r="W14" s="93" t="s">
        <v>320</v>
      </c>
      <c r="X14" s="93" t="s">
        <v>320</v>
      </c>
      <c r="Y14" s="93" t="s">
        <v>320</v>
      </c>
      <c r="Z14" s="93" t="s">
        <v>320</v>
      </c>
      <c r="AA14" s="93" t="s">
        <v>320</v>
      </c>
      <c r="AB14" s="93" t="s">
        <v>320</v>
      </c>
      <c r="AC14" s="93" t="s">
        <v>320</v>
      </c>
      <c r="AD14" s="96" t="s">
        <v>1830</v>
      </c>
      <c r="AE14" s="561" t="s">
        <v>423</v>
      </c>
      <c r="AF14" s="93"/>
      <c r="AG14" s="93"/>
      <c r="AH14" s="93"/>
      <c r="AI14" s="93"/>
      <c r="AJ14" s="96" t="s">
        <v>2219</v>
      </c>
      <c r="AK14" s="235" t="s">
        <v>2220</v>
      </c>
      <c r="AL14" s="93" t="s">
        <v>434</v>
      </c>
      <c r="AM14" s="96" t="s">
        <v>434</v>
      </c>
      <c r="AN14" s="93"/>
      <c r="AO14" s="93"/>
    </row>
    <row r="15" spans="1:41" ht="35.25">
      <c r="A15" s="93">
        <v>14</v>
      </c>
      <c r="B15" s="490" t="s">
        <v>5</v>
      </c>
      <c r="C15" s="458">
        <v>45896</v>
      </c>
      <c r="D15" s="458">
        <v>45909</v>
      </c>
      <c r="E15" s="77" t="s">
        <v>2159</v>
      </c>
      <c r="F15" s="93" t="s">
        <v>313</v>
      </c>
      <c r="G15" s="612">
        <v>49790</v>
      </c>
      <c r="H15" s="612" t="s">
        <v>1149</v>
      </c>
      <c r="I15" s="490" t="s">
        <v>306</v>
      </c>
      <c r="J15" s="93">
        <v>3</v>
      </c>
      <c r="K15" s="93">
        <v>1.5</v>
      </c>
      <c r="L15" s="93">
        <v>6</v>
      </c>
      <c r="M15" s="93" t="s">
        <v>320</v>
      </c>
      <c r="N15" s="93" t="s">
        <v>320</v>
      </c>
      <c r="O15" s="93" t="s">
        <v>320</v>
      </c>
      <c r="P15" s="93" t="s">
        <v>320</v>
      </c>
      <c r="Q15" s="93" t="s">
        <v>320</v>
      </c>
      <c r="R15" s="93" t="s">
        <v>320</v>
      </c>
      <c r="S15" s="93" t="s">
        <v>320</v>
      </c>
      <c r="T15" s="93" t="s">
        <v>320</v>
      </c>
      <c r="U15" s="93" t="s">
        <v>320</v>
      </c>
      <c r="V15" s="93" t="s">
        <v>320</v>
      </c>
      <c r="W15" s="93" t="s">
        <v>320</v>
      </c>
      <c r="X15" s="93" t="s">
        <v>320</v>
      </c>
      <c r="Y15" s="93" t="s">
        <v>320</v>
      </c>
      <c r="Z15" s="93" t="s">
        <v>320</v>
      </c>
      <c r="AA15" s="93" t="s">
        <v>320</v>
      </c>
      <c r="AB15" s="93" t="s">
        <v>320</v>
      </c>
      <c r="AC15" s="93" t="s">
        <v>320</v>
      </c>
      <c r="AD15" s="96" t="s">
        <v>1830</v>
      </c>
      <c r="AE15" s="561" t="s">
        <v>423</v>
      </c>
      <c r="AF15" s="93"/>
      <c r="AG15" s="93"/>
      <c r="AH15" s="93"/>
      <c r="AI15" s="93"/>
      <c r="AJ15" s="93"/>
      <c r="AK15" s="235" t="s">
        <v>2221</v>
      </c>
      <c r="AL15" s="93" t="s">
        <v>434</v>
      </c>
      <c r="AM15" s="118" t="s">
        <v>434</v>
      </c>
      <c r="AN15" s="96"/>
      <c r="AO15" s="96"/>
    </row>
    <row r="16" spans="1:41" ht="58.5">
      <c r="A16" s="118">
        <v>15</v>
      </c>
      <c r="B16" s="561" t="s">
        <v>5</v>
      </c>
      <c r="C16" s="601">
        <v>45896</v>
      </c>
      <c r="D16" s="601">
        <v>45909</v>
      </c>
      <c r="E16" s="138" t="s">
        <v>2159</v>
      </c>
      <c r="F16" s="118" t="s">
        <v>315</v>
      </c>
      <c r="G16" s="134">
        <v>49793</v>
      </c>
      <c r="H16" s="119" t="s">
        <v>1840</v>
      </c>
      <c r="I16" s="561" t="s">
        <v>306</v>
      </c>
      <c r="J16" s="118">
        <v>3</v>
      </c>
      <c r="K16" s="118">
        <v>1.38</v>
      </c>
      <c r="L16" s="118">
        <v>5.52</v>
      </c>
      <c r="M16" s="118" t="s">
        <v>320</v>
      </c>
      <c r="N16" s="118" t="s">
        <v>320</v>
      </c>
      <c r="O16" s="118" t="s">
        <v>320</v>
      </c>
      <c r="P16" s="118" t="s">
        <v>320</v>
      </c>
      <c r="Q16" s="118" t="s">
        <v>320</v>
      </c>
      <c r="R16" s="118" t="s">
        <v>320</v>
      </c>
      <c r="S16" s="118" t="s">
        <v>320</v>
      </c>
      <c r="T16" s="118" t="s">
        <v>320</v>
      </c>
      <c r="U16" s="118" t="s">
        <v>320</v>
      </c>
      <c r="V16" s="118" t="s">
        <v>320</v>
      </c>
      <c r="W16" s="118" t="s">
        <v>320</v>
      </c>
      <c r="X16" s="118" t="s">
        <v>320</v>
      </c>
      <c r="Y16" s="118" t="s">
        <v>320</v>
      </c>
      <c r="Z16" s="118" t="s">
        <v>320</v>
      </c>
      <c r="AA16" s="118" t="s">
        <v>320</v>
      </c>
      <c r="AB16" s="118" t="s">
        <v>320</v>
      </c>
      <c r="AC16" s="118" t="s">
        <v>320</v>
      </c>
      <c r="AD16" s="96" t="s">
        <v>1830</v>
      </c>
      <c r="AE16" s="561" t="s">
        <v>423</v>
      </c>
      <c r="AF16" s="550"/>
      <c r="AG16" s="118"/>
      <c r="AH16" s="118"/>
      <c r="AI16" s="118"/>
      <c r="AJ16" s="118"/>
      <c r="AK16" s="582" t="s">
        <v>2222</v>
      </c>
      <c r="AL16" s="619" t="s">
        <v>2223</v>
      </c>
      <c r="AM16" s="93" t="s">
        <v>434</v>
      </c>
      <c r="AN16" s="550"/>
      <c r="AO16" s="118"/>
    </row>
    <row r="17" spans="1:41" ht="58.5">
      <c r="A17" s="118">
        <v>16</v>
      </c>
      <c r="B17" s="561" t="s">
        <v>5</v>
      </c>
      <c r="C17" s="601">
        <v>45896</v>
      </c>
      <c r="D17" s="601">
        <v>45909</v>
      </c>
      <c r="E17" s="138" t="s">
        <v>2184</v>
      </c>
      <c r="F17" s="118" t="s">
        <v>313</v>
      </c>
      <c r="G17" s="134">
        <v>25774</v>
      </c>
      <c r="H17" s="119" t="s">
        <v>2114</v>
      </c>
      <c r="I17" s="561" t="s">
        <v>348</v>
      </c>
      <c r="J17" s="118">
        <v>2</v>
      </c>
      <c r="K17" s="118"/>
      <c r="L17" s="118">
        <v>4</v>
      </c>
      <c r="M17" s="171">
        <v>45908</v>
      </c>
      <c r="N17" s="118"/>
      <c r="O17" s="118"/>
      <c r="P17" s="118"/>
      <c r="Q17" s="118"/>
      <c r="R17" s="118"/>
      <c r="S17" s="118"/>
      <c r="T17" s="118"/>
      <c r="U17" s="118"/>
      <c r="V17" s="118"/>
      <c r="W17" s="118"/>
      <c r="X17" s="118"/>
      <c r="Y17" s="118"/>
      <c r="Z17" s="118"/>
      <c r="AA17" s="118"/>
      <c r="AB17" s="93" t="s">
        <v>316</v>
      </c>
      <c r="AC17" s="93" t="s">
        <v>316</v>
      </c>
      <c r="AD17" s="119" t="s">
        <v>2224</v>
      </c>
      <c r="AE17" s="561" t="s">
        <v>423</v>
      </c>
      <c r="AF17" s="118"/>
      <c r="AG17" s="118"/>
      <c r="AH17" s="118"/>
      <c r="AI17" s="118"/>
      <c r="AJ17" s="118"/>
      <c r="AK17" s="582"/>
      <c r="AL17" s="117"/>
      <c r="AM17" s="93"/>
      <c r="AN17" s="137" t="s">
        <v>2225</v>
      </c>
      <c r="AO17" s="119" t="s">
        <v>2226</v>
      </c>
    </row>
    <row r="18" spans="1:41" ht="58.5">
      <c r="A18" s="118">
        <v>17</v>
      </c>
      <c r="B18" s="561" t="s">
        <v>5</v>
      </c>
      <c r="C18" s="601">
        <v>45896</v>
      </c>
      <c r="D18" s="601">
        <v>45909</v>
      </c>
      <c r="E18" s="138" t="s">
        <v>2184</v>
      </c>
      <c r="F18" s="118" t="s">
        <v>2038</v>
      </c>
      <c r="G18" s="118">
        <v>49074</v>
      </c>
      <c r="H18" s="118" t="s">
        <v>2079</v>
      </c>
      <c r="I18" s="118" t="s">
        <v>399</v>
      </c>
      <c r="J18" s="118">
        <v>3</v>
      </c>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582"/>
      <c r="AL18" s="117"/>
      <c r="AM18" s="93"/>
      <c r="AN18" s="137" t="s">
        <v>2227</v>
      </c>
      <c r="AO18" s="119" t="s">
        <v>2228</v>
      </c>
    </row>
    <row r="19" spans="1:41" ht="58.5">
      <c r="A19" s="93">
        <v>18</v>
      </c>
      <c r="B19" s="490" t="s">
        <v>5</v>
      </c>
      <c r="C19" s="458">
        <v>45896</v>
      </c>
      <c r="D19" s="458">
        <v>45909</v>
      </c>
      <c r="E19" s="77" t="s">
        <v>2184</v>
      </c>
      <c r="F19" s="93" t="s">
        <v>317</v>
      </c>
      <c r="G19" s="93">
        <v>49950</v>
      </c>
      <c r="H19" s="93" t="s">
        <v>1599</v>
      </c>
      <c r="I19" s="93" t="s">
        <v>399</v>
      </c>
      <c r="J19" s="93">
        <v>5</v>
      </c>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235"/>
      <c r="AL19" s="620"/>
      <c r="AM19" s="93"/>
      <c r="AN19" s="133" t="s">
        <v>2229</v>
      </c>
      <c r="AO19" s="96" t="s">
        <v>2230</v>
      </c>
    </row>
  </sheetData>
  <conditionalFormatting sqref="J1">
    <cfRule type="containsText" dxfId="578" priority="13" operator="containsText" text="Closed">
      <formula>NOT(ISERROR(SEARCH("Closed",J1)))</formula>
    </cfRule>
    <cfRule type="containsText" dxfId="577" priority="14" operator="containsText" text="Open">
      <formula>NOT(ISERROR(SEARCH("Open",J1)))</formula>
    </cfRule>
    <cfRule type="containsText" dxfId="576" priority="15" operator="containsText" text="Inprogress">
      <formula>NOT(ISERROR(SEARCH("Inprogress",J1)))</formula>
    </cfRule>
  </conditionalFormatting>
  <conditionalFormatting sqref="I2:I6">
    <cfRule type="containsText" dxfId="575" priority="10" operator="containsText" text="Closed">
      <formula>NOT(ISERROR(SEARCH("Closed",I2)))</formula>
    </cfRule>
    <cfRule type="containsText" dxfId="574" priority="11" operator="containsText" text="Open">
      <formula>NOT(ISERROR(SEARCH("Open",I2)))</formula>
    </cfRule>
    <cfRule type="containsText" dxfId="573" priority="12" operator="containsText" text="Inprogress">
      <formula>NOT(ISERROR(SEARCH("Inprogress",I2)))</formula>
    </cfRule>
  </conditionalFormatting>
  <conditionalFormatting sqref="I7:I17">
    <cfRule type="containsText" dxfId="572" priority="4" operator="containsText" text="Closed">
      <formula>NOT(ISERROR(SEARCH("Closed",I7)))</formula>
    </cfRule>
    <cfRule type="containsText" dxfId="571" priority="5" operator="containsText" text="Open">
      <formula>NOT(ISERROR(SEARCH("Open",I7)))</formula>
    </cfRule>
    <cfRule type="containsText" dxfId="570" priority="6" operator="containsText" text="Inprogress">
      <formula>NOT(ISERROR(SEARCH("Inprogress",I7)))</formula>
    </cfRule>
  </conditionalFormatting>
  <dataValidations count="11">
    <dataValidation type="list" showErrorMessage="1" sqref="P1" xr:uid="{66C3F01E-2A48-4A7D-A228-DF3C49C1BAFD}">
      <formula1>"Qadir,Rijo,Karthik,Sushmitha,None,TBD"</formula1>
    </dataValidation>
    <dataValidation type="list" showErrorMessage="1" sqref="R1" xr:uid="{3FC2463D-EF5E-401C-8D27-E0FFF40EDB50}">
      <formula1>"Qadir,Rijo,Karthik,None,TBD"</formula1>
    </dataValidation>
    <dataValidation type="list" showErrorMessage="1" sqref="Q1" xr:uid="{98AD3E7D-D162-4CA7-8D82-C94CD8ABCD41}">
      <formula1>"Pass,Fail(BacktoDev),DB Script tests in QA DB,TBD"</formula1>
    </dataValidation>
    <dataValidation type="list" showErrorMessage="1" sqref="AC1" xr:uid="{B02ADE8A-5485-4E9E-8649-56A167877194}">
      <formula1>"Pending-Waiting for Customer confirmation, Approved-Satisified AC,Not Approved-New minor changes requested(Back to Dev),NA,TBD"</formula1>
    </dataValidation>
    <dataValidation type="list" showErrorMessage="1" sqref="AB1" xr:uid="{41BDD22E-534B-40C7-AEBF-157075B9103E}">
      <formula1>"Approved-Satisified AC,Not Approved(Back to Dev),NA,TBD"</formula1>
    </dataValidation>
    <dataValidation type="list" showErrorMessage="1" sqref="S1:T1 X1 AA1" xr:uid="{CFB6B787-BECE-4AB0-958C-EB3BCC59F2B0}">
      <formula1>"No issues found,Issues observed(BacktoDev),DB Script tests in QA DB,NA,TBD"</formula1>
    </dataValidation>
    <dataValidation type="list" showErrorMessage="1" sqref="Y1:Z1 W1 O1" xr:uid="{25395FEE-8E79-4D24-BDB0-EEE0A30B3D24}">
      <formula1>"Open,Inprogress,Completed,TBD,NA"</formula1>
    </dataValidation>
    <dataValidation allowBlank="1" showInputMessage="1" showErrorMessage="1" sqref="AD1:AE1" xr:uid="{C9C7055B-B87C-4CA1-ABC3-1F6801A76CDB}"/>
    <dataValidation showErrorMessage="1" sqref="I1" xr:uid="{F3E5E28A-2E8B-4090-8B90-26D7EBB181A4}"/>
    <dataValidation type="list" allowBlank="1" showErrorMessage="1" sqref="J1" xr:uid="{49557B9E-E286-49AB-9075-0A3049523128}">
      <formula1>"Open,Inprogress,Closed"</formula1>
    </dataValidation>
    <dataValidation type="list" allowBlank="1" showInputMessage="1" showErrorMessage="1" sqref="AE2:AE17" xr:uid="{1B02752C-0F42-4436-BE79-2B01C6589A8B}">
      <formula1>"Exceeds Expectation,Meets Expectation,Needs improvements"</formula1>
    </dataValidation>
  </dataValidations>
  <hyperlinks>
    <hyperlink ref="T7" r:id="rId1" xr:uid="{02A42F37-CC51-484E-9820-A4CF3F034553}"/>
    <hyperlink ref="T6" r:id="rId2" xr:uid="{4DAA26C1-7891-4DC4-AAA6-11D173E4526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C2038CD-C498-40E9-9035-3005C19C0CD5}">
          <x14:formula1>
            <xm:f>Settings!$C$3:$C$20</xm:f>
          </x14:formula1>
          <xm:sqref>I2:I17</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0277-61F5-4777-A3F1-C7C0B91E0A8B}">
  <dimension ref="A1:M29"/>
  <sheetViews>
    <sheetView workbookViewId="0">
      <selection activeCell="A2" sqref="A2"/>
    </sheetView>
  </sheetViews>
  <sheetFormatPr defaultRowHeight="12.75"/>
  <cols>
    <col min="2" max="2" width="22" customWidth="1"/>
    <col min="7" max="7" width="81" customWidth="1"/>
    <col min="11" max="11" width="18.140625" customWidth="1"/>
    <col min="13" max="13" width="95.28515625" customWidth="1"/>
  </cols>
  <sheetData>
    <row r="1" spans="1:13" ht="40.5">
      <c r="A1" s="586" t="s">
        <v>266</v>
      </c>
      <c r="B1" s="155" t="s">
        <v>10</v>
      </c>
      <c r="C1" s="280" t="s">
        <v>267</v>
      </c>
      <c r="D1" s="280" t="s">
        <v>268</v>
      </c>
      <c r="E1" s="155" t="s">
        <v>269</v>
      </c>
      <c r="F1" s="280" t="s">
        <v>270</v>
      </c>
      <c r="G1" s="280" t="s">
        <v>271</v>
      </c>
      <c r="H1" s="155" t="s">
        <v>272</v>
      </c>
      <c r="I1" s="155" t="s">
        <v>273</v>
      </c>
      <c r="J1" s="155" t="s">
        <v>274</v>
      </c>
      <c r="K1" s="155" t="s">
        <v>275</v>
      </c>
      <c r="L1" s="605" t="s">
        <v>276</v>
      </c>
      <c r="M1" s="468" t="s">
        <v>277</v>
      </c>
    </row>
    <row r="2" spans="1:13" s="150" customFormat="1" ht="35.25">
      <c r="A2" s="147">
        <v>1</v>
      </c>
      <c r="B2" s="146" t="s">
        <v>2159</v>
      </c>
      <c r="C2" s="147">
        <v>25756</v>
      </c>
      <c r="D2" s="511"/>
      <c r="E2" s="608" t="s">
        <v>313</v>
      </c>
      <c r="F2" s="512" t="s">
        <v>522</v>
      </c>
      <c r="G2" s="146" t="s">
        <v>2185</v>
      </c>
      <c r="H2" s="165" t="s">
        <v>1670</v>
      </c>
      <c r="I2" s="512" t="s">
        <v>518</v>
      </c>
      <c r="J2" s="165" t="s">
        <v>525</v>
      </c>
      <c r="K2" s="512" t="s">
        <v>1674</v>
      </c>
      <c r="L2" s="62" t="s">
        <v>529</v>
      </c>
      <c r="M2" s="146" t="s">
        <v>2231</v>
      </c>
    </row>
    <row r="3" spans="1:13" s="150" customFormat="1" ht="35.25">
      <c r="A3" s="147">
        <v>2</v>
      </c>
      <c r="B3" s="146" t="s">
        <v>2159</v>
      </c>
      <c r="C3" s="147">
        <v>25757</v>
      </c>
      <c r="D3" s="511"/>
      <c r="E3" s="147" t="s">
        <v>315</v>
      </c>
      <c r="F3" s="512" t="s">
        <v>522</v>
      </c>
      <c r="G3" s="146" t="s">
        <v>2232</v>
      </c>
      <c r="H3" s="165" t="s">
        <v>1670</v>
      </c>
      <c r="I3" s="512" t="s">
        <v>518</v>
      </c>
      <c r="J3" s="165" t="s">
        <v>525</v>
      </c>
      <c r="K3" s="512" t="s">
        <v>1674</v>
      </c>
      <c r="L3" s="62" t="s">
        <v>529</v>
      </c>
      <c r="M3" s="146" t="s">
        <v>2233</v>
      </c>
    </row>
    <row r="4" spans="1:13" s="150" customFormat="1" ht="23.25">
      <c r="A4" s="147">
        <v>3</v>
      </c>
      <c r="B4" s="146" t="s">
        <v>2159</v>
      </c>
      <c r="C4" s="147">
        <v>25817</v>
      </c>
      <c r="D4" s="511"/>
      <c r="E4" s="147" t="s">
        <v>315</v>
      </c>
      <c r="F4" s="512" t="s">
        <v>522</v>
      </c>
      <c r="G4" s="146" t="s">
        <v>2176</v>
      </c>
      <c r="H4" s="165" t="s">
        <v>531</v>
      </c>
      <c r="I4" s="512" t="s">
        <v>518</v>
      </c>
      <c r="J4" s="165" t="s">
        <v>519</v>
      </c>
      <c r="K4" s="512" t="s">
        <v>1674</v>
      </c>
      <c r="L4" s="62" t="s">
        <v>529</v>
      </c>
      <c r="M4" s="146" t="s">
        <v>2234</v>
      </c>
    </row>
    <row r="5" spans="1:13" s="150" customFormat="1" ht="46.5">
      <c r="A5" s="147">
        <v>4</v>
      </c>
      <c r="B5" s="146" t="s">
        <v>2159</v>
      </c>
      <c r="C5" s="510" t="s">
        <v>2235</v>
      </c>
      <c r="D5" s="511"/>
      <c r="E5" s="147" t="s">
        <v>313</v>
      </c>
      <c r="F5" s="512" t="s">
        <v>522</v>
      </c>
      <c r="G5" s="146" t="s">
        <v>2236</v>
      </c>
      <c r="H5" s="165" t="s">
        <v>1670</v>
      </c>
      <c r="I5" s="512" t="s">
        <v>518</v>
      </c>
      <c r="J5" s="165" t="s">
        <v>519</v>
      </c>
      <c r="K5" s="512" t="s">
        <v>1674</v>
      </c>
      <c r="L5" s="62" t="s">
        <v>529</v>
      </c>
      <c r="M5" s="609" t="s">
        <v>2237</v>
      </c>
    </row>
    <row r="6" spans="1:13" s="150" customFormat="1" ht="46.5">
      <c r="A6" s="147">
        <v>5</v>
      </c>
      <c r="B6" s="146" t="s">
        <v>2159</v>
      </c>
      <c r="C6" s="510" t="s">
        <v>2168</v>
      </c>
      <c r="D6" s="511"/>
      <c r="E6" s="147" t="s">
        <v>317</v>
      </c>
      <c r="F6" s="512" t="s">
        <v>522</v>
      </c>
      <c r="G6" s="146" t="s">
        <v>2238</v>
      </c>
      <c r="H6" s="165" t="s">
        <v>531</v>
      </c>
      <c r="I6" s="512" t="s">
        <v>518</v>
      </c>
      <c r="J6" s="165" t="s">
        <v>519</v>
      </c>
      <c r="K6" s="512" t="s">
        <v>1674</v>
      </c>
      <c r="L6" s="62" t="s">
        <v>1186</v>
      </c>
      <c r="M6" s="146" t="s">
        <v>2239</v>
      </c>
    </row>
    <row r="7" spans="1:13" s="150" customFormat="1" ht="23.25">
      <c r="A7" s="147">
        <v>6</v>
      </c>
      <c r="B7" s="146" t="s">
        <v>2159</v>
      </c>
      <c r="C7" s="147" t="s">
        <v>2240</v>
      </c>
      <c r="D7" s="511"/>
      <c r="E7" s="147" t="s">
        <v>2241</v>
      </c>
      <c r="F7" s="512" t="s">
        <v>522</v>
      </c>
      <c r="G7" s="146" t="s">
        <v>2242</v>
      </c>
      <c r="H7" s="202" t="s">
        <v>1670</v>
      </c>
      <c r="I7" s="596" t="s">
        <v>518</v>
      </c>
      <c r="J7" s="202" t="s">
        <v>519</v>
      </c>
      <c r="K7" s="512" t="s">
        <v>1674</v>
      </c>
      <c r="L7" s="62" t="s">
        <v>529</v>
      </c>
      <c r="M7" s="147" t="s">
        <v>2243</v>
      </c>
    </row>
    <row r="8" spans="1:13" s="462" customFormat="1">
      <c r="A8" s="93"/>
      <c r="B8" s="77"/>
      <c r="C8" s="93"/>
      <c r="D8" s="511"/>
      <c r="E8" s="93"/>
      <c r="F8" s="512"/>
      <c r="G8" s="96"/>
      <c r="H8" s="165"/>
      <c r="I8" s="512"/>
      <c r="J8" s="165"/>
      <c r="K8" s="512"/>
      <c r="L8" s="62"/>
      <c r="M8" s="96"/>
    </row>
    <row r="9" spans="1:13" s="462" customFormat="1">
      <c r="A9" s="93"/>
      <c r="B9" s="77"/>
      <c r="C9" s="93"/>
      <c r="D9" s="511"/>
      <c r="E9" s="93"/>
      <c r="F9" s="512"/>
      <c r="G9" s="96"/>
      <c r="H9" s="165"/>
      <c r="I9" s="512"/>
      <c r="J9" s="165"/>
      <c r="K9" s="512"/>
      <c r="L9" s="62"/>
      <c r="M9" s="96"/>
    </row>
    <row r="10" spans="1:13">
      <c r="A10" s="93"/>
      <c r="B10" s="77"/>
      <c r="C10" s="93"/>
      <c r="D10" s="511"/>
      <c r="E10" s="93"/>
      <c r="F10" s="512"/>
      <c r="G10" s="96"/>
      <c r="H10" s="165"/>
      <c r="I10" s="512"/>
      <c r="J10" s="165"/>
      <c r="K10" s="512"/>
      <c r="L10" s="62"/>
      <c r="M10" s="96"/>
    </row>
    <row r="11" spans="1:13">
      <c r="A11" s="93"/>
      <c r="B11" s="77"/>
      <c r="C11" s="93"/>
      <c r="D11" s="511"/>
      <c r="E11" s="93"/>
      <c r="F11" s="512"/>
      <c r="G11" s="96"/>
      <c r="H11" s="165"/>
      <c r="I11" s="512"/>
      <c r="J11" s="165"/>
      <c r="K11" s="512"/>
      <c r="L11" s="62"/>
      <c r="M11" s="93"/>
    </row>
    <row r="12" spans="1:13">
      <c r="A12" s="93"/>
      <c r="B12" s="77"/>
      <c r="C12" s="93"/>
      <c r="D12" s="511"/>
      <c r="E12" s="93"/>
      <c r="F12" s="512"/>
      <c r="G12" s="96"/>
      <c r="H12" s="165"/>
      <c r="I12" s="512"/>
      <c r="J12" s="165"/>
      <c r="K12" s="512"/>
      <c r="L12" s="62"/>
      <c r="M12" s="93"/>
    </row>
    <row r="13" spans="1:13">
      <c r="A13" s="93"/>
      <c r="B13" s="77"/>
      <c r="C13" s="93"/>
      <c r="D13" s="511"/>
      <c r="E13" s="93"/>
      <c r="F13" s="512"/>
      <c r="G13" s="96"/>
      <c r="H13" s="165"/>
      <c r="I13" s="512"/>
      <c r="J13" s="165"/>
      <c r="K13" s="512"/>
      <c r="L13" s="62"/>
      <c r="M13" s="93"/>
    </row>
    <row r="14" spans="1:13">
      <c r="A14" s="93"/>
      <c r="B14" s="77"/>
      <c r="C14" s="93"/>
      <c r="D14" s="511"/>
      <c r="E14" s="93"/>
      <c r="F14" s="512"/>
      <c r="G14" s="96"/>
      <c r="H14" s="165"/>
      <c r="I14" s="512"/>
      <c r="J14" s="165"/>
      <c r="K14" s="512"/>
      <c r="L14" s="62"/>
      <c r="M14" s="93"/>
    </row>
    <row r="15" spans="1:13">
      <c r="A15" s="93"/>
      <c r="B15" s="77"/>
      <c r="C15" s="93"/>
      <c r="D15" s="511"/>
      <c r="E15" s="93"/>
      <c r="F15" s="512"/>
      <c r="G15" s="96"/>
      <c r="H15" s="165"/>
      <c r="I15" s="512"/>
      <c r="J15" s="165"/>
      <c r="K15" s="512"/>
      <c r="L15" s="62"/>
      <c r="M15" s="93"/>
    </row>
    <row r="16" spans="1:13">
      <c r="A16" s="93"/>
      <c r="B16" s="77"/>
      <c r="C16" s="93"/>
      <c r="D16" s="511"/>
      <c r="E16" s="93"/>
      <c r="F16" s="512"/>
      <c r="G16" s="96"/>
      <c r="H16" s="165"/>
      <c r="I16" s="512"/>
      <c r="J16" s="165"/>
      <c r="K16" s="512"/>
      <c r="L16" s="62"/>
      <c r="M16" s="93"/>
    </row>
    <row r="17" spans="1:13">
      <c r="A17" s="93"/>
      <c r="B17" s="77"/>
      <c r="C17" s="93"/>
      <c r="D17" s="511"/>
      <c r="E17" s="93"/>
      <c r="F17" s="512"/>
      <c r="G17" s="96"/>
      <c r="H17" s="165"/>
      <c r="I17" s="512"/>
      <c r="J17" s="165"/>
      <c r="K17" s="512"/>
      <c r="L17" s="62"/>
      <c r="M17" s="93"/>
    </row>
    <row r="18" spans="1:13">
      <c r="A18" s="93"/>
      <c r="B18" s="77"/>
      <c r="C18" s="93"/>
      <c r="D18" s="511"/>
      <c r="E18" s="93"/>
      <c r="F18" s="512"/>
      <c r="G18" s="96"/>
      <c r="H18" s="165"/>
      <c r="I18" s="512"/>
      <c r="J18" s="165"/>
      <c r="K18" s="512"/>
      <c r="L18" s="62"/>
      <c r="M18" s="93"/>
    </row>
    <row r="19" spans="1:13">
      <c r="A19" s="93"/>
      <c r="B19" s="77"/>
      <c r="C19" s="93"/>
      <c r="D19" s="511"/>
      <c r="E19" s="93"/>
      <c r="F19" s="512"/>
      <c r="G19" s="96"/>
      <c r="H19" s="165"/>
      <c r="I19" s="512"/>
      <c r="J19" s="165"/>
      <c r="K19" s="512"/>
      <c r="L19" s="62"/>
      <c r="M19" s="93"/>
    </row>
    <row r="20" spans="1:13">
      <c r="A20" s="93"/>
      <c r="B20" s="77"/>
      <c r="C20" s="93"/>
      <c r="D20" s="511"/>
      <c r="E20" s="93"/>
      <c r="F20" s="512"/>
      <c r="G20" s="96"/>
      <c r="H20" s="165"/>
      <c r="I20" s="512"/>
      <c r="J20" s="165"/>
      <c r="K20" s="512"/>
      <c r="L20" s="62"/>
      <c r="M20" s="93"/>
    </row>
    <row r="21" spans="1:13">
      <c r="A21" s="93"/>
      <c r="B21" s="77"/>
      <c r="C21" s="93"/>
      <c r="D21" s="511"/>
      <c r="E21" s="93"/>
      <c r="F21" s="512"/>
      <c r="G21" s="96"/>
      <c r="H21" s="165"/>
      <c r="I21" s="512"/>
      <c r="J21" s="165"/>
      <c r="K21" s="512"/>
      <c r="L21" s="62"/>
      <c r="M21" s="93"/>
    </row>
    <row r="22" spans="1:13">
      <c r="A22" s="93"/>
      <c r="B22" s="77"/>
      <c r="C22" s="93"/>
      <c r="D22" s="511"/>
      <c r="E22" s="93"/>
      <c r="F22" s="512"/>
      <c r="G22" s="96"/>
      <c r="H22" s="165"/>
      <c r="I22" s="512"/>
      <c r="J22" s="165"/>
      <c r="K22" s="512"/>
      <c r="L22" s="62"/>
      <c r="M22" s="93"/>
    </row>
    <row r="23" spans="1:13">
      <c r="A23" s="93"/>
      <c r="B23" s="77"/>
      <c r="C23" s="93"/>
      <c r="D23" s="511"/>
      <c r="E23" s="93"/>
      <c r="F23" s="512"/>
      <c r="G23" s="96"/>
      <c r="H23" s="165"/>
      <c r="I23" s="512"/>
      <c r="J23" s="165"/>
      <c r="K23" s="512"/>
      <c r="L23" s="62"/>
      <c r="M23" s="93"/>
    </row>
    <row r="24" spans="1:13">
      <c r="A24" s="93"/>
      <c r="B24" s="77"/>
      <c r="C24" s="93"/>
      <c r="D24" s="511"/>
      <c r="E24" s="93"/>
      <c r="F24" s="512"/>
      <c r="G24" s="96"/>
      <c r="H24" s="165"/>
      <c r="I24" s="512"/>
      <c r="J24" s="165"/>
      <c r="K24" s="512"/>
      <c r="L24" s="62"/>
      <c r="M24" s="93"/>
    </row>
    <row r="25" spans="1:13">
      <c r="A25" s="93"/>
      <c r="B25" s="77"/>
      <c r="C25" s="93"/>
      <c r="D25" s="511"/>
      <c r="E25" s="93"/>
      <c r="F25" s="512"/>
      <c r="G25" s="96"/>
      <c r="H25" s="165"/>
      <c r="I25" s="512"/>
      <c r="J25" s="165"/>
      <c r="K25" s="512"/>
      <c r="L25" s="62"/>
      <c r="M25" s="93"/>
    </row>
    <row r="26" spans="1:13">
      <c r="A26" s="93"/>
      <c r="B26" s="77"/>
      <c r="C26" s="93"/>
      <c r="D26" s="511"/>
      <c r="E26" s="93"/>
      <c r="F26" s="512"/>
      <c r="G26" s="96"/>
      <c r="H26" s="165"/>
      <c r="I26" s="512"/>
      <c r="J26" s="165"/>
      <c r="K26" s="512"/>
      <c r="L26" s="62"/>
      <c r="M26" s="93"/>
    </row>
    <row r="27" spans="1:13">
      <c r="A27" s="93"/>
      <c r="B27" s="77"/>
      <c r="C27" s="93"/>
      <c r="D27" s="511"/>
      <c r="E27" s="93"/>
      <c r="F27" s="512"/>
      <c r="G27" s="96"/>
      <c r="H27" s="165"/>
      <c r="I27" s="512"/>
      <c r="J27" s="165"/>
      <c r="K27" s="512"/>
      <c r="L27" s="62"/>
      <c r="M27" s="93"/>
    </row>
    <row r="28" spans="1:13">
      <c r="A28" s="93"/>
      <c r="B28" s="77"/>
      <c r="C28" s="93"/>
      <c r="D28" s="511"/>
      <c r="E28" s="93"/>
      <c r="F28" s="512"/>
      <c r="G28" s="96"/>
      <c r="H28" s="165"/>
      <c r="I28" s="512"/>
      <c r="J28" s="165"/>
      <c r="K28" s="512"/>
      <c r="L28" s="62"/>
      <c r="M28" s="93"/>
    </row>
    <row r="29" spans="1:13">
      <c r="A29" s="93"/>
      <c r="B29" s="77"/>
      <c r="C29" s="93"/>
      <c r="D29" s="511"/>
      <c r="E29" s="93"/>
      <c r="F29" s="512"/>
      <c r="G29" s="96"/>
      <c r="H29" s="165"/>
      <c r="I29" s="512"/>
      <c r="J29" s="165"/>
      <c r="K29" s="512"/>
      <c r="L29" s="62"/>
      <c r="M29" s="93"/>
    </row>
  </sheetData>
  <dataValidations count="5">
    <dataValidation type="list" allowBlank="1" showErrorMessage="1" sqref="K2:K29" xr:uid="{B74B7F27-D18D-4341-AE4A-E8B1D26CABD3}">
      <formula1>"Open,Inprogress,Closed/Rejected"</formula1>
    </dataValidation>
    <dataValidation type="list" allowBlank="1" showErrorMessage="1" sqref="I2:I29" xr:uid="{FB4F5335-CB8B-4C57-BA18-8159E8C8DA22}">
      <formula1>"Manual, Automation"</formula1>
    </dataValidation>
    <dataValidation type="list" allowBlank="1" showErrorMessage="1" sqref="H2:H29" xr:uid="{428FF332-0A3F-46D4-8B68-63DB870B217E}">
      <formula1>"Minor,Significant,Major"</formula1>
    </dataValidation>
    <dataValidation type="list" allowBlank="1" showErrorMessage="1" sqref="J2:J29" xr:uid="{97161730-E069-48FA-A0FC-36A845A39A7E}">
      <formula1>"Internal,External"</formula1>
    </dataValidation>
    <dataValidation type="list" allowBlank="1" showErrorMessage="1" sqref="F2:F29" xr:uid="{14E84BF5-AEF0-4CDE-B34E-83AC333B2EC7}">
      <formula1>"Bounceback/Sub-Defect,Defect,None"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AAB369D-7A05-47D9-98FB-7768EE9FCF2C}">
          <x14:formula1>
            <xm:f>Details!$A$2:$A$10</xm:f>
          </x14:formula1>
          <xm:sqref>L2:L29</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402B9-3AD9-4EFF-A85A-1F1EAFF3EC99}">
  <sheetPr filterMode="1"/>
  <dimension ref="A1:AO17"/>
  <sheetViews>
    <sheetView workbookViewId="0">
      <pane ySplit="1" topLeftCell="H18" activePane="bottomLeft" state="frozen"/>
      <selection pane="bottomLeft" activeCell="M13" sqref="M13:AC13"/>
    </sheetView>
  </sheetViews>
  <sheetFormatPr defaultRowHeight="12.75"/>
  <cols>
    <col min="2" max="2" width="11.28515625" customWidth="1"/>
    <col min="5" max="5" width="15" customWidth="1"/>
    <col min="6" max="6" width="13.7109375" customWidth="1"/>
    <col min="8" max="8" width="74.85546875" customWidth="1"/>
    <col min="9" max="9" width="19.5703125" customWidth="1"/>
    <col min="15" max="15" width="12" customWidth="1"/>
    <col min="19" max="19" width="16" customWidth="1"/>
    <col min="20" max="20" width="22.42578125" customWidth="1"/>
    <col min="30" max="30" width="22.28515625" customWidth="1"/>
    <col min="31" max="31" width="13.7109375" customWidth="1"/>
    <col min="32" max="36" width="12.28515625" customWidth="1"/>
    <col min="37" max="37" width="19.28515625" customWidth="1"/>
    <col min="38" max="41" width="12.28515625" customWidth="1"/>
  </cols>
  <sheetData>
    <row r="1" spans="1:41"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45882</v>
      </c>
      <c r="AG1" s="518">
        <v>45883</v>
      </c>
      <c r="AH1" s="518">
        <v>45884</v>
      </c>
      <c r="AI1" s="518">
        <v>45887</v>
      </c>
      <c r="AJ1" s="518">
        <v>45888</v>
      </c>
      <c r="AK1" s="518">
        <v>45889</v>
      </c>
      <c r="AL1" s="518">
        <v>45890</v>
      </c>
      <c r="AM1" s="518">
        <v>45891</v>
      </c>
      <c r="AN1" s="518">
        <v>45894</v>
      </c>
      <c r="AO1" s="518">
        <v>45895</v>
      </c>
    </row>
    <row r="2" spans="1:41" ht="115.5">
      <c r="A2" s="93">
        <v>1</v>
      </c>
      <c r="B2" s="490" t="s">
        <v>5</v>
      </c>
      <c r="C2" s="556">
        <v>45882</v>
      </c>
      <c r="D2" s="556">
        <v>45895</v>
      </c>
      <c r="E2" s="77" t="s">
        <v>2244</v>
      </c>
      <c r="F2" s="93" t="s">
        <v>313</v>
      </c>
      <c r="G2" s="93">
        <v>49621</v>
      </c>
      <c r="H2" s="225" t="s">
        <v>2245</v>
      </c>
      <c r="I2" s="490" t="s">
        <v>306</v>
      </c>
      <c r="J2" s="93">
        <v>2</v>
      </c>
      <c r="K2" s="93">
        <v>2</v>
      </c>
      <c r="L2" s="93">
        <v>8</v>
      </c>
      <c r="M2" s="171" t="s">
        <v>320</v>
      </c>
      <c r="N2" s="171" t="s">
        <v>320</v>
      </c>
      <c r="O2" s="197" t="s">
        <v>12</v>
      </c>
      <c r="P2" s="93" t="s">
        <v>315</v>
      </c>
      <c r="Q2" s="93" t="s">
        <v>316</v>
      </c>
      <c r="R2" s="93" t="s">
        <v>317</v>
      </c>
      <c r="S2" s="93" t="s">
        <v>316</v>
      </c>
      <c r="T2" s="93" t="s">
        <v>320</v>
      </c>
      <c r="U2" s="93" t="s">
        <v>320</v>
      </c>
      <c r="V2" s="93" t="s">
        <v>320</v>
      </c>
      <c r="W2" s="93" t="s">
        <v>320</v>
      </c>
      <c r="X2" s="93" t="s">
        <v>320</v>
      </c>
      <c r="Y2" s="93" t="s">
        <v>320</v>
      </c>
      <c r="Z2" s="93" t="s">
        <v>320</v>
      </c>
      <c r="AA2" s="93" t="s">
        <v>320</v>
      </c>
      <c r="AB2" s="93" t="s">
        <v>316</v>
      </c>
      <c r="AC2" s="93" t="s">
        <v>316</v>
      </c>
      <c r="AD2" s="96" t="s">
        <v>2246</v>
      </c>
      <c r="AE2" s="93"/>
      <c r="AF2" s="96" t="s">
        <v>2247</v>
      </c>
      <c r="AG2" s="96" t="s">
        <v>2248</v>
      </c>
      <c r="AH2" s="96" t="s">
        <v>1601</v>
      </c>
      <c r="AI2" s="96" t="s">
        <v>2249</v>
      </c>
      <c r="AJ2" s="96" t="s">
        <v>2249</v>
      </c>
      <c r="AK2" s="96" t="s">
        <v>2249</v>
      </c>
      <c r="AL2" s="96" t="s">
        <v>2249</v>
      </c>
      <c r="AM2" s="96" t="s">
        <v>2250</v>
      </c>
      <c r="AN2" s="93" t="s">
        <v>434</v>
      </c>
      <c r="AO2" s="93"/>
    </row>
    <row r="3" spans="1:41" ht="46.5">
      <c r="A3" s="93">
        <v>2</v>
      </c>
      <c r="B3" s="490" t="s">
        <v>5</v>
      </c>
      <c r="C3" s="556">
        <v>45882</v>
      </c>
      <c r="D3" s="556">
        <v>45895</v>
      </c>
      <c r="E3" s="77" t="s">
        <v>2244</v>
      </c>
      <c r="F3" s="93" t="s">
        <v>2251</v>
      </c>
      <c r="G3" s="135">
        <v>46802</v>
      </c>
      <c r="H3" s="96" t="s">
        <v>2252</v>
      </c>
      <c r="I3" s="490" t="s">
        <v>306</v>
      </c>
      <c r="J3" s="93">
        <v>3</v>
      </c>
      <c r="K3" s="93" t="s">
        <v>320</v>
      </c>
      <c r="L3" s="93" t="s">
        <v>320</v>
      </c>
      <c r="M3" s="93" t="s">
        <v>320</v>
      </c>
      <c r="N3" s="93" t="s">
        <v>320</v>
      </c>
      <c r="O3" s="93" t="s">
        <v>320</v>
      </c>
      <c r="P3" s="93" t="s">
        <v>320</v>
      </c>
      <c r="Q3" s="93" t="s">
        <v>320</v>
      </c>
      <c r="R3" s="93" t="s">
        <v>320</v>
      </c>
      <c r="S3" s="93" t="s">
        <v>320</v>
      </c>
      <c r="T3" s="93" t="s">
        <v>320</v>
      </c>
      <c r="U3" s="93" t="s">
        <v>320</v>
      </c>
      <c r="V3" s="93" t="s">
        <v>320</v>
      </c>
      <c r="W3" s="93" t="s">
        <v>320</v>
      </c>
      <c r="X3" s="93" t="s">
        <v>320</v>
      </c>
      <c r="Y3" s="93" t="s">
        <v>320</v>
      </c>
      <c r="Z3" s="93" t="s">
        <v>320</v>
      </c>
      <c r="AA3" s="93" t="s">
        <v>320</v>
      </c>
      <c r="AB3" s="93" t="s">
        <v>320</v>
      </c>
      <c r="AC3" s="93" t="s">
        <v>320</v>
      </c>
      <c r="AD3" s="96" t="s">
        <v>2253</v>
      </c>
      <c r="AE3" s="93"/>
      <c r="AF3" s="96" t="s">
        <v>2254</v>
      </c>
      <c r="AG3" s="96" t="s">
        <v>2255</v>
      </c>
      <c r="AH3" s="96" t="s">
        <v>2256</v>
      </c>
      <c r="AI3" s="96" t="s">
        <v>434</v>
      </c>
      <c r="AJ3" s="96" t="s">
        <v>434</v>
      </c>
      <c r="AK3" s="93" t="s">
        <v>434</v>
      </c>
      <c r="AL3" s="93" t="s">
        <v>434</v>
      </c>
      <c r="AM3" s="93" t="s">
        <v>434</v>
      </c>
      <c r="AN3" s="93" t="s">
        <v>434</v>
      </c>
      <c r="AO3" s="93"/>
    </row>
    <row r="4" spans="1:41" ht="46.5">
      <c r="A4" s="93">
        <v>3</v>
      </c>
      <c r="B4" s="490" t="s">
        <v>5</v>
      </c>
      <c r="C4" s="556">
        <v>45882</v>
      </c>
      <c r="D4" s="556">
        <v>45895</v>
      </c>
      <c r="E4" s="77" t="s">
        <v>2244</v>
      </c>
      <c r="F4" s="93" t="s">
        <v>2251</v>
      </c>
      <c r="G4" s="571">
        <v>48385</v>
      </c>
      <c r="H4" s="96" t="s">
        <v>2257</v>
      </c>
      <c r="I4" s="490" t="s">
        <v>306</v>
      </c>
      <c r="J4" s="93">
        <v>1</v>
      </c>
      <c r="K4" s="93" t="s">
        <v>320</v>
      </c>
      <c r="L4" s="93" t="s">
        <v>320</v>
      </c>
      <c r="M4" s="556" t="s">
        <v>320</v>
      </c>
      <c r="N4" s="556" t="s">
        <v>320</v>
      </c>
      <c r="O4" s="197" t="s">
        <v>320</v>
      </c>
      <c r="P4" s="93" t="s">
        <v>320</v>
      </c>
      <c r="Q4" s="93" t="s">
        <v>320</v>
      </c>
      <c r="R4" s="93" t="s">
        <v>320</v>
      </c>
      <c r="S4" s="556" t="s">
        <v>320</v>
      </c>
      <c r="T4" s="556" t="s">
        <v>320</v>
      </c>
      <c r="U4" s="197" t="s">
        <v>320</v>
      </c>
      <c r="V4" s="93" t="s">
        <v>320</v>
      </c>
      <c r="W4" s="93" t="s">
        <v>320</v>
      </c>
      <c r="X4" s="93" t="s">
        <v>320</v>
      </c>
      <c r="Y4" s="556" t="s">
        <v>320</v>
      </c>
      <c r="Z4" s="556" t="s">
        <v>320</v>
      </c>
      <c r="AA4" s="197" t="s">
        <v>320</v>
      </c>
      <c r="AB4" s="93" t="s">
        <v>320</v>
      </c>
      <c r="AC4" s="93"/>
      <c r="AD4" s="93"/>
      <c r="AE4" s="93"/>
      <c r="AF4" s="96" t="s">
        <v>2258</v>
      </c>
      <c r="AG4" s="96" t="s">
        <v>2259</v>
      </c>
      <c r="AH4" s="93" t="s">
        <v>2260</v>
      </c>
      <c r="AI4" s="93" t="s">
        <v>2261</v>
      </c>
      <c r="AJ4" s="96" t="s">
        <v>2262</v>
      </c>
      <c r="AK4" s="93" t="s">
        <v>434</v>
      </c>
      <c r="AL4" s="93" t="s">
        <v>434</v>
      </c>
      <c r="AM4" s="93" t="s">
        <v>434</v>
      </c>
      <c r="AN4" s="93" t="s">
        <v>434</v>
      </c>
      <c r="AO4" s="93"/>
    </row>
    <row r="5" spans="1:41" ht="92.25">
      <c r="A5" s="93">
        <v>4</v>
      </c>
      <c r="B5" s="490" t="s">
        <v>5</v>
      </c>
      <c r="C5" s="556">
        <v>45882</v>
      </c>
      <c r="D5" s="556">
        <v>45895</v>
      </c>
      <c r="E5" s="77" t="s">
        <v>2244</v>
      </c>
      <c r="F5" s="93" t="s">
        <v>313</v>
      </c>
      <c r="G5" s="93">
        <v>25756</v>
      </c>
      <c r="H5" s="96" t="s">
        <v>2185</v>
      </c>
      <c r="I5" s="490" t="s">
        <v>348</v>
      </c>
      <c r="J5" s="93">
        <v>5</v>
      </c>
      <c r="K5" s="93"/>
      <c r="L5" s="93">
        <v>24</v>
      </c>
      <c r="M5" s="556">
        <v>45883</v>
      </c>
      <c r="N5" s="556">
        <v>45888</v>
      </c>
      <c r="O5" s="197" t="s">
        <v>12</v>
      </c>
      <c r="P5" s="93" t="s">
        <v>315</v>
      </c>
      <c r="Q5" s="93" t="s">
        <v>316</v>
      </c>
      <c r="R5" s="93" t="s">
        <v>317</v>
      </c>
      <c r="S5" s="93" t="s">
        <v>316</v>
      </c>
      <c r="T5" s="130" t="s">
        <v>2263</v>
      </c>
      <c r="U5" s="556">
        <v>45890</v>
      </c>
      <c r="V5" s="556">
        <v>45890</v>
      </c>
      <c r="W5" s="116" t="s">
        <v>12</v>
      </c>
      <c r="X5" s="93" t="s">
        <v>316</v>
      </c>
      <c r="Y5" s="93" t="s">
        <v>319</v>
      </c>
      <c r="Z5" s="93" t="s">
        <v>320</v>
      </c>
      <c r="AA5" s="93" t="s">
        <v>316</v>
      </c>
      <c r="AB5" s="93" t="s">
        <v>316</v>
      </c>
      <c r="AC5" s="93" t="s">
        <v>316</v>
      </c>
      <c r="AD5" s="96" t="s">
        <v>2264</v>
      </c>
      <c r="AE5" s="561"/>
      <c r="AF5" s="96" t="s">
        <v>2265</v>
      </c>
      <c r="AG5" s="96" t="s">
        <v>2266</v>
      </c>
      <c r="AH5" s="96" t="s">
        <v>2267</v>
      </c>
      <c r="AI5" s="96" t="s">
        <v>2268</v>
      </c>
      <c r="AJ5" s="96" t="s">
        <v>2249</v>
      </c>
      <c r="AK5" s="96" t="s">
        <v>2249</v>
      </c>
      <c r="AL5" s="96" t="s">
        <v>2249</v>
      </c>
      <c r="AM5" s="96" t="s">
        <v>2269</v>
      </c>
      <c r="AN5" s="96" t="s">
        <v>2270</v>
      </c>
      <c r="AO5" s="96"/>
    </row>
    <row r="6" spans="1:41" ht="150.75">
      <c r="A6" s="93">
        <v>5</v>
      </c>
      <c r="B6" s="490" t="s">
        <v>5</v>
      </c>
      <c r="C6" s="556">
        <v>45882</v>
      </c>
      <c r="D6" s="556">
        <v>45895</v>
      </c>
      <c r="E6" s="77" t="s">
        <v>2244</v>
      </c>
      <c r="F6" s="93" t="s">
        <v>1892</v>
      </c>
      <c r="G6" s="93" t="s">
        <v>2271</v>
      </c>
      <c r="H6" s="96" t="s">
        <v>2176</v>
      </c>
      <c r="I6" s="490" t="s">
        <v>376</v>
      </c>
      <c r="J6" s="93">
        <v>0</v>
      </c>
      <c r="K6" s="93">
        <v>2.5499999999999998</v>
      </c>
      <c r="L6" s="93">
        <v>10.25</v>
      </c>
      <c r="M6" s="556">
        <v>45882</v>
      </c>
      <c r="N6" s="556">
        <v>45895</v>
      </c>
      <c r="O6" s="197" t="s">
        <v>12</v>
      </c>
      <c r="P6" s="93" t="s">
        <v>313</v>
      </c>
      <c r="Q6" s="93" t="s">
        <v>316</v>
      </c>
      <c r="R6" s="93" t="s">
        <v>317</v>
      </c>
      <c r="S6" s="93" t="s">
        <v>115</v>
      </c>
      <c r="T6" s="130" t="s">
        <v>2272</v>
      </c>
      <c r="U6" s="556">
        <v>45891</v>
      </c>
      <c r="V6" s="556">
        <v>45891</v>
      </c>
      <c r="W6" s="93" t="s">
        <v>316</v>
      </c>
      <c r="X6" s="93" t="s">
        <v>319</v>
      </c>
      <c r="Y6" s="93" t="s">
        <v>319</v>
      </c>
      <c r="Z6" s="93" t="s">
        <v>320</v>
      </c>
      <c r="AA6" s="93" t="s">
        <v>316</v>
      </c>
      <c r="AB6" s="93" t="s">
        <v>316</v>
      </c>
      <c r="AC6" s="93" t="s">
        <v>316</v>
      </c>
      <c r="AD6" s="96" t="s">
        <v>2273</v>
      </c>
      <c r="AE6" s="561" t="s">
        <v>423</v>
      </c>
      <c r="AF6" s="96"/>
      <c r="AG6" s="96" t="s">
        <v>2274</v>
      </c>
      <c r="AH6" s="96" t="s">
        <v>2275</v>
      </c>
      <c r="AI6" s="96" t="s">
        <v>2276</v>
      </c>
      <c r="AJ6" s="96" t="s">
        <v>2277</v>
      </c>
      <c r="AK6" s="96" t="s">
        <v>2278</v>
      </c>
      <c r="AL6" s="96" t="s">
        <v>2279</v>
      </c>
      <c r="AM6" s="96" t="s">
        <v>2280</v>
      </c>
      <c r="AN6" s="96" t="s">
        <v>2281</v>
      </c>
      <c r="AO6" s="96"/>
    </row>
    <row r="7" spans="1:41" ht="196.5">
      <c r="A7" s="93">
        <v>6</v>
      </c>
      <c r="B7" s="490" t="s">
        <v>5</v>
      </c>
      <c r="C7" s="556">
        <v>45882</v>
      </c>
      <c r="D7" s="556">
        <v>45895</v>
      </c>
      <c r="E7" s="77" t="s">
        <v>2244</v>
      </c>
      <c r="F7" s="93" t="s">
        <v>2282</v>
      </c>
      <c r="G7" s="135" t="s">
        <v>2235</v>
      </c>
      <c r="H7" s="96" t="s">
        <v>2236</v>
      </c>
      <c r="I7" s="490" t="s">
        <v>348</v>
      </c>
      <c r="J7" s="93">
        <v>0</v>
      </c>
      <c r="K7" s="93"/>
      <c r="L7" s="93">
        <v>10</v>
      </c>
      <c r="M7" s="93"/>
      <c r="N7" s="93"/>
      <c r="O7" s="93"/>
      <c r="P7" s="93"/>
      <c r="Q7" s="93"/>
      <c r="R7" s="93"/>
      <c r="S7" s="93"/>
      <c r="T7" s="93"/>
      <c r="U7" s="93"/>
      <c r="V7" s="93"/>
      <c r="W7" s="93"/>
      <c r="X7" s="93"/>
      <c r="Y7" s="93"/>
      <c r="Z7" s="93"/>
      <c r="AA7" s="93"/>
      <c r="AB7" s="93"/>
      <c r="AC7" s="93"/>
      <c r="AD7" s="93" t="s">
        <v>2283</v>
      </c>
      <c r="AE7" s="93"/>
      <c r="AF7" s="96"/>
      <c r="AG7" s="100" t="s">
        <v>2284</v>
      </c>
      <c r="AH7" s="96" t="s">
        <v>2285</v>
      </c>
      <c r="AI7" s="96" t="s">
        <v>2286</v>
      </c>
      <c r="AJ7" s="96" t="s">
        <v>2287</v>
      </c>
      <c r="AK7" s="123" t="s">
        <v>2288</v>
      </c>
      <c r="AL7" s="96" t="s">
        <v>2289</v>
      </c>
      <c r="AM7" s="96" t="s">
        <v>2290</v>
      </c>
      <c r="AN7" s="96" t="s">
        <v>2290</v>
      </c>
      <c r="AO7" s="93"/>
    </row>
    <row r="8" spans="1:41" ht="150.75">
      <c r="A8" s="93">
        <v>7</v>
      </c>
      <c r="B8" s="490" t="s">
        <v>5</v>
      </c>
      <c r="C8" s="556">
        <v>45882</v>
      </c>
      <c r="D8" s="556">
        <v>45895</v>
      </c>
      <c r="E8" s="77" t="s">
        <v>2244</v>
      </c>
      <c r="F8" s="93" t="s">
        <v>317</v>
      </c>
      <c r="G8" s="93" t="s">
        <v>2168</v>
      </c>
      <c r="H8" s="96" t="s">
        <v>2291</v>
      </c>
      <c r="I8" s="490" t="s">
        <v>348</v>
      </c>
      <c r="J8" s="93">
        <v>0</v>
      </c>
      <c r="K8" s="93"/>
      <c r="L8" s="93"/>
      <c r="M8" s="93"/>
      <c r="N8" s="93"/>
      <c r="O8" s="93"/>
      <c r="P8" s="93"/>
      <c r="Q8" s="93"/>
      <c r="R8" s="93"/>
      <c r="S8" s="93"/>
      <c r="T8" s="93"/>
      <c r="U8" s="93"/>
      <c r="V8" s="93"/>
      <c r="W8" s="93"/>
      <c r="X8" s="93"/>
      <c r="Y8" s="93"/>
      <c r="Z8" s="93"/>
      <c r="AA8" s="93"/>
      <c r="AB8" s="93"/>
      <c r="AC8" s="93"/>
      <c r="AD8" s="96" t="s">
        <v>2292</v>
      </c>
      <c r="AE8" s="93"/>
      <c r="AF8" s="93"/>
      <c r="AG8" s="96" t="s">
        <v>2293</v>
      </c>
      <c r="AH8" s="96" t="s">
        <v>2294</v>
      </c>
      <c r="AI8" s="96" t="s">
        <v>2295</v>
      </c>
      <c r="AJ8" s="96" t="s">
        <v>2296</v>
      </c>
      <c r="AK8" s="96" t="s">
        <v>2297</v>
      </c>
      <c r="AL8" s="96" t="s">
        <v>2298</v>
      </c>
      <c r="AM8" s="96" t="s">
        <v>2299</v>
      </c>
      <c r="AN8" s="96" t="s">
        <v>2300</v>
      </c>
      <c r="AO8" s="93"/>
    </row>
    <row r="9" spans="1:41" ht="69">
      <c r="A9" s="93">
        <v>8</v>
      </c>
      <c r="B9" s="490" t="s">
        <v>5</v>
      </c>
      <c r="C9" s="556">
        <v>45882</v>
      </c>
      <c r="D9" s="556">
        <v>45895</v>
      </c>
      <c r="E9" s="77" t="s">
        <v>2244</v>
      </c>
      <c r="F9" s="93" t="s">
        <v>315</v>
      </c>
      <c r="G9" s="93">
        <v>48122</v>
      </c>
      <c r="H9" s="581" t="s">
        <v>2301</v>
      </c>
      <c r="I9" s="490" t="s">
        <v>306</v>
      </c>
      <c r="J9" s="93">
        <v>2</v>
      </c>
      <c r="K9" s="93">
        <v>5.25</v>
      </c>
      <c r="L9" s="93">
        <v>21</v>
      </c>
      <c r="M9" s="556">
        <v>45883</v>
      </c>
      <c r="N9" s="556">
        <v>45891</v>
      </c>
      <c r="O9" s="197" t="s">
        <v>12</v>
      </c>
      <c r="P9" s="93" t="s">
        <v>313</v>
      </c>
      <c r="Q9" s="93" t="s">
        <v>316</v>
      </c>
      <c r="R9" s="93" t="s">
        <v>317</v>
      </c>
      <c r="S9" s="96" t="s">
        <v>2302</v>
      </c>
      <c r="T9" s="130" t="s">
        <v>2303</v>
      </c>
      <c r="U9" s="556">
        <v>45888</v>
      </c>
      <c r="V9" s="556">
        <v>45888</v>
      </c>
      <c r="W9" s="93" t="s">
        <v>316</v>
      </c>
      <c r="X9" s="93" t="s">
        <v>319</v>
      </c>
      <c r="Y9" s="93" t="s">
        <v>319</v>
      </c>
      <c r="Z9" s="93" t="s">
        <v>320</v>
      </c>
      <c r="AA9" s="93" t="s">
        <v>316</v>
      </c>
      <c r="AB9" s="93" t="s">
        <v>316</v>
      </c>
      <c r="AC9" s="93" t="s">
        <v>316</v>
      </c>
      <c r="AD9" s="96" t="s">
        <v>633</v>
      </c>
      <c r="AE9" s="561" t="s">
        <v>423</v>
      </c>
      <c r="AF9" s="93"/>
      <c r="AG9" s="96" t="s">
        <v>2304</v>
      </c>
      <c r="AH9" s="96" t="s">
        <v>2305</v>
      </c>
      <c r="AI9" s="96" t="s">
        <v>1982</v>
      </c>
      <c r="AJ9" s="96" t="s">
        <v>2306</v>
      </c>
      <c r="AK9" s="96" t="s">
        <v>2307</v>
      </c>
      <c r="AL9" s="96" t="s">
        <v>2308</v>
      </c>
      <c r="AM9" s="96" t="s">
        <v>1298</v>
      </c>
      <c r="AN9" s="96" t="s">
        <v>562</v>
      </c>
      <c r="AO9" s="93"/>
    </row>
    <row r="10" spans="1:41" ht="104.25">
      <c r="A10" s="93">
        <v>9</v>
      </c>
      <c r="B10" s="490" t="s">
        <v>5</v>
      </c>
      <c r="C10" s="556">
        <v>45882</v>
      </c>
      <c r="D10" s="556">
        <v>45895</v>
      </c>
      <c r="E10" s="77" t="s">
        <v>2244</v>
      </c>
      <c r="F10" s="93" t="s">
        <v>315</v>
      </c>
      <c r="G10" s="135">
        <v>25757</v>
      </c>
      <c r="H10" s="96" t="s">
        <v>2232</v>
      </c>
      <c r="I10" s="490" t="s">
        <v>514</v>
      </c>
      <c r="J10" s="93">
        <v>3</v>
      </c>
      <c r="K10" s="93"/>
      <c r="L10" s="93">
        <v>16</v>
      </c>
      <c r="M10" s="556">
        <v>45889</v>
      </c>
      <c r="N10" s="556">
        <v>45895</v>
      </c>
      <c r="O10" s="93"/>
      <c r="P10" s="93"/>
      <c r="Q10" s="93"/>
      <c r="R10" s="93"/>
      <c r="S10" s="93"/>
      <c r="T10" s="93"/>
      <c r="U10" s="93"/>
      <c r="V10" s="93"/>
      <c r="W10" s="93"/>
      <c r="X10" s="93"/>
      <c r="Y10" s="93"/>
      <c r="Z10" s="93"/>
      <c r="AA10" s="93"/>
      <c r="AB10" s="93"/>
      <c r="AC10" s="93"/>
      <c r="AD10" s="93" t="s">
        <v>2309</v>
      </c>
      <c r="AE10" s="93"/>
      <c r="AF10" s="93"/>
      <c r="AG10" s="93"/>
      <c r="AH10" s="96" t="s">
        <v>2310</v>
      </c>
      <c r="AI10" s="96" t="s">
        <v>2311</v>
      </c>
      <c r="AJ10" s="96" t="s">
        <v>2312</v>
      </c>
      <c r="AK10" s="96" t="s">
        <v>2313</v>
      </c>
      <c r="AL10" s="96" t="s">
        <v>2312</v>
      </c>
      <c r="AM10" s="96" t="s">
        <v>2314</v>
      </c>
      <c r="AN10" s="96" t="s">
        <v>2315</v>
      </c>
      <c r="AO10" s="93"/>
    </row>
    <row r="11" spans="1:41" ht="104.25">
      <c r="A11" s="118">
        <v>10</v>
      </c>
      <c r="B11" s="561" t="s">
        <v>5</v>
      </c>
      <c r="C11" s="560">
        <v>45882</v>
      </c>
      <c r="D11" s="560">
        <v>45895</v>
      </c>
      <c r="E11" s="138" t="s">
        <v>2244</v>
      </c>
      <c r="F11" s="118" t="s">
        <v>2038</v>
      </c>
      <c r="G11" s="118">
        <v>49630</v>
      </c>
      <c r="H11" s="240" t="s">
        <v>2316</v>
      </c>
      <c r="I11" s="561" t="s">
        <v>306</v>
      </c>
      <c r="J11" s="118">
        <v>3</v>
      </c>
      <c r="K11" s="118">
        <v>2.25</v>
      </c>
      <c r="L11" s="118">
        <v>9</v>
      </c>
      <c r="M11" s="560"/>
      <c r="N11" s="560"/>
      <c r="O11" s="232"/>
      <c r="P11" s="118"/>
      <c r="Q11" s="118"/>
      <c r="R11" s="118"/>
      <c r="S11" s="118"/>
      <c r="T11" s="118"/>
      <c r="U11" s="118"/>
      <c r="V11" s="118"/>
      <c r="W11" s="118"/>
      <c r="X11" s="118"/>
      <c r="Y11" s="118"/>
      <c r="Z11" s="118"/>
      <c r="AA11" s="118"/>
      <c r="AB11" s="118"/>
      <c r="AC11" s="118"/>
      <c r="AD11" s="118" t="s">
        <v>2317</v>
      </c>
      <c r="AE11" s="561"/>
      <c r="AF11" s="118"/>
      <c r="AG11" s="118"/>
      <c r="AH11" s="118"/>
      <c r="AI11" s="119" t="s">
        <v>2318</v>
      </c>
      <c r="AJ11" s="119" t="s">
        <v>2319</v>
      </c>
      <c r="AK11" s="118" t="s">
        <v>562</v>
      </c>
      <c r="AL11" s="118" t="s">
        <v>434</v>
      </c>
      <c r="AM11" s="118" t="s">
        <v>434</v>
      </c>
      <c r="AN11" s="118" t="s">
        <v>434</v>
      </c>
      <c r="AO11" s="118" t="s">
        <v>434</v>
      </c>
    </row>
    <row r="12" spans="1:41" ht="69">
      <c r="A12" s="93">
        <v>11</v>
      </c>
      <c r="B12" s="490" t="s">
        <v>5</v>
      </c>
      <c r="C12" s="556">
        <v>45882</v>
      </c>
      <c r="D12" s="556">
        <v>45895</v>
      </c>
      <c r="E12" s="77" t="s">
        <v>2244</v>
      </c>
      <c r="F12" s="93" t="s">
        <v>313</v>
      </c>
      <c r="G12" s="129">
        <v>49013</v>
      </c>
      <c r="H12" s="96" t="s">
        <v>2320</v>
      </c>
      <c r="I12" s="490" t="s">
        <v>306</v>
      </c>
      <c r="J12" s="93">
        <v>3</v>
      </c>
      <c r="K12" s="93">
        <v>5.5</v>
      </c>
      <c r="L12" s="93">
        <v>22</v>
      </c>
      <c r="M12" s="556">
        <v>45890</v>
      </c>
      <c r="N12" s="556">
        <v>45891</v>
      </c>
      <c r="O12" s="197" t="s">
        <v>12</v>
      </c>
      <c r="P12" s="93" t="s">
        <v>315</v>
      </c>
      <c r="Q12" s="93" t="s">
        <v>316</v>
      </c>
      <c r="R12" s="93" t="s">
        <v>317</v>
      </c>
      <c r="S12" s="93" t="s">
        <v>316</v>
      </c>
      <c r="T12" s="130" t="s">
        <v>2321</v>
      </c>
      <c r="U12" s="556">
        <v>45894</v>
      </c>
      <c r="V12" s="556">
        <v>45894</v>
      </c>
      <c r="W12" s="116" t="s">
        <v>12</v>
      </c>
      <c r="X12" s="93" t="s">
        <v>316</v>
      </c>
      <c r="Y12" s="93" t="s">
        <v>319</v>
      </c>
      <c r="Z12" s="93" t="s">
        <v>320</v>
      </c>
      <c r="AA12" s="93" t="s">
        <v>316</v>
      </c>
      <c r="AB12" s="93" t="s">
        <v>316</v>
      </c>
      <c r="AC12" s="93" t="s">
        <v>316</v>
      </c>
      <c r="AD12" s="93" t="s">
        <v>2322</v>
      </c>
      <c r="AE12" s="93"/>
      <c r="AF12" s="93"/>
      <c r="AG12" s="93"/>
      <c r="AH12" s="93"/>
      <c r="AI12" s="93"/>
      <c r="AJ12" s="93"/>
      <c r="AK12" s="96" t="s">
        <v>2323</v>
      </c>
      <c r="AL12" s="96" t="s">
        <v>2324</v>
      </c>
      <c r="AM12" s="96" t="s">
        <v>2325</v>
      </c>
      <c r="AN12" s="93" t="s">
        <v>434</v>
      </c>
      <c r="AO12" s="96" t="s">
        <v>2326</v>
      </c>
    </row>
    <row r="13" spans="1:41" ht="219.75">
      <c r="A13" s="183">
        <v>12</v>
      </c>
      <c r="B13" s="490" t="s">
        <v>5</v>
      </c>
      <c r="C13" s="556">
        <v>45882</v>
      </c>
      <c r="D13" s="556">
        <v>45895</v>
      </c>
      <c r="E13" s="77" t="s">
        <v>2327</v>
      </c>
      <c r="F13" s="183" t="s">
        <v>313</v>
      </c>
      <c r="G13" s="212">
        <v>49369</v>
      </c>
      <c r="H13" s="183" t="s">
        <v>2090</v>
      </c>
      <c r="I13" s="490" t="s">
        <v>338</v>
      </c>
      <c r="J13" s="183">
        <v>3</v>
      </c>
      <c r="K13" s="183"/>
      <c r="L13" s="183">
        <v>6</v>
      </c>
      <c r="M13" s="556">
        <v>45894</v>
      </c>
      <c r="N13" s="556">
        <v>45894</v>
      </c>
      <c r="O13" s="183" t="s">
        <v>12</v>
      </c>
      <c r="P13" s="183"/>
      <c r="Q13" s="183"/>
      <c r="R13" s="183"/>
      <c r="S13" s="183"/>
      <c r="T13" s="556" t="s">
        <v>320</v>
      </c>
      <c r="U13" s="197" t="s">
        <v>320</v>
      </c>
      <c r="V13" s="93" t="s">
        <v>320</v>
      </c>
      <c r="W13" s="93" t="s">
        <v>320</v>
      </c>
      <c r="X13" s="93" t="s">
        <v>320</v>
      </c>
      <c r="Y13" s="556" t="s">
        <v>320</v>
      </c>
      <c r="Z13" s="556" t="s">
        <v>320</v>
      </c>
      <c r="AA13" s="197" t="s">
        <v>320</v>
      </c>
      <c r="AB13" s="93" t="s">
        <v>316</v>
      </c>
      <c r="AC13" s="93" t="s">
        <v>316</v>
      </c>
      <c r="AD13" s="581" t="s">
        <v>2328</v>
      </c>
      <c r="AE13" s="183"/>
      <c r="AF13" s="183"/>
      <c r="AG13" s="183"/>
      <c r="AH13" s="183"/>
      <c r="AI13" s="183"/>
      <c r="AJ13" s="183"/>
      <c r="AK13" s="183"/>
      <c r="AL13" s="581"/>
      <c r="AM13" s="581" t="s">
        <v>2329</v>
      </c>
      <c r="AN13" s="183" t="s">
        <v>434</v>
      </c>
      <c r="AO13" s="581" t="s">
        <v>2330</v>
      </c>
    </row>
    <row r="14" spans="1:41">
      <c r="A14" s="93"/>
      <c r="B14" s="561"/>
      <c r="C14" s="560"/>
      <c r="D14" s="560"/>
      <c r="E14" s="119"/>
      <c r="F14" s="118"/>
      <c r="G14" s="118"/>
      <c r="H14" s="119"/>
      <c r="I14" s="561"/>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9"/>
      <c r="AN14" s="118"/>
      <c r="AO14" s="118"/>
    </row>
    <row r="15" spans="1:41">
      <c r="A15" s="93"/>
      <c r="B15" s="561"/>
      <c r="C15" s="560"/>
      <c r="D15" s="560"/>
      <c r="E15" s="119"/>
      <c r="F15" s="118"/>
      <c r="G15" s="118"/>
      <c r="H15" s="119"/>
      <c r="I15" s="561"/>
      <c r="J15" s="118"/>
      <c r="K15" s="118"/>
      <c r="L15" s="118"/>
      <c r="M15" s="556"/>
      <c r="N15" s="118"/>
      <c r="O15" s="118"/>
      <c r="P15" s="118"/>
      <c r="Q15" s="118"/>
      <c r="R15" s="118"/>
      <c r="S15" s="118"/>
      <c r="T15" s="118"/>
      <c r="U15" s="118"/>
      <c r="V15" s="118"/>
      <c r="W15" s="118"/>
      <c r="X15" s="118"/>
      <c r="Y15" s="118"/>
      <c r="Z15" s="118"/>
      <c r="AA15" s="118"/>
      <c r="AB15" s="118"/>
      <c r="AC15" s="118"/>
      <c r="AD15" s="119"/>
      <c r="AE15" s="118"/>
      <c r="AF15" s="118"/>
      <c r="AG15" s="118"/>
      <c r="AH15" s="118"/>
      <c r="AI15" s="118"/>
      <c r="AJ15" s="118"/>
      <c r="AK15" s="118"/>
      <c r="AL15" s="118"/>
      <c r="AM15" s="118"/>
      <c r="AN15" s="119"/>
      <c r="AO15" s="119"/>
    </row>
    <row r="16" spans="1:41">
      <c r="A16" s="93"/>
      <c r="B16" s="490"/>
      <c r="C16" s="556"/>
      <c r="D16" s="556"/>
      <c r="E16" s="96"/>
      <c r="F16" s="93"/>
      <c r="G16" s="129"/>
      <c r="H16" s="96"/>
      <c r="I16" s="490"/>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row>
    <row r="17" spans="1:41">
      <c r="A17" s="93"/>
      <c r="B17" s="490"/>
      <c r="C17" s="556"/>
      <c r="D17" s="556"/>
      <c r="E17" s="96"/>
      <c r="F17" s="93"/>
      <c r="G17" s="129"/>
      <c r="H17" s="96"/>
      <c r="I17" s="490"/>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row>
  </sheetData>
  <autoFilter ref="A1:AO13" xr:uid="{CBE402B9-3AD9-4EFF-A85A-1F1EAFF3EC99}">
    <filterColumn colId="8">
      <filters>
        <filter val="Defect Being Fixed"/>
        <filter val="Defect Peer Review"/>
        <filter val="Product Owner - Verify"/>
        <filter val="Story Being Tested"/>
      </filters>
    </filterColumn>
  </autoFilter>
  <conditionalFormatting sqref="J1">
    <cfRule type="containsText" dxfId="569" priority="13" operator="containsText" text="Closed">
      <formula>NOT(ISERROR(SEARCH("Closed",J1)))</formula>
    </cfRule>
    <cfRule type="containsText" dxfId="568" priority="14" operator="containsText" text="Open">
      <formula>NOT(ISERROR(SEARCH("Open",J1)))</formula>
    </cfRule>
    <cfRule type="containsText" dxfId="567" priority="15" operator="containsText" text="Inprogress">
      <formula>NOT(ISERROR(SEARCH("Inprogress",J1)))</formula>
    </cfRule>
  </conditionalFormatting>
  <conditionalFormatting sqref="I2:I5">
    <cfRule type="containsText" dxfId="566" priority="10" operator="containsText" text="Closed">
      <formula>NOT(ISERROR(SEARCH("Closed",I2)))</formula>
    </cfRule>
    <cfRule type="containsText" dxfId="565" priority="11" operator="containsText" text="Open">
      <formula>NOT(ISERROR(SEARCH("Open",I2)))</formula>
    </cfRule>
    <cfRule type="containsText" dxfId="564" priority="12" operator="containsText" text="Inprogress">
      <formula>NOT(ISERROR(SEARCH("Inprogress",I2)))</formula>
    </cfRule>
  </conditionalFormatting>
  <conditionalFormatting sqref="I6">
    <cfRule type="containsText" dxfId="563" priority="7" operator="containsText" text="Closed">
      <formula>NOT(ISERROR(SEARCH("Closed",I6)))</formula>
    </cfRule>
    <cfRule type="containsText" dxfId="562" priority="8" operator="containsText" text="Open">
      <formula>NOT(ISERROR(SEARCH("Open",I6)))</formula>
    </cfRule>
    <cfRule type="containsText" dxfId="561" priority="9" operator="containsText" text="Inprogress">
      <formula>NOT(ISERROR(SEARCH("Inprogress",I6)))</formula>
    </cfRule>
  </conditionalFormatting>
  <conditionalFormatting sqref="I7:I11 I14:I17">
    <cfRule type="containsText" dxfId="560" priority="4" operator="containsText" text="Closed">
      <formula>NOT(ISERROR(SEARCH("Closed",I7)))</formula>
    </cfRule>
    <cfRule type="containsText" dxfId="559" priority="5" operator="containsText" text="Open">
      <formula>NOT(ISERROR(SEARCH("Open",I7)))</formula>
    </cfRule>
    <cfRule type="containsText" dxfId="558" priority="6" operator="containsText" text="Inprogress">
      <formula>NOT(ISERROR(SEARCH("Inprogress",I7)))</formula>
    </cfRule>
  </conditionalFormatting>
  <conditionalFormatting sqref="I12:I13">
    <cfRule type="containsText" dxfId="557" priority="1" operator="containsText" text="Closed">
      <formula>NOT(ISERROR(SEARCH("Closed",I12)))</formula>
    </cfRule>
    <cfRule type="containsText" dxfId="556" priority="2" operator="containsText" text="Open">
      <formula>NOT(ISERROR(SEARCH("Open",I12)))</formula>
    </cfRule>
    <cfRule type="containsText" dxfId="555" priority="3" operator="containsText" text="Inprogress">
      <formula>NOT(ISERROR(SEARCH("Inprogress",I12)))</formula>
    </cfRule>
  </conditionalFormatting>
  <dataValidations count="11">
    <dataValidation type="list" allowBlank="1" showInputMessage="1" showErrorMessage="1" sqref="AE5:AE6 AE9 AE11" xr:uid="{A92C4F06-614B-47FD-B695-2E1FC9516C5C}">
      <formula1>"Exceeds Expectation,Meets Expectation,Needs improvements"</formula1>
    </dataValidation>
    <dataValidation type="list" allowBlank="1" showErrorMessage="1" sqref="J1" xr:uid="{40B9F8B8-F732-4A65-AAFF-F59394EAACCB}">
      <formula1>"Open,Inprogress,Closed"</formula1>
    </dataValidation>
    <dataValidation showErrorMessage="1" sqref="I1" xr:uid="{10FB473D-9E5C-4CF6-9425-52F4FB64450A}"/>
    <dataValidation allowBlank="1" showInputMessage="1" showErrorMessage="1" sqref="AD1:AE1" xr:uid="{044D53A5-CEB1-42BA-ADDA-D6C74BBE78BB}"/>
    <dataValidation type="list" showErrorMessage="1" sqref="Y1:Z1 W1 O1" xr:uid="{7E94B22D-7657-4AF9-928D-508A3F1C5A69}">
      <formula1>"Open,Inprogress,Completed,TBD,NA"</formula1>
    </dataValidation>
    <dataValidation type="list" showErrorMessage="1" sqref="S1:T1 X1 AA1" xr:uid="{C21D012A-6F83-49FC-80F7-8637100C5D35}">
      <formula1>"No issues found,Issues observed(BacktoDev),DB Script tests in QA DB,NA,TBD"</formula1>
    </dataValidation>
    <dataValidation type="list" showErrorMessage="1" sqref="AB1" xr:uid="{4F2BA1DD-BD8D-4365-B8A4-5A0FEF652F00}">
      <formula1>"Approved-Satisified AC,Not Approved(Back to Dev),NA,TBD"</formula1>
    </dataValidation>
    <dataValidation type="list" showErrorMessage="1" sqref="AC1" xr:uid="{2CADC909-472A-47B2-9347-020FA88D6AA6}">
      <formula1>"Pending-Waiting for Customer confirmation, Approved-Satisified AC,Not Approved-New minor changes requested(Back to Dev),NA,TBD"</formula1>
    </dataValidation>
    <dataValidation type="list" showErrorMessage="1" sqref="Q1" xr:uid="{DF0A4AC3-5A27-4BEA-8E3C-286C878686ED}">
      <formula1>"Pass,Fail(BacktoDev),DB Script tests in QA DB,TBD"</formula1>
    </dataValidation>
    <dataValidation type="list" showErrorMessage="1" sqref="R1" xr:uid="{3E46D937-A2E4-4885-B287-E4135890085D}">
      <formula1>"Qadir,Rijo,Karthik,None,TBD"</formula1>
    </dataValidation>
    <dataValidation type="list" showErrorMessage="1" sqref="P1" xr:uid="{4D5FFFE8-3141-495D-9119-57C74BDA7052}">
      <formula1>"Qadir,Rijo,Karthik,Sushmitha,None,TBD"</formula1>
    </dataValidation>
  </dataValidations>
  <hyperlinks>
    <hyperlink ref="T5" r:id="rId1" xr:uid="{2DD4A143-4EF3-429A-BD60-4AA4A5E0B7D6}"/>
    <hyperlink ref="T6" r:id="rId2" xr:uid="{0B5A71CC-C242-4BE9-8A50-21DD8A27308F}"/>
    <hyperlink ref="T9" r:id="rId3" xr:uid="{04C448F9-BCD2-4243-8F6F-A217EF0A9942}"/>
    <hyperlink ref="T12" r:id="rId4" xr:uid="{E5C4388D-D64C-4D2C-979D-C1F07C783C3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878726C-749A-495D-ABB3-46497977C94F}">
          <x14:formula1>
            <xm:f>Settings!$C$3:$C$20</xm:f>
          </x14:formula1>
          <xm:sqref>I2:I17</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8FC8F-1D64-446C-A78D-0FFAFE1CC8C5}">
  <dimension ref="A1:M30"/>
  <sheetViews>
    <sheetView topLeftCell="G5" workbookViewId="0"/>
  </sheetViews>
  <sheetFormatPr defaultRowHeight="12.75"/>
  <cols>
    <col min="7" max="7" width="81" customWidth="1"/>
    <col min="13" max="13" width="95.28515625" customWidth="1"/>
  </cols>
  <sheetData>
    <row r="1" spans="1:13" ht="40.5">
      <c r="A1" s="586" t="s">
        <v>266</v>
      </c>
      <c r="B1" s="155" t="s">
        <v>10</v>
      </c>
      <c r="C1" s="280" t="s">
        <v>267</v>
      </c>
      <c r="D1" s="280" t="s">
        <v>268</v>
      </c>
      <c r="E1" s="155" t="s">
        <v>269</v>
      </c>
      <c r="F1" s="280" t="s">
        <v>270</v>
      </c>
      <c r="G1" s="280" t="s">
        <v>271</v>
      </c>
      <c r="H1" s="155" t="s">
        <v>272</v>
      </c>
      <c r="I1" s="155" t="s">
        <v>273</v>
      </c>
      <c r="J1" s="155" t="s">
        <v>274</v>
      </c>
      <c r="K1" s="155" t="s">
        <v>275</v>
      </c>
      <c r="L1" s="605" t="s">
        <v>276</v>
      </c>
      <c r="M1" s="468" t="s">
        <v>277</v>
      </c>
    </row>
    <row r="2" spans="1:13" ht="46.5">
      <c r="A2" s="93">
        <v>1</v>
      </c>
      <c r="B2" s="77" t="s">
        <v>2244</v>
      </c>
      <c r="C2" s="510" t="s">
        <v>2235</v>
      </c>
      <c r="D2" s="511"/>
      <c r="E2" s="147" t="s">
        <v>313</v>
      </c>
      <c r="F2" s="512" t="s">
        <v>522</v>
      </c>
      <c r="G2" s="146" t="s">
        <v>2236</v>
      </c>
      <c r="H2" s="165" t="s">
        <v>1670</v>
      </c>
      <c r="I2" s="512" t="s">
        <v>518</v>
      </c>
      <c r="J2" s="165" t="s">
        <v>519</v>
      </c>
      <c r="K2" s="512" t="s">
        <v>1205</v>
      </c>
      <c r="L2" s="62" t="s">
        <v>529</v>
      </c>
      <c r="M2" s="604" t="s">
        <v>2237</v>
      </c>
    </row>
    <row r="3" spans="1:13" ht="46.5">
      <c r="A3" s="93">
        <v>2</v>
      </c>
      <c r="B3" s="77" t="s">
        <v>2244</v>
      </c>
      <c r="C3" s="510" t="s">
        <v>2168</v>
      </c>
      <c r="D3" s="511"/>
      <c r="E3" s="147" t="s">
        <v>317</v>
      </c>
      <c r="F3" s="512" t="s">
        <v>522</v>
      </c>
      <c r="G3" s="146" t="s">
        <v>2238</v>
      </c>
      <c r="H3" s="165" t="s">
        <v>531</v>
      </c>
      <c r="I3" s="512" t="s">
        <v>518</v>
      </c>
      <c r="J3" s="165" t="s">
        <v>519</v>
      </c>
      <c r="K3" s="512" t="s">
        <v>1205</v>
      </c>
      <c r="L3" s="62" t="s">
        <v>1186</v>
      </c>
      <c r="M3" s="146" t="s">
        <v>2239</v>
      </c>
    </row>
    <row r="4" spans="1:13" ht="46.5">
      <c r="A4" s="118">
        <v>3</v>
      </c>
      <c r="B4" s="138" t="s">
        <v>2244</v>
      </c>
      <c r="C4" s="563" t="s">
        <v>2271</v>
      </c>
      <c r="D4" s="595"/>
      <c r="E4" s="190" t="s">
        <v>315</v>
      </c>
      <c r="F4" s="596" t="s">
        <v>522</v>
      </c>
      <c r="G4" s="189" t="s">
        <v>2331</v>
      </c>
      <c r="H4" s="202" t="s">
        <v>1670</v>
      </c>
      <c r="I4" s="596" t="s">
        <v>518</v>
      </c>
      <c r="J4" s="202" t="s">
        <v>519</v>
      </c>
      <c r="K4" s="596" t="s">
        <v>1674</v>
      </c>
      <c r="L4" s="597" t="s">
        <v>529</v>
      </c>
      <c r="M4" s="119" t="s">
        <v>2332</v>
      </c>
    </row>
    <row r="5" spans="1:13" ht="46.5">
      <c r="A5" s="93">
        <v>4</v>
      </c>
      <c r="B5" s="77" t="s">
        <v>2244</v>
      </c>
      <c r="C5" s="93">
        <v>48385</v>
      </c>
      <c r="D5" s="511"/>
      <c r="E5" s="93" t="s">
        <v>2251</v>
      </c>
      <c r="F5" s="512" t="s">
        <v>1668</v>
      </c>
      <c r="G5" s="96" t="s">
        <v>2333</v>
      </c>
      <c r="H5" s="165" t="s">
        <v>1670</v>
      </c>
      <c r="I5" s="512" t="s">
        <v>518</v>
      </c>
      <c r="J5" s="165" t="s">
        <v>525</v>
      </c>
      <c r="K5" s="512" t="s">
        <v>1674</v>
      </c>
      <c r="L5" s="62" t="s">
        <v>526</v>
      </c>
      <c r="M5" s="93" t="s">
        <v>2243</v>
      </c>
    </row>
    <row r="6" spans="1:13" ht="46.5">
      <c r="A6" s="93">
        <v>5</v>
      </c>
      <c r="B6" s="77" t="s">
        <v>2244</v>
      </c>
      <c r="C6" s="93" t="s">
        <v>2240</v>
      </c>
      <c r="D6" s="511"/>
      <c r="E6" s="93" t="s">
        <v>2241</v>
      </c>
      <c r="F6" s="512" t="s">
        <v>522</v>
      </c>
      <c r="G6" s="96" t="s">
        <v>2242</v>
      </c>
      <c r="H6" s="202" t="s">
        <v>1670</v>
      </c>
      <c r="I6" s="596" t="s">
        <v>518</v>
      </c>
      <c r="J6" s="202" t="s">
        <v>519</v>
      </c>
      <c r="K6" s="596" t="s">
        <v>1205</v>
      </c>
      <c r="L6" s="62" t="s">
        <v>529</v>
      </c>
      <c r="M6" s="93" t="s">
        <v>2243</v>
      </c>
    </row>
    <row r="7" spans="1:13" ht="46.5">
      <c r="A7" s="93">
        <v>6</v>
      </c>
      <c r="B7" s="77" t="s">
        <v>2244</v>
      </c>
      <c r="C7" s="93">
        <v>25756</v>
      </c>
      <c r="D7" s="511"/>
      <c r="E7" s="607" t="s">
        <v>313</v>
      </c>
      <c r="F7" s="512" t="s">
        <v>522</v>
      </c>
      <c r="G7" s="96" t="s">
        <v>2185</v>
      </c>
      <c r="H7" s="165" t="s">
        <v>1670</v>
      </c>
      <c r="I7" s="512" t="s">
        <v>518</v>
      </c>
      <c r="J7" s="165" t="s">
        <v>525</v>
      </c>
      <c r="K7" s="512" t="s">
        <v>1205</v>
      </c>
      <c r="L7" s="62" t="s">
        <v>529</v>
      </c>
      <c r="M7" s="96" t="s">
        <v>2231</v>
      </c>
    </row>
    <row r="8" spans="1:13" ht="46.5">
      <c r="A8" s="93">
        <v>7</v>
      </c>
      <c r="B8" s="77" t="s">
        <v>2244</v>
      </c>
      <c r="C8" s="93">
        <v>25757</v>
      </c>
      <c r="D8" s="511"/>
      <c r="E8" s="93" t="s">
        <v>315</v>
      </c>
      <c r="F8" s="512" t="s">
        <v>522</v>
      </c>
      <c r="G8" s="96" t="s">
        <v>2232</v>
      </c>
      <c r="H8" s="165" t="s">
        <v>1670</v>
      </c>
      <c r="I8" s="512" t="s">
        <v>518</v>
      </c>
      <c r="J8" s="165" t="s">
        <v>525</v>
      </c>
      <c r="K8" s="512" t="s">
        <v>1205</v>
      </c>
      <c r="L8" s="62" t="s">
        <v>529</v>
      </c>
      <c r="M8" s="96" t="s">
        <v>2233</v>
      </c>
    </row>
    <row r="9" spans="1:13" s="462" customFormat="1" ht="138.75">
      <c r="A9" s="216">
        <v>8</v>
      </c>
      <c r="B9" s="146" t="s">
        <v>2244</v>
      </c>
      <c r="C9" s="216">
        <v>48122</v>
      </c>
      <c r="D9" s="511"/>
      <c r="E9" s="216" t="s">
        <v>315</v>
      </c>
      <c r="F9" s="512" t="s">
        <v>1668</v>
      </c>
      <c r="G9" s="235" t="s">
        <v>2334</v>
      </c>
      <c r="H9" s="165" t="s">
        <v>1670</v>
      </c>
      <c r="I9" s="512" t="s">
        <v>518</v>
      </c>
      <c r="J9" s="165" t="s">
        <v>525</v>
      </c>
      <c r="K9" s="512" t="s">
        <v>1674</v>
      </c>
      <c r="L9" s="62" t="s">
        <v>526</v>
      </c>
      <c r="M9" s="235" t="s">
        <v>2335</v>
      </c>
    </row>
    <row r="10" spans="1:13" s="462" customFormat="1" ht="46.5">
      <c r="A10" s="216">
        <v>9</v>
      </c>
      <c r="B10" s="146" t="s">
        <v>2244</v>
      </c>
      <c r="C10" s="216">
        <v>25817</v>
      </c>
      <c r="D10" s="511"/>
      <c r="E10" s="216" t="s">
        <v>315</v>
      </c>
      <c r="F10" s="512" t="s">
        <v>522</v>
      </c>
      <c r="G10" s="235" t="s">
        <v>2176</v>
      </c>
      <c r="H10" s="165" t="s">
        <v>1670</v>
      </c>
      <c r="I10" s="512" t="s">
        <v>518</v>
      </c>
      <c r="J10" s="165" t="s">
        <v>519</v>
      </c>
      <c r="K10" s="512" t="s">
        <v>1205</v>
      </c>
      <c r="L10" s="62" t="s">
        <v>529</v>
      </c>
      <c r="M10" s="235" t="s">
        <v>2336</v>
      </c>
    </row>
    <row r="11" spans="1:13">
      <c r="A11" s="93"/>
      <c r="B11" s="77"/>
      <c r="C11" s="93"/>
      <c r="D11" s="511"/>
      <c r="E11" s="93"/>
      <c r="F11" s="512"/>
      <c r="G11" s="96"/>
      <c r="H11" s="165"/>
      <c r="I11" s="512"/>
      <c r="J11" s="165"/>
      <c r="K11" s="512"/>
      <c r="L11" s="62"/>
      <c r="M11" s="93"/>
    </row>
    <row r="12" spans="1:13">
      <c r="A12" s="93"/>
      <c r="B12" s="77"/>
      <c r="C12" s="93"/>
      <c r="D12" s="511"/>
      <c r="E12" s="93"/>
      <c r="F12" s="512"/>
      <c r="G12" s="96"/>
      <c r="H12" s="165"/>
      <c r="I12" s="512"/>
      <c r="J12" s="165"/>
      <c r="K12" s="512"/>
      <c r="L12" s="62"/>
      <c r="M12" s="93"/>
    </row>
    <row r="13" spans="1:13">
      <c r="A13" s="93"/>
      <c r="B13" s="77"/>
      <c r="C13" s="93"/>
      <c r="D13" s="511"/>
      <c r="E13" s="93"/>
      <c r="F13" s="512"/>
      <c r="G13" s="96"/>
      <c r="H13" s="165"/>
      <c r="I13" s="512"/>
      <c r="J13" s="165"/>
      <c r="K13" s="512"/>
      <c r="L13" s="62"/>
      <c r="M13" s="93"/>
    </row>
    <row r="14" spans="1:13">
      <c r="A14" s="93"/>
      <c r="B14" s="77"/>
      <c r="C14" s="93"/>
      <c r="D14" s="511"/>
      <c r="E14" s="93"/>
      <c r="F14" s="512"/>
      <c r="G14" s="96"/>
      <c r="H14" s="165"/>
      <c r="I14" s="512"/>
      <c r="J14" s="165"/>
      <c r="K14" s="512"/>
      <c r="L14" s="62"/>
      <c r="M14" s="93"/>
    </row>
    <row r="15" spans="1:13">
      <c r="A15" s="93"/>
      <c r="B15" s="77"/>
      <c r="C15" s="93"/>
      <c r="D15" s="511"/>
      <c r="E15" s="93"/>
      <c r="F15" s="512"/>
      <c r="G15" s="96"/>
      <c r="H15" s="165"/>
      <c r="I15" s="512"/>
      <c r="J15" s="165"/>
      <c r="K15" s="512"/>
      <c r="L15" s="62"/>
      <c r="M15" s="93"/>
    </row>
    <row r="16" spans="1:13">
      <c r="A16" s="93"/>
      <c r="B16" s="77"/>
      <c r="C16" s="93"/>
      <c r="D16" s="511"/>
      <c r="E16" s="93"/>
      <c r="F16" s="512"/>
      <c r="G16" s="96"/>
      <c r="H16" s="165"/>
      <c r="I16" s="512"/>
      <c r="J16" s="165"/>
      <c r="K16" s="512"/>
      <c r="L16" s="62"/>
      <c r="M16" s="93"/>
    </row>
    <row r="17" spans="1:13">
      <c r="A17" s="93"/>
      <c r="B17" s="77"/>
      <c r="C17" s="93"/>
      <c r="D17" s="511"/>
      <c r="E17" s="93"/>
      <c r="F17" s="512"/>
      <c r="G17" s="96"/>
      <c r="H17" s="165"/>
      <c r="I17" s="512"/>
      <c r="J17" s="165"/>
      <c r="K17" s="512"/>
      <c r="L17" s="62"/>
      <c r="M17" s="93"/>
    </row>
    <row r="18" spans="1:13">
      <c r="A18" s="93"/>
      <c r="B18" s="77"/>
      <c r="C18" s="93"/>
      <c r="D18" s="511"/>
      <c r="E18" s="93"/>
      <c r="F18" s="512"/>
      <c r="G18" s="96"/>
      <c r="H18" s="165"/>
      <c r="I18" s="512"/>
      <c r="J18" s="165"/>
      <c r="K18" s="512"/>
      <c r="L18" s="62"/>
      <c r="M18" s="93"/>
    </row>
    <row r="19" spans="1:13">
      <c r="A19" s="93"/>
      <c r="B19" s="77"/>
      <c r="C19" s="93"/>
      <c r="D19" s="511"/>
      <c r="E19" s="93"/>
      <c r="F19" s="512"/>
      <c r="G19" s="96"/>
      <c r="H19" s="165"/>
      <c r="I19" s="512"/>
      <c r="J19" s="165"/>
      <c r="K19" s="512"/>
      <c r="L19" s="62"/>
      <c r="M19" s="93"/>
    </row>
    <row r="20" spans="1:13">
      <c r="A20" s="93"/>
      <c r="B20" s="77"/>
      <c r="C20" s="93"/>
      <c r="D20" s="511"/>
      <c r="E20" s="93"/>
      <c r="F20" s="512"/>
      <c r="G20" s="96"/>
      <c r="H20" s="165"/>
      <c r="I20" s="512"/>
      <c r="J20" s="165"/>
      <c r="K20" s="512"/>
      <c r="L20" s="62"/>
      <c r="M20" s="93"/>
    </row>
    <row r="21" spans="1:13">
      <c r="A21" s="93"/>
      <c r="B21" s="77"/>
      <c r="C21" s="93"/>
      <c r="D21" s="511"/>
      <c r="E21" s="93"/>
      <c r="F21" s="512"/>
      <c r="G21" s="96"/>
      <c r="H21" s="165"/>
      <c r="I21" s="512"/>
      <c r="J21" s="165"/>
      <c r="K21" s="512"/>
      <c r="L21" s="62"/>
      <c r="M21" s="93"/>
    </row>
    <row r="22" spans="1:13">
      <c r="A22" s="93"/>
      <c r="B22" s="77"/>
      <c r="C22" s="93"/>
      <c r="D22" s="511"/>
      <c r="E22" s="93"/>
      <c r="F22" s="512"/>
      <c r="G22" s="96"/>
      <c r="H22" s="165"/>
      <c r="I22" s="512"/>
      <c r="J22" s="165"/>
      <c r="K22" s="512"/>
      <c r="L22" s="62"/>
      <c r="M22" s="93"/>
    </row>
    <row r="23" spans="1:13">
      <c r="A23" s="93"/>
      <c r="B23" s="77"/>
      <c r="C23" s="93"/>
      <c r="D23" s="511"/>
      <c r="E23" s="93"/>
      <c r="F23" s="512"/>
      <c r="G23" s="96"/>
      <c r="H23" s="165"/>
      <c r="I23" s="512"/>
      <c r="J23" s="165"/>
      <c r="K23" s="512"/>
      <c r="L23" s="62"/>
      <c r="M23" s="93"/>
    </row>
    <row r="24" spans="1:13">
      <c r="A24" s="93"/>
      <c r="B24" s="77"/>
      <c r="C24" s="93"/>
      <c r="D24" s="511"/>
      <c r="E24" s="93"/>
      <c r="F24" s="512"/>
      <c r="G24" s="96"/>
      <c r="H24" s="165"/>
      <c r="I24" s="512"/>
      <c r="J24" s="165"/>
      <c r="K24" s="512"/>
      <c r="L24" s="62"/>
      <c r="M24" s="93"/>
    </row>
    <row r="25" spans="1:13">
      <c r="A25" s="93"/>
      <c r="B25" s="77"/>
      <c r="C25" s="93"/>
      <c r="D25" s="511"/>
      <c r="E25" s="93"/>
      <c r="F25" s="512"/>
      <c r="G25" s="96"/>
      <c r="H25" s="165"/>
      <c r="I25" s="512"/>
      <c r="J25" s="165"/>
      <c r="K25" s="512"/>
      <c r="L25" s="62"/>
      <c r="M25" s="93"/>
    </row>
    <row r="26" spans="1:13">
      <c r="A26" s="93"/>
      <c r="B26" s="77"/>
      <c r="C26" s="93"/>
      <c r="D26" s="511"/>
      <c r="E26" s="93"/>
      <c r="F26" s="512"/>
      <c r="G26" s="96"/>
      <c r="H26" s="165"/>
      <c r="I26" s="512"/>
      <c r="J26" s="165"/>
      <c r="K26" s="512"/>
      <c r="L26" s="62"/>
      <c r="M26" s="93"/>
    </row>
    <row r="27" spans="1:13">
      <c r="A27" s="93"/>
      <c r="B27" s="77"/>
      <c r="C27" s="93"/>
      <c r="D27" s="511"/>
      <c r="E27" s="93"/>
      <c r="F27" s="512"/>
      <c r="G27" s="96"/>
      <c r="H27" s="165"/>
      <c r="I27" s="512"/>
      <c r="J27" s="165"/>
      <c r="K27" s="512"/>
      <c r="L27" s="62"/>
      <c r="M27" s="93"/>
    </row>
    <row r="28" spans="1:13">
      <c r="A28" s="93"/>
      <c r="B28" s="77"/>
      <c r="C28" s="93"/>
      <c r="D28" s="511"/>
      <c r="E28" s="93"/>
      <c r="F28" s="512"/>
      <c r="G28" s="96"/>
      <c r="H28" s="165"/>
      <c r="I28" s="512"/>
      <c r="J28" s="165"/>
      <c r="K28" s="512"/>
      <c r="L28" s="62"/>
      <c r="M28" s="93"/>
    </row>
    <row r="29" spans="1:13">
      <c r="A29" s="93"/>
      <c r="B29" s="77"/>
      <c r="C29" s="93"/>
      <c r="D29" s="511"/>
      <c r="E29" s="93"/>
      <c r="F29" s="512"/>
      <c r="G29" s="96"/>
      <c r="H29" s="165"/>
      <c r="I29" s="512"/>
      <c r="J29" s="165"/>
      <c r="K29" s="512"/>
      <c r="L29" s="62"/>
      <c r="M29" s="93"/>
    </row>
    <row r="30" spans="1:13">
      <c r="A30" s="93"/>
      <c r="B30" s="77"/>
      <c r="C30" s="93"/>
      <c r="D30" s="511"/>
      <c r="E30" s="93"/>
      <c r="F30" s="512"/>
      <c r="G30" s="96"/>
      <c r="H30" s="165"/>
      <c r="I30" s="512"/>
      <c r="J30" s="165"/>
      <c r="K30" s="512"/>
      <c r="L30" s="62"/>
      <c r="M30" s="93"/>
    </row>
  </sheetData>
  <dataValidations count="5">
    <dataValidation type="list" allowBlank="1" showErrorMessage="1" sqref="F2:F30" xr:uid="{002865C8-7879-4BB8-9D5C-9586FDCD1D8F}">
      <formula1>"Bounceback/Sub-Defect,Defect,None"</formula1>
    </dataValidation>
    <dataValidation type="list" allowBlank="1" showErrorMessage="1" sqref="J2:J30" xr:uid="{640EA340-F357-4FC1-9170-3E1F2BF59810}">
      <formula1>"Internal,External"</formula1>
    </dataValidation>
    <dataValidation type="list" allowBlank="1" showErrorMessage="1" sqref="H2:H30" xr:uid="{D992973E-1BFA-4AB1-A2AF-3A5F8F7C8801}">
      <formula1>"Minor,Significant,Major"</formula1>
    </dataValidation>
    <dataValidation type="list" allowBlank="1" showErrorMessage="1" sqref="I2:I30" xr:uid="{C1A1EBA7-1580-4D3C-B024-9FA0EA0C0CB2}">
      <formula1>"Manual, Automation"</formula1>
    </dataValidation>
    <dataValidation type="list" allowBlank="1" showErrorMessage="1" sqref="K2:K30" xr:uid="{238BD239-176E-49D2-BCEF-96E14D74C93C}">
      <formula1>"Open,Inprogress,Closed/Rejected"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286A18C9-CD97-43C3-928C-A2E0EB107F06}">
          <x14:formula1>
            <xm:f>Details!$A$2:$A$10</xm:f>
          </x14:formula1>
          <xm:sqref>L2:L30</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A62E-CD59-437E-8648-3024603D55CB}">
  <sheetPr filterMode="1"/>
  <dimension ref="A1:AO17"/>
  <sheetViews>
    <sheetView workbookViewId="0">
      <pane ySplit="1" topLeftCell="I2" activePane="bottomLeft" state="frozen"/>
      <selection pane="bottomLeft" activeCell="P3" sqref="P3:Q3"/>
    </sheetView>
  </sheetViews>
  <sheetFormatPr defaultRowHeight="12.75"/>
  <cols>
    <col min="2" max="2" width="14.7109375" customWidth="1"/>
    <col min="3" max="3" width="10.7109375" customWidth="1"/>
    <col min="4" max="4" width="9.85546875" customWidth="1"/>
    <col min="5" max="5" width="15.7109375" customWidth="1"/>
    <col min="6" max="6" width="12.28515625" customWidth="1"/>
    <col min="7" max="7" width="12.140625" customWidth="1"/>
    <col min="8" max="8" width="28.7109375" customWidth="1"/>
    <col min="9" max="9" width="14.85546875" customWidth="1"/>
    <col min="13" max="13" width="9.42578125" bestFit="1" customWidth="1"/>
    <col min="15" max="15" width="11.85546875" customWidth="1"/>
    <col min="20" max="20" width="24.42578125" customWidth="1"/>
    <col min="21" max="21" width="9.42578125" bestFit="1" customWidth="1"/>
    <col min="23" max="23" width="11.85546875" customWidth="1"/>
    <col min="30" max="30" width="20" customWidth="1"/>
    <col min="31" max="31" width="15.7109375" customWidth="1"/>
    <col min="32" max="32" width="21.42578125" customWidth="1"/>
    <col min="33" max="33" width="30" customWidth="1"/>
    <col min="34" max="34" width="19.5703125" customWidth="1"/>
    <col min="35" max="35" width="33.28515625" customWidth="1"/>
    <col min="36" max="36" width="16.42578125" customWidth="1"/>
    <col min="37" max="37" width="25.7109375" customWidth="1"/>
    <col min="38" max="38" width="14.5703125" customWidth="1"/>
    <col min="40" max="40" width="17.85546875" customWidth="1"/>
    <col min="41" max="41" width="9.85546875" customWidth="1"/>
  </cols>
  <sheetData>
    <row r="1" spans="1:41"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45868</v>
      </c>
      <c r="AG1" s="518">
        <v>45869</v>
      </c>
      <c r="AH1" s="518">
        <v>45870</v>
      </c>
      <c r="AI1" s="518">
        <v>45873</v>
      </c>
      <c r="AJ1" s="518">
        <v>45874</v>
      </c>
      <c r="AK1" s="518">
        <v>45875</v>
      </c>
      <c r="AL1" s="518">
        <v>45876</v>
      </c>
      <c r="AM1" s="518">
        <v>45877</v>
      </c>
      <c r="AN1" s="518">
        <v>45880</v>
      </c>
      <c r="AO1" s="518">
        <v>45881</v>
      </c>
    </row>
    <row r="2" spans="1:41" ht="44.25" customHeight="1">
      <c r="A2" s="93">
        <v>1</v>
      </c>
      <c r="B2" s="490" t="s">
        <v>5</v>
      </c>
      <c r="C2" s="556">
        <v>45868</v>
      </c>
      <c r="D2" s="556">
        <v>45881</v>
      </c>
      <c r="E2" s="77" t="s">
        <v>2337</v>
      </c>
      <c r="F2" s="93" t="s">
        <v>1216</v>
      </c>
      <c r="G2" s="93">
        <v>49207</v>
      </c>
      <c r="H2" s="225" t="s">
        <v>1666</v>
      </c>
      <c r="I2" s="490" t="s">
        <v>306</v>
      </c>
      <c r="J2" s="93">
        <v>2</v>
      </c>
      <c r="K2" s="93">
        <v>2</v>
      </c>
      <c r="L2" s="93">
        <v>8</v>
      </c>
      <c r="M2" s="556" t="s">
        <v>320</v>
      </c>
      <c r="N2" s="93" t="s">
        <v>320</v>
      </c>
      <c r="O2" s="93" t="s">
        <v>320</v>
      </c>
      <c r="P2" s="93" t="s">
        <v>320</v>
      </c>
      <c r="Q2" s="93" t="s">
        <v>320</v>
      </c>
      <c r="R2" s="93" t="s">
        <v>320</v>
      </c>
      <c r="S2" s="93" t="s">
        <v>320</v>
      </c>
      <c r="T2" s="93" t="s">
        <v>320</v>
      </c>
      <c r="U2" s="93" t="s">
        <v>320</v>
      </c>
      <c r="V2" s="93" t="s">
        <v>320</v>
      </c>
      <c r="W2" s="93" t="s">
        <v>320</v>
      </c>
      <c r="X2" s="93" t="s">
        <v>320</v>
      </c>
      <c r="Y2" s="93" t="s">
        <v>320</v>
      </c>
      <c r="Z2" s="93" t="s">
        <v>320</v>
      </c>
      <c r="AA2" s="93" t="s">
        <v>320</v>
      </c>
      <c r="AB2" s="93" t="s">
        <v>320</v>
      </c>
      <c r="AC2" s="93" t="s">
        <v>320</v>
      </c>
      <c r="AD2" s="96" t="s">
        <v>2338</v>
      </c>
      <c r="AE2" s="93"/>
      <c r="AF2" s="96" t="s">
        <v>2339</v>
      </c>
      <c r="AG2" s="96" t="s">
        <v>2340</v>
      </c>
      <c r="AH2" s="96" t="s">
        <v>2341</v>
      </c>
      <c r="AI2" s="93" t="s">
        <v>434</v>
      </c>
      <c r="AJ2" s="96"/>
      <c r="AK2" s="93" t="s">
        <v>434</v>
      </c>
      <c r="AL2" s="93" t="s">
        <v>434</v>
      </c>
      <c r="AM2" s="93"/>
      <c r="AN2" s="93" t="s">
        <v>434</v>
      </c>
      <c r="AO2" s="93" t="s">
        <v>434</v>
      </c>
    </row>
    <row r="3" spans="1:41" ht="51.75" customHeight="1">
      <c r="A3" s="93">
        <v>2</v>
      </c>
      <c r="B3" s="490" t="s">
        <v>5</v>
      </c>
      <c r="C3" s="556">
        <v>45868</v>
      </c>
      <c r="D3" s="556">
        <v>45881</v>
      </c>
      <c r="E3" s="77" t="s">
        <v>2337</v>
      </c>
      <c r="F3" s="93" t="s">
        <v>315</v>
      </c>
      <c r="G3" s="135">
        <v>25687</v>
      </c>
      <c r="H3" s="96" t="s">
        <v>2342</v>
      </c>
      <c r="I3" s="490" t="s">
        <v>376</v>
      </c>
      <c r="J3" s="93">
        <v>2</v>
      </c>
      <c r="K3" s="93">
        <v>1.5</v>
      </c>
      <c r="L3" s="93">
        <v>6</v>
      </c>
      <c r="M3" s="556">
        <v>45868</v>
      </c>
      <c r="N3" s="556">
        <v>45869</v>
      </c>
      <c r="O3" s="197" t="s">
        <v>12</v>
      </c>
      <c r="P3" s="93" t="s">
        <v>313</v>
      </c>
      <c r="Q3" s="93" t="s">
        <v>316</v>
      </c>
      <c r="R3" s="93" t="s">
        <v>317</v>
      </c>
      <c r="S3" s="93" t="s">
        <v>316</v>
      </c>
      <c r="T3" s="130" t="s">
        <v>2343</v>
      </c>
      <c r="U3" s="556">
        <v>45868</v>
      </c>
      <c r="V3" s="556">
        <v>45868</v>
      </c>
      <c r="W3" s="116" t="s">
        <v>12</v>
      </c>
      <c r="X3" s="93" t="s">
        <v>316</v>
      </c>
      <c r="Y3" s="93" t="s">
        <v>319</v>
      </c>
      <c r="Z3" s="93" t="s">
        <v>320</v>
      </c>
      <c r="AA3" s="93" t="s">
        <v>316</v>
      </c>
      <c r="AB3" s="93" t="s">
        <v>316</v>
      </c>
      <c r="AC3" s="93" t="s">
        <v>316</v>
      </c>
      <c r="AD3" s="93" t="s">
        <v>2344</v>
      </c>
      <c r="AE3" s="93"/>
      <c r="AF3" s="96" t="s">
        <v>2345</v>
      </c>
      <c r="AG3" s="96" t="s">
        <v>2346</v>
      </c>
      <c r="AH3" s="96" t="s">
        <v>2347</v>
      </c>
      <c r="AI3" s="93" t="s">
        <v>434</v>
      </c>
      <c r="AJ3" s="96"/>
      <c r="AK3" s="93" t="s">
        <v>434</v>
      </c>
      <c r="AL3" s="93" t="s">
        <v>434</v>
      </c>
      <c r="AM3" s="93"/>
      <c r="AN3" s="93" t="s">
        <v>434</v>
      </c>
      <c r="AO3" s="93" t="s">
        <v>434</v>
      </c>
    </row>
    <row r="4" spans="1:41" ht="49.5" customHeight="1">
      <c r="A4" s="93">
        <v>3</v>
      </c>
      <c r="B4" s="490" t="s">
        <v>5</v>
      </c>
      <c r="C4" s="556">
        <v>45868</v>
      </c>
      <c r="D4" s="556">
        <v>45881</v>
      </c>
      <c r="E4" s="77" t="s">
        <v>2337</v>
      </c>
      <c r="F4" s="93" t="s">
        <v>315</v>
      </c>
      <c r="G4" s="571" t="s">
        <v>2348</v>
      </c>
      <c r="H4" s="96" t="s">
        <v>2349</v>
      </c>
      <c r="I4" s="490" t="s">
        <v>376</v>
      </c>
      <c r="J4" s="93">
        <v>1</v>
      </c>
      <c r="K4" s="93">
        <v>1</v>
      </c>
      <c r="L4" s="93">
        <v>4.5</v>
      </c>
      <c r="M4" s="556">
        <v>45868</v>
      </c>
      <c r="N4" s="556">
        <v>45868</v>
      </c>
      <c r="O4" s="197" t="s">
        <v>12</v>
      </c>
      <c r="P4" s="93" t="s">
        <v>313</v>
      </c>
      <c r="Q4" s="93" t="s">
        <v>316</v>
      </c>
      <c r="R4" s="93" t="s">
        <v>317</v>
      </c>
      <c r="S4" s="93" t="s">
        <v>316</v>
      </c>
      <c r="T4" s="130" t="s">
        <v>2350</v>
      </c>
      <c r="U4" s="556">
        <v>45868</v>
      </c>
      <c r="V4" s="556">
        <v>45868</v>
      </c>
      <c r="W4" s="116" t="s">
        <v>12</v>
      </c>
      <c r="X4" s="93" t="s">
        <v>316</v>
      </c>
      <c r="Y4" s="93" t="s">
        <v>319</v>
      </c>
      <c r="Z4" s="93" t="s">
        <v>320</v>
      </c>
      <c r="AA4" s="93" t="s">
        <v>316</v>
      </c>
      <c r="AB4" s="93" t="s">
        <v>316</v>
      </c>
      <c r="AC4" s="93" t="s">
        <v>316</v>
      </c>
      <c r="AD4" s="93" t="s">
        <v>2344</v>
      </c>
      <c r="AE4" s="93"/>
      <c r="AF4" s="96" t="s">
        <v>2345</v>
      </c>
      <c r="AG4" s="96" t="s">
        <v>2351</v>
      </c>
      <c r="AH4" s="93" t="s">
        <v>434</v>
      </c>
      <c r="AI4" s="93" t="s">
        <v>434</v>
      </c>
      <c r="AJ4" s="96"/>
      <c r="AK4" s="93" t="s">
        <v>434</v>
      </c>
      <c r="AL4" s="93" t="s">
        <v>434</v>
      </c>
      <c r="AM4" s="93"/>
      <c r="AN4" s="93" t="s">
        <v>434</v>
      </c>
      <c r="AO4" s="93" t="s">
        <v>434</v>
      </c>
    </row>
    <row r="5" spans="1:41" ht="127.5">
      <c r="A5" s="93">
        <v>4</v>
      </c>
      <c r="B5" s="490" t="s">
        <v>5</v>
      </c>
      <c r="C5" s="556">
        <v>45868</v>
      </c>
      <c r="D5" s="556">
        <v>45881</v>
      </c>
      <c r="E5" s="77" t="s">
        <v>2337</v>
      </c>
      <c r="F5" s="93" t="s">
        <v>313</v>
      </c>
      <c r="G5" s="93">
        <v>49408</v>
      </c>
      <c r="H5" s="93" t="s">
        <v>2352</v>
      </c>
      <c r="I5" s="490" t="s">
        <v>306</v>
      </c>
      <c r="J5" s="93">
        <v>3</v>
      </c>
      <c r="K5" s="93">
        <v>4</v>
      </c>
      <c r="L5" s="93">
        <v>16.5</v>
      </c>
      <c r="M5" s="556">
        <v>45868</v>
      </c>
      <c r="N5" s="556">
        <v>45869</v>
      </c>
      <c r="O5" s="93" t="s">
        <v>12</v>
      </c>
      <c r="P5" s="93" t="s">
        <v>315</v>
      </c>
      <c r="Q5" s="93" t="s">
        <v>316</v>
      </c>
      <c r="R5" s="93" t="s">
        <v>317</v>
      </c>
      <c r="S5" s="93" t="s">
        <v>316</v>
      </c>
      <c r="T5" s="93" t="s">
        <v>320</v>
      </c>
      <c r="U5" s="93" t="s">
        <v>320</v>
      </c>
      <c r="V5" s="93" t="s">
        <v>320</v>
      </c>
      <c r="W5" s="93" t="s">
        <v>320</v>
      </c>
      <c r="X5" s="93" t="s">
        <v>320</v>
      </c>
      <c r="Y5" s="93" t="s">
        <v>320</v>
      </c>
      <c r="Z5" s="93" t="s">
        <v>320</v>
      </c>
      <c r="AA5" s="93" t="s">
        <v>320</v>
      </c>
      <c r="AB5" s="93" t="s">
        <v>316</v>
      </c>
      <c r="AC5" s="93" t="s">
        <v>316</v>
      </c>
      <c r="AD5" s="96" t="s">
        <v>2353</v>
      </c>
      <c r="AE5" s="561" t="s">
        <v>423</v>
      </c>
      <c r="AF5" s="96" t="s">
        <v>2354</v>
      </c>
      <c r="AG5" s="93" t="s">
        <v>2355</v>
      </c>
      <c r="AH5" s="96" t="s">
        <v>2356</v>
      </c>
      <c r="AI5" s="96" t="s">
        <v>2357</v>
      </c>
      <c r="AJ5" s="96" t="s">
        <v>2358</v>
      </c>
      <c r="AK5" s="96" t="s">
        <v>2359</v>
      </c>
      <c r="AL5" s="96" t="s">
        <v>2359</v>
      </c>
      <c r="AM5" s="96" t="s">
        <v>2359</v>
      </c>
      <c r="AN5" s="96" t="s">
        <v>2360</v>
      </c>
      <c r="AO5" s="96" t="s">
        <v>2361</v>
      </c>
    </row>
    <row r="6" spans="1:41" ht="71.25" customHeight="1">
      <c r="A6" s="93">
        <v>5</v>
      </c>
      <c r="B6" s="490" t="s">
        <v>5</v>
      </c>
      <c r="C6" s="556">
        <v>45868</v>
      </c>
      <c r="D6" s="556">
        <v>45881</v>
      </c>
      <c r="E6" s="96" t="s">
        <v>2337</v>
      </c>
      <c r="F6" s="93" t="s">
        <v>313</v>
      </c>
      <c r="G6" s="93">
        <v>47284</v>
      </c>
      <c r="H6" s="96" t="s">
        <v>2362</v>
      </c>
      <c r="I6" s="490" t="s">
        <v>306</v>
      </c>
      <c r="J6" s="93">
        <v>3</v>
      </c>
      <c r="K6" s="93">
        <v>0.5</v>
      </c>
      <c r="L6" s="93">
        <v>1.5</v>
      </c>
      <c r="M6" s="171" t="s">
        <v>320</v>
      </c>
      <c r="N6" s="171" t="s">
        <v>320</v>
      </c>
      <c r="O6" s="197" t="s">
        <v>12</v>
      </c>
      <c r="P6" s="93" t="s">
        <v>315</v>
      </c>
      <c r="Q6" s="93" t="s">
        <v>316</v>
      </c>
      <c r="R6" s="93" t="s">
        <v>317</v>
      </c>
      <c r="S6" s="93" t="s">
        <v>316</v>
      </c>
      <c r="T6" s="93" t="s">
        <v>320</v>
      </c>
      <c r="U6" s="93" t="s">
        <v>320</v>
      </c>
      <c r="V6" s="93" t="s">
        <v>320</v>
      </c>
      <c r="W6" s="93" t="s">
        <v>320</v>
      </c>
      <c r="X6" s="93" t="s">
        <v>320</v>
      </c>
      <c r="Y6" s="93" t="s">
        <v>320</v>
      </c>
      <c r="Z6" s="93" t="s">
        <v>320</v>
      </c>
      <c r="AA6" s="93" t="s">
        <v>320</v>
      </c>
      <c r="AB6" s="93" t="s">
        <v>316</v>
      </c>
      <c r="AC6" s="93" t="s">
        <v>316</v>
      </c>
      <c r="AD6" s="96" t="s">
        <v>2363</v>
      </c>
      <c r="AE6" s="561" t="s">
        <v>423</v>
      </c>
      <c r="AF6" s="96" t="s">
        <v>2364</v>
      </c>
      <c r="AG6" s="93" t="s">
        <v>2365</v>
      </c>
      <c r="AH6" s="96" t="s">
        <v>2366</v>
      </c>
      <c r="AI6" s="96" t="s">
        <v>2367</v>
      </c>
      <c r="AJ6" s="96" t="s">
        <v>2368</v>
      </c>
      <c r="AK6" s="96" t="s">
        <v>2369</v>
      </c>
      <c r="AL6" s="96" t="s">
        <v>2369</v>
      </c>
      <c r="AM6" s="96" t="s">
        <v>2369</v>
      </c>
      <c r="AN6" s="96" t="s">
        <v>2370</v>
      </c>
      <c r="AO6" s="96" t="s">
        <v>2371</v>
      </c>
    </row>
    <row r="7" spans="1:41" ht="78" customHeight="1">
      <c r="A7" s="93">
        <v>6</v>
      </c>
      <c r="B7" s="490" t="s">
        <v>5</v>
      </c>
      <c r="C7" s="556">
        <v>45868</v>
      </c>
      <c r="D7" s="556">
        <v>45881</v>
      </c>
      <c r="E7" s="96" t="s">
        <v>2337</v>
      </c>
      <c r="F7" s="93" t="s">
        <v>317</v>
      </c>
      <c r="G7" s="135">
        <v>25675</v>
      </c>
      <c r="H7" s="93" t="s">
        <v>2372</v>
      </c>
      <c r="I7" s="490" t="s">
        <v>306</v>
      </c>
      <c r="J7" s="93">
        <v>3</v>
      </c>
      <c r="K7" s="93">
        <v>3</v>
      </c>
      <c r="L7" s="93">
        <v>12</v>
      </c>
      <c r="M7" s="556">
        <v>45868</v>
      </c>
      <c r="N7" s="171">
        <v>45870</v>
      </c>
      <c r="O7" s="93" t="s">
        <v>12</v>
      </c>
      <c r="P7" s="93" t="s">
        <v>315</v>
      </c>
      <c r="Q7" s="93" t="s">
        <v>316</v>
      </c>
      <c r="R7" s="93" t="s">
        <v>320</v>
      </c>
      <c r="S7" s="93" t="s">
        <v>320</v>
      </c>
      <c r="T7" s="93" t="s">
        <v>320</v>
      </c>
      <c r="U7" s="93" t="s">
        <v>320</v>
      </c>
      <c r="V7" s="93" t="s">
        <v>320</v>
      </c>
      <c r="W7" s="93" t="s">
        <v>320</v>
      </c>
      <c r="X7" s="93" t="s">
        <v>320</v>
      </c>
      <c r="Y7" s="93" t="s">
        <v>320</v>
      </c>
      <c r="Z7" s="93" t="s">
        <v>320</v>
      </c>
      <c r="AA7" s="93" t="s">
        <v>320</v>
      </c>
      <c r="AB7" s="93" t="s">
        <v>320</v>
      </c>
      <c r="AC7" s="93"/>
      <c r="AD7" s="96" t="s">
        <v>2373</v>
      </c>
      <c r="AE7" s="93"/>
      <c r="AF7" s="96" t="s">
        <v>2374</v>
      </c>
      <c r="AG7" s="100" t="s">
        <v>2375</v>
      </c>
      <c r="AH7" s="96" t="s">
        <v>2376</v>
      </c>
      <c r="AI7" s="93" t="s">
        <v>434</v>
      </c>
      <c r="AJ7" s="96" t="s">
        <v>2377</v>
      </c>
      <c r="AK7" s="93" t="s">
        <v>2378</v>
      </c>
      <c r="AL7" s="93" t="s">
        <v>2379</v>
      </c>
      <c r="AM7" s="96" t="s">
        <v>2380</v>
      </c>
      <c r="AN7" s="96" t="s">
        <v>2381</v>
      </c>
      <c r="AO7" s="93" t="s">
        <v>434</v>
      </c>
    </row>
    <row r="8" spans="1:41" ht="174">
      <c r="A8" s="93">
        <v>7</v>
      </c>
      <c r="B8" s="490" t="s">
        <v>5</v>
      </c>
      <c r="C8" s="556">
        <v>45868</v>
      </c>
      <c r="D8" s="556">
        <v>45881</v>
      </c>
      <c r="E8" s="96" t="s">
        <v>2337</v>
      </c>
      <c r="F8" s="93" t="s">
        <v>315</v>
      </c>
      <c r="G8" s="93" t="s">
        <v>2382</v>
      </c>
      <c r="H8" s="96" t="s">
        <v>2383</v>
      </c>
      <c r="I8" s="490" t="s">
        <v>306</v>
      </c>
      <c r="J8" s="93">
        <v>0</v>
      </c>
      <c r="K8" s="93">
        <v>0</v>
      </c>
      <c r="L8" s="93">
        <v>0</v>
      </c>
      <c r="M8" s="171" t="s">
        <v>320</v>
      </c>
      <c r="N8" s="171" t="s">
        <v>320</v>
      </c>
      <c r="O8" s="171" t="s">
        <v>320</v>
      </c>
      <c r="P8" s="171" t="s">
        <v>320</v>
      </c>
      <c r="Q8" s="171" t="s">
        <v>320</v>
      </c>
      <c r="R8" s="171" t="s">
        <v>320</v>
      </c>
      <c r="S8" s="171" t="s">
        <v>320</v>
      </c>
      <c r="T8" s="171" t="s">
        <v>320</v>
      </c>
      <c r="U8" s="171" t="s">
        <v>320</v>
      </c>
      <c r="V8" s="171" t="s">
        <v>320</v>
      </c>
      <c r="W8" s="171" t="s">
        <v>320</v>
      </c>
      <c r="X8" s="171" t="s">
        <v>320</v>
      </c>
      <c r="Y8" s="171" t="s">
        <v>320</v>
      </c>
      <c r="Z8" s="171" t="s">
        <v>320</v>
      </c>
      <c r="AA8" s="171" t="s">
        <v>320</v>
      </c>
      <c r="AB8" s="171" t="s">
        <v>320</v>
      </c>
      <c r="AC8" s="171" t="s">
        <v>320</v>
      </c>
      <c r="AD8" s="96" t="s">
        <v>2384</v>
      </c>
      <c r="AE8" s="93"/>
      <c r="AF8" s="93"/>
      <c r="AG8" s="96" t="s">
        <v>2385</v>
      </c>
      <c r="AH8" s="93"/>
      <c r="AI8" s="96" t="s">
        <v>2386</v>
      </c>
      <c r="AJ8" s="96" t="s">
        <v>2387</v>
      </c>
      <c r="AK8" s="96" t="s">
        <v>2388</v>
      </c>
      <c r="AL8" s="96" t="s">
        <v>2389</v>
      </c>
      <c r="AM8" s="93" t="s">
        <v>2390</v>
      </c>
      <c r="AN8" s="93" t="s">
        <v>2390</v>
      </c>
      <c r="AO8" s="93" t="s">
        <v>2390</v>
      </c>
    </row>
    <row r="9" spans="1:41" ht="162">
      <c r="A9" s="93">
        <v>8</v>
      </c>
      <c r="B9" s="490" t="s">
        <v>5</v>
      </c>
      <c r="C9" s="556">
        <v>45868</v>
      </c>
      <c r="D9" s="556">
        <v>45881</v>
      </c>
      <c r="E9" s="96" t="s">
        <v>2391</v>
      </c>
      <c r="F9" s="93" t="s">
        <v>313</v>
      </c>
      <c r="G9" s="93">
        <v>49367</v>
      </c>
      <c r="H9" s="581" t="s">
        <v>2392</v>
      </c>
      <c r="I9" s="490" t="s">
        <v>306</v>
      </c>
      <c r="J9" s="93">
        <v>3</v>
      </c>
      <c r="K9" s="93">
        <v>6.5</v>
      </c>
      <c r="L9" s="93">
        <v>26</v>
      </c>
      <c r="M9" s="556">
        <v>45869</v>
      </c>
      <c r="N9" s="556">
        <v>45873</v>
      </c>
      <c r="O9" s="197" t="s">
        <v>12</v>
      </c>
      <c r="P9" s="93" t="s">
        <v>315</v>
      </c>
      <c r="Q9" s="93" t="s">
        <v>316</v>
      </c>
      <c r="R9" s="93" t="s">
        <v>317</v>
      </c>
      <c r="S9" s="93" t="s">
        <v>316</v>
      </c>
      <c r="T9" s="93" t="s">
        <v>320</v>
      </c>
      <c r="U9" s="93" t="s">
        <v>320</v>
      </c>
      <c r="V9" s="93" t="s">
        <v>320</v>
      </c>
      <c r="W9" s="93" t="s">
        <v>320</v>
      </c>
      <c r="X9" s="93" t="s">
        <v>320</v>
      </c>
      <c r="Y9" s="93" t="s">
        <v>320</v>
      </c>
      <c r="Z9" s="93" t="s">
        <v>320</v>
      </c>
      <c r="AA9" s="93" t="s">
        <v>320</v>
      </c>
      <c r="AB9" s="93" t="s">
        <v>316</v>
      </c>
      <c r="AC9" s="93" t="s">
        <v>316</v>
      </c>
      <c r="AD9" s="96" t="s">
        <v>2393</v>
      </c>
      <c r="AE9" s="561" t="s">
        <v>1994</v>
      </c>
      <c r="AF9" s="93"/>
      <c r="AG9" s="96" t="s">
        <v>2394</v>
      </c>
      <c r="AH9" s="93" t="s">
        <v>2395</v>
      </c>
      <c r="AI9" s="96" t="s">
        <v>2396</v>
      </c>
      <c r="AJ9" s="96" t="s">
        <v>2397</v>
      </c>
      <c r="AK9" s="96" t="s">
        <v>2398</v>
      </c>
      <c r="AL9" s="96" t="s">
        <v>2399</v>
      </c>
      <c r="AM9" s="96" t="s">
        <v>2400</v>
      </c>
      <c r="AN9" s="96" t="s">
        <v>2401</v>
      </c>
      <c r="AO9" s="93" t="s">
        <v>697</v>
      </c>
    </row>
    <row r="10" spans="1:41" ht="51.75" customHeight="1">
      <c r="A10" s="93">
        <v>9</v>
      </c>
      <c r="B10" s="490" t="s">
        <v>5</v>
      </c>
      <c r="C10" s="556">
        <v>45868</v>
      </c>
      <c r="D10" s="556">
        <v>45881</v>
      </c>
      <c r="E10" s="96" t="s">
        <v>2337</v>
      </c>
      <c r="F10" s="93" t="s">
        <v>2251</v>
      </c>
      <c r="G10" s="93" t="s">
        <v>2402</v>
      </c>
      <c r="H10" s="96" t="s">
        <v>2257</v>
      </c>
      <c r="I10" s="490" t="s">
        <v>503</v>
      </c>
      <c r="J10" s="93">
        <v>3</v>
      </c>
      <c r="K10" s="93">
        <v>2</v>
      </c>
      <c r="L10" s="93">
        <v>8</v>
      </c>
      <c r="M10" s="93"/>
      <c r="N10" s="93"/>
      <c r="O10" s="93"/>
      <c r="P10" s="93"/>
      <c r="Q10" s="93"/>
      <c r="R10" s="93"/>
      <c r="S10" s="93"/>
      <c r="T10" s="93"/>
      <c r="U10" s="93"/>
      <c r="V10" s="93"/>
      <c r="W10" s="93"/>
      <c r="X10" s="93"/>
      <c r="Y10" s="93"/>
      <c r="Z10" s="93"/>
      <c r="AA10" s="93"/>
      <c r="AB10" s="93"/>
      <c r="AC10" s="93"/>
      <c r="AD10" s="93" t="s">
        <v>2403</v>
      </c>
      <c r="AE10" s="93"/>
      <c r="AF10" s="93"/>
      <c r="AG10" s="93"/>
      <c r="AH10" s="93"/>
      <c r="AI10" s="96" t="s">
        <v>2404</v>
      </c>
      <c r="AJ10" s="96" t="s">
        <v>2405</v>
      </c>
      <c r="AK10" s="96" t="s">
        <v>2406</v>
      </c>
      <c r="AL10" s="93" t="s">
        <v>2407</v>
      </c>
      <c r="AM10" s="93" t="s">
        <v>2407</v>
      </c>
      <c r="AN10" s="93" t="s">
        <v>2408</v>
      </c>
      <c r="AO10" s="93" t="s">
        <v>2408</v>
      </c>
    </row>
    <row r="11" spans="1:41" ht="42.75" customHeight="1">
      <c r="A11" s="118">
        <v>10</v>
      </c>
      <c r="B11" s="561" t="s">
        <v>5</v>
      </c>
      <c r="C11" s="560">
        <v>45868</v>
      </c>
      <c r="D11" s="560">
        <v>45881</v>
      </c>
      <c r="E11" s="119" t="s">
        <v>2391</v>
      </c>
      <c r="F11" s="118" t="s">
        <v>313</v>
      </c>
      <c r="G11" s="118">
        <v>49368</v>
      </c>
      <c r="H11" s="240" t="s">
        <v>2409</v>
      </c>
      <c r="I11" s="561" t="s">
        <v>306</v>
      </c>
      <c r="J11" s="118">
        <v>2</v>
      </c>
      <c r="K11" s="118">
        <v>2</v>
      </c>
      <c r="L11" s="118">
        <v>8</v>
      </c>
      <c r="M11" s="556">
        <v>45874</v>
      </c>
      <c r="N11" s="556">
        <v>45874</v>
      </c>
      <c r="O11" s="197" t="s">
        <v>12</v>
      </c>
      <c r="P11" s="93" t="s">
        <v>315</v>
      </c>
      <c r="Q11" s="93" t="s">
        <v>316</v>
      </c>
      <c r="R11" s="93" t="s">
        <v>317</v>
      </c>
      <c r="S11" s="93" t="s">
        <v>316</v>
      </c>
      <c r="T11" s="93" t="s">
        <v>320</v>
      </c>
      <c r="U11" s="93" t="s">
        <v>320</v>
      </c>
      <c r="V11" s="93" t="s">
        <v>320</v>
      </c>
      <c r="W11" s="93" t="s">
        <v>320</v>
      </c>
      <c r="X11" s="93" t="s">
        <v>320</v>
      </c>
      <c r="Y11" s="93" t="s">
        <v>320</v>
      </c>
      <c r="Z11" s="93" t="s">
        <v>320</v>
      </c>
      <c r="AA11" s="93" t="s">
        <v>320</v>
      </c>
      <c r="AB11" s="93" t="s">
        <v>316</v>
      </c>
      <c r="AC11" s="93" t="s">
        <v>316</v>
      </c>
      <c r="AD11" s="118" t="s">
        <v>2410</v>
      </c>
      <c r="AE11" s="561" t="s">
        <v>423</v>
      </c>
      <c r="AF11" s="118"/>
      <c r="AG11" s="118"/>
      <c r="AH11" s="118"/>
      <c r="AI11" s="118"/>
      <c r="AJ11" s="119" t="s">
        <v>2411</v>
      </c>
      <c r="AK11" s="118" t="s">
        <v>2412</v>
      </c>
      <c r="AL11" s="118" t="s">
        <v>2413</v>
      </c>
      <c r="AM11" s="118" t="s">
        <v>2414</v>
      </c>
      <c r="AN11" s="118" t="s">
        <v>2415</v>
      </c>
      <c r="AO11" s="118" t="s">
        <v>2410</v>
      </c>
    </row>
    <row r="12" spans="1:41" ht="81">
      <c r="A12" s="93">
        <v>11</v>
      </c>
      <c r="B12" s="490" t="s">
        <v>5</v>
      </c>
      <c r="C12" s="556">
        <v>45868</v>
      </c>
      <c r="D12" s="556">
        <v>45881</v>
      </c>
      <c r="E12" s="96" t="s">
        <v>2391</v>
      </c>
      <c r="F12" s="93" t="s">
        <v>315</v>
      </c>
      <c r="G12" s="93" t="s">
        <v>2416</v>
      </c>
      <c r="H12" s="96" t="s">
        <v>2417</v>
      </c>
      <c r="I12" s="490" t="s">
        <v>399</v>
      </c>
      <c r="J12" s="93">
        <v>5</v>
      </c>
      <c r="K12" s="93">
        <v>4</v>
      </c>
      <c r="L12" s="93">
        <v>16</v>
      </c>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6" t="s">
        <v>2418</v>
      </c>
      <c r="AM12" s="96" t="s">
        <v>2419</v>
      </c>
      <c r="AN12" s="93" t="s">
        <v>2420</v>
      </c>
      <c r="AO12" s="93" t="s">
        <v>2420</v>
      </c>
    </row>
    <row r="13" spans="1:41" ht="69">
      <c r="A13" s="93">
        <v>12</v>
      </c>
      <c r="B13" s="490" t="s">
        <v>5</v>
      </c>
      <c r="C13" s="556">
        <v>45868</v>
      </c>
      <c r="D13" s="556">
        <v>45881</v>
      </c>
      <c r="E13" s="96" t="s">
        <v>2391</v>
      </c>
      <c r="F13" s="93" t="s">
        <v>317</v>
      </c>
      <c r="G13" s="93" t="s">
        <v>2271</v>
      </c>
      <c r="H13" s="93" t="s">
        <v>2421</v>
      </c>
      <c r="I13" s="490" t="s">
        <v>503</v>
      </c>
      <c r="J13" s="93">
        <v>0</v>
      </c>
      <c r="K13" s="93"/>
      <c r="L13" s="93">
        <v>8</v>
      </c>
      <c r="M13" s="556">
        <v>45874</v>
      </c>
      <c r="N13" s="171">
        <v>45877</v>
      </c>
      <c r="O13" s="93" t="s">
        <v>12</v>
      </c>
      <c r="P13" s="93" t="s">
        <v>315</v>
      </c>
      <c r="Q13" s="93" t="s">
        <v>316</v>
      </c>
      <c r="R13" s="93" t="s">
        <v>320</v>
      </c>
      <c r="S13" s="93" t="s">
        <v>320</v>
      </c>
      <c r="T13" s="157" t="s">
        <v>2422</v>
      </c>
      <c r="U13" s="171">
        <v>45938</v>
      </c>
      <c r="V13" s="171">
        <v>45938</v>
      </c>
      <c r="W13" s="93" t="s">
        <v>2423</v>
      </c>
      <c r="X13" s="93" t="s">
        <v>316</v>
      </c>
      <c r="Y13" s="93" t="s">
        <v>319</v>
      </c>
      <c r="Z13" s="93" t="s">
        <v>320</v>
      </c>
      <c r="AA13" s="93" t="s">
        <v>320</v>
      </c>
      <c r="AB13" s="93" t="s">
        <v>316</v>
      </c>
      <c r="AC13" s="93" t="s">
        <v>316</v>
      </c>
      <c r="AD13" s="96" t="s">
        <v>2424</v>
      </c>
      <c r="AE13" s="93"/>
      <c r="AF13" s="93"/>
      <c r="AG13" s="93"/>
      <c r="AH13" s="93"/>
      <c r="AI13" s="93"/>
      <c r="AJ13" s="93"/>
      <c r="AK13" s="93"/>
      <c r="AL13" s="96" t="s">
        <v>2425</v>
      </c>
      <c r="AM13" s="96" t="s">
        <v>2426</v>
      </c>
      <c r="AN13" s="93" t="s">
        <v>2427</v>
      </c>
      <c r="AO13" s="93" t="s">
        <v>2428</v>
      </c>
    </row>
    <row r="14" spans="1:41" ht="81">
      <c r="A14" s="118">
        <v>13</v>
      </c>
      <c r="B14" s="561" t="s">
        <v>5</v>
      </c>
      <c r="C14" s="560">
        <v>45868</v>
      </c>
      <c r="D14" s="560">
        <v>45881</v>
      </c>
      <c r="E14" s="119" t="s">
        <v>2337</v>
      </c>
      <c r="F14" s="118" t="s">
        <v>315</v>
      </c>
      <c r="G14" s="118">
        <v>49549</v>
      </c>
      <c r="H14" s="119" t="s">
        <v>2383</v>
      </c>
      <c r="I14" s="561" t="s">
        <v>306</v>
      </c>
      <c r="J14" s="118">
        <v>5</v>
      </c>
      <c r="K14" s="118">
        <v>10.5</v>
      </c>
      <c r="L14" s="118">
        <v>42</v>
      </c>
      <c r="M14" s="556">
        <v>45869</v>
      </c>
      <c r="N14" s="556">
        <v>45875</v>
      </c>
      <c r="O14" s="118"/>
      <c r="P14" s="118"/>
      <c r="Q14" s="118"/>
      <c r="R14" s="118"/>
      <c r="S14" s="118"/>
      <c r="T14" s="569" t="s">
        <v>2429</v>
      </c>
      <c r="U14" s="171">
        <v>45938</v>
      </c>
      <c r="V14" s="171">
        <v>45938</v>
      </c>
      <c r="W14" s="93" t="s">
        <v>2423</v>
      </c>
      <c r="X14" s="93" t="s">
        <v>316</v>
      </c>
      <c r="Y14" s="93" t="s">
        <v>319</v>
      </c>
      <c r="Z14" s="93" t="s">
        <v>320</v>
      </c>
      <c r="AA14" s="93" t="s">
        <v>320</v>
      </c>
      <c r="AB14" s="118" t="s">
        <v>316</v>
      </c>
      <c r="AC14" s="118" t="s">
        <v>316</v>
      </c>
      <c r="AD14" s="119" t="s">
        <v>2430</v>
      </c>
      <c r="AE14" s="118"/>
      <c r="AF14" s="118"/>
      <c r="AG14" s="118"/>
      <c r="AH14" s="118"/>
      <c r="AI14" s="118"/>
      <c r="AJ14" s="118"/>
      <c r="AK14" s="118"/>
      <c r="AL14" s="118"/>
      <c r="AM14" s="119" t="s">
        <v>2431</v>
      </c>
      <c r="AN14" s="118" t="s">
        <v>576</v>
      </c>
      <c r="AO14" s="118" t="s">
        <v>697</v>
      </c>
    </row>
    <row r="15" spans="1:41" s="93" customFormat="1" ht="105" customHeight="1">
      <c r="A15" s="118">
        <v>14</v>
      </c>
      <c r="B15" s="561" t="s">
        <v>5</v>
      </c>
      <c r="C15" s="560">
        <v>45868</v>
      </c>
      <c r="D15" s="560">
        <v>45881</v>
      </c>
      <c r="E15" s="119" t="s">
        <v>2337</v>
      </c>
      <c r="F15" s="118" t="s">
        <v>2432</v>
      </c>
      <c r="G15" s="118" t="s">
        <v>2235</v>
      </c>
      <c r="H15" s="119" t="s">
        <v>2236</v>
      </c>
      <c r="I15" s="561" t="s">
        <v>399</v>
      </c>
      <c r="J15" s="118">
        <v>0</v>
      </c>
      <c r="K15" s="118"/>
      <c r="L15" s="118">
        <v>8</v>
      </c>
      <c r="M15" s="556">
        <v>45880</v>
      </c>
      <c r="N15" s="118"/>
      <c r="O15" s="118"/>
      <c r="P15" s="118"/>
      <c r="Q15" s="118"/>
      <c r="R15" s="118"/>
      <c r="S15" s="118"/>
      <c r="T15" s="118"/>
      <c r="U15" s="118"/>
      <c r="V15" s="118"/>
      <c r="W15" s="118"/>
      <c r="X15" s="118"/>
      <c r="Y15" s="118"/>
      <c r="Z15" s="118"/>
      <c r="AA15" s="118"/>
      <c r="AB15" s="118"/>
      <c r="AC15" s="118"/>
      <c r="AD15" s="119" t="s">
        <v>2433</v>
      </c>
      <c r="AE15" s="118"/>
      <c r="AF15" s="118"/>
      <c r="AG15" s="118"/>
      <c r="AH15" s="118"/>
      <c r="AI15" s="118"/>
      <c r="AJ15" s="118"/>
      <c r="AK15" s="118"/>
      <c r="AL15" s="118"/>
      <c r="AM15" s="118"/>
      <c r="AN15" s="119" t="s">
        <v>2434</v>
      </c>
      <c r="AO15" s="119" t="s">
        <v>2433</v>
      </c>
    </row>
    <row r="16" spans="1:41" ht="35.25">
      <c r="A16" s="93">
        <v>15</v>
      </c>
      <c r="B16" s="490" t="s">
        <v>5</v>
      </c>
      <c r="C16" s="556">
        <v>45868</v>
      </c>
      <c r="D16" s="556">
        <v>45881</v>
      </c>
      <c r="E16" s="96" t="s">
        <v>2337</v>
      </c>
      <c r="F16" s="93" t="s">
        <v>2435</v>
      </c>
      <c r="G16" s="129" t="s">
        <v>2168</v>
      </c>
      <c r="H16" s="96" t="s">
        <v>2436</v>
      </c>
      <c r="I16" s="490" t="s">
        <v>399</v>
      </c>
      <c r="J16" s="93">
        <v>0</v>
      </c>
      <c r="K16" s="93"/>
      <c r="L16" s="93">
        <v>7</v>
      </c>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t="s">
        <v>2437</v>
      </c>
    </row>
    <row r="17" spans="1:41" ht="46.5">
      <c r="A17" s="93">
        <v>16</v>
      </c>
      <c r="B17" s="490" t="s">
        <v>5</v>
      </c>
      <c r="C17" s="556">
        <v>45868</v>
      </c>
      <c r="D17" s="556">
        <v>45881</v>
      </c>
      <c r="E17" s="96" t="s">
        <v>2337</v>
      </c>
      <c r="F17" s="93" t="s">
        <v>2435</v>
      </c>
      <c r="G17" s="129">
        <v>49013</v>
      </c>
      <c r="H17" s="96" t="s">
        <v>2438</v>
      </c>
      <c r="I17" s="490" t="s">
        <v>399</v>
      </c>
      <c r="J17" s="93">
        <v>3</v>
      </c>
      <c r="K17" s="93">
        <v>0.625</v>
      </c>
      <c r="L17" s="93">
        <v>2.5</v>
      </c>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t="s">
        <v>2439</v>
      </c>
    </row>
  </sheetData>
  <autoFilter ref="A1:AO17" xr:uid="{A3ABA62E-CD59-437E-8648-3024603D55CB}">
    <filterColumn colId="4">
      <filters>
        <filter val="MSB Accounting 15.1 Sprint 1"/>
      </filters>
    </filterColumn>
  </autoFilter>
  <conditionalFormatting sqref="J1">
    <cfRule type="containsText" dxfId="554" priority="10" operator="containsText" text="Closed">
      <formula>NOT(ISERROR(SEARCH("Closed",J1)))</formula>
    </cfRule>
    <cfRule type="containsText" dxfId="553" priority="11" operator="containsText" text="Open">
      <formula>NOT(ISERROR(SEARCH("Open",J1)))</formula>
    </cfRule>
    <cfRule type="containsText" dxfId="552" priority="12" operator="containsText" text="Inprogress">
      <formula>NOT(ISERROR(SEARCH("Inprogress",J1)))</formula>
    </cfRule>
  </conditionalFormatting>
  <conditionalFormatting sqref="I2:I5">
    <cfRule type="containsText" dxfId="551" priority="7" operator="containsText" text="Closed">
      <formula>NOT(ISERROR(SEARCH("Closed",I2)))</formula>
    </cfRule>
    <cfRule type="containsText" dxfId="550" priority="8" operator="containsText" text="Open">
      <formula>NOT(ISERROR(SEARCH("Open",I2)))</formula>
    </cfRule>
    <cfRule type="containsText" dxfId="549" priority="9" operator="containsText" text="Inprogress">
      <formula>NOT(ISERROR(SEARCH("Inprogress",I2)))</formula>
    </cfRule>
  </conditionalFormatting>
  <conditionalFormatting sqref="I6">
    <cfRule type="containsText" dxfId="548" priority="4" operator="containsText" text="Closed">
      <formula>NOT(ISERROR(SEARCH("Closed",I6)))</formula>
    </cfRule>
    <cfRule type="containsText" dxfId="547" priority="5" operator="containsText" text="Open">
      <formula>NOT(ISERROR(SEARCH("Open",I6)))</formula>
    </cfRule>
    <cfRule type="containsText" dxfId="546" priority="6" operator="containsText" text="Inprogress">
      <formula>NOT(ISERROR(SEARCH("Inprogress",I6)))</formula>
    </cfRule>
  </conditionalFormatting>
  <conditionalFormatting sqref="I7:I17">
    <cfRule type="containsText" dxfId="545" priority="1" operator="containsText" text="Closed">
      <formula>NOT(ISERROR(SEARCH("Closed",I7)))</formula>
    </cfRule>
    <cfRule type="containsText" dxfId="544" priority="2" operator="containsText" text="Open">
      <formula>NOT(ISERROR(SEARCH("Open",I7)))</formula>
    </cfRule>
    <cfRule type="containsText" dxfId="543" priority="3" operator="containsText" text="Inprogress">
      <formula>NOT(ISERROR(SEARCH("Inprogress",I7)))</formula>
    </cfRule>
  </conditionalFormatting>
  <dataValidations count="11">
    <dataValidation type="list" showErrorMessage="1" sqref="P1" xr:uid="{FE1A5AB0-916E-44D6-AB21-39E4FD0AF5EC}">
      <formula1>"Qadir,Rijo,Karthik,Sushmitha,None,TBD"</formula1>
    </dataValidation>
    <dataValidation type="list" showErrorMessage="1" sqref="R1" xr:uid="{3A28D37B-1BFD-4882-9A10-0944BA83BE53}">
      <formula1>"Qadir,Rijo,Karthik,None,TBD"</formula1>
    </dataValidation>
    <dataValidation type="list" showErrorMessage="1" sqref="Q1" xr:uid="{9E96EBD0-7FD5-4358-9D63-6732F0FA5DB0}">
      <formula1>"Pass,Fail(BacktoDev),DB Script tests in QA DB,TBD"</formula1>
    </dataValidation>
    <dataValidation type="list" showErrorMessage="1" sqref="AC1" xr:uid="{DBA5F2C0-9B3B-401E-9E2A-10F2D621D016}">
      <formula1>"Pending-Waiting for Customer confirmation, Approved-Satisified AC,Not Approved-New minor changes requested(Back to Dev),NA,TBD"</formula1>
    </dataValidation>
    <dataValidation type="list" showErrorMessage="1" sqref="AB1" xr:uid="{250DF896-E16D-4693-9B35-3D0C0600C576}">
      <formula1>"Approved-Satisified AC,Not Approved(Back to Dev),NA,TBD"</formula1>
    </dataValidation>
    <dataValidation type="list" showErrorMessage="1" sqref="S1:T1 X1 AA1" xr:uid="{9D187573-9E27-4CB0-BD48-4D6C5C2ACA65}">
      <formula1>"No issues found,Issues observed(BacktoDev),DB Script tests in QA DB,NA,TBD"</formula1>
    </dataValidation>
    <dataValidation type="list" showErrorMessage="1" sqref="Y1:Z1 W1 O1" xr:uid="{8EE16D27-45CC-49D1-83ED-A5913ACD10AE}">
      <formula1>"Open,Inprogress,Completed,TBD,NA"</formula1>
    </dataValidation>
    <dataValidation allowBlank="1" showInputMessage="1" showErrorMessage="1" sqref="AD1:AE1" xr:uid="{001EB684-A3EA-4E12-BB35-4BD96CA736DD}"/>
    <dataValidation showErrorMessage="1" sqref="I1" xr:uid="{90B5D42E-722C-4F9F-BE78-0B9D0B3A2A6C}"/>
    <dataValidation type="list" allowBlank="1" showErrorMessage="1" sqref="J1" xr:uid="{82B9F036-A4BE-4DF1-8FC3-2F3A837AF231}">
      <formula1>"Open,Inprogress,Closed"</formula1>
    </dataValidation>
    <dataValidation type="list" allowBlank="1" showInputMessage="1" showErrorMessage="1" sqref="AE5:AE6 AE9 AE11" xr:uid="{2D10D505-88C5-4A77-BC90-CCF955D9A267}">
      <formula1>"Exceeds Expectation,Meets Expectation,Needs improvements"</formula1>
    </dataValidation>
  </dataValidations>
  <hyperlinks>
    <hyperlink ref="T4" r:id="rId1" xr:uid="{CB125E77-5C2F-403F-B12A-4E513D4B0998}"/>
    <hyperlink ref="T3" r:id="rId2" xr:uid="{2051ADD9-BF09-473A-9431-0747AA74E39C}"/>
    <hyperlink ref="T13" r:id="rId3" xr:uid="{90820BB5-4D92-4E29-ABC5-9B305B7EF54E}"/>
    <hyperlink ref="T14" r:id="rId4" xr:uid="{45C6DF23-D7B9-4C08-BDA4-09669A30FEB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5D45FA9-C063-476F-84C4-9CF7AA175F64}">
          <x14:formula1>
            <xm:f>Settings!$C$3:$C$20</xm:f>
          </x14:formula1>
          <xm:sqref>I2:I17</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29479-E808-4E6F-8E07-62E5424791BF}">
  <dimension ref="A1:AB18"/>
  <sheetViews>
    <sheetView workbookViewId="0">
      <selection activeCell="G5" sqref="G5"/>
    </sheetView>
  </sheetViews>
  <sheetFormatPr defaultRowHeight="12.75"/>
  <cols>
    <col min="2" max="2" width="13.5703125" customWidth="1"/>
    <col min="3" max="3" width="11.28515625" customWidth="1"/>
    <col min="4" max="4" width="10.140625" customWidth="1"/>
    <col min="7" max="7" width="37" customWidth="1"/>
    <col min="12" max="12" width="16.7109375" customWidth="1"/>
    <col min="13" max="13" width="41.42578125" customWidth="1"/>
  </cols>
  <sheetData>
    <row r="1" spans="1:28" s="282" customFormat="1" ht="27">
      <c r="A1" s="586" t="s">
        <v>266</v>
      </c>
      <c r="B1" s="108" t="s">
        <v>10</v>
      </c>
      <c r="C1" s="280" t="s">
        <v>267</v>
      </c>
      <c r="D1" s="280" t="s">
        <v>268</v>
      </c>
      <c r="E1" s="108" t="s">
        <v>269</v>
      </c>
      <c r="F1" s="404" t="s">
        <v>270</v>
      </c>
      <c r="G1" s="404" t="s">
        <v>271</v>
      </c>
      <c r="H1" s="108" t="s">
        <v>272</v>
      </c>
      <c r="I1" s="108" t="s">
        <v>273</v>
      </c>
      <c r="J1" s="108" t="s">
        <v>274</v>
      </c>
      <c r="K1" s="108" t="s">
        <v>275</v>
      </c>
      <c r="L1" s="332" t="s">
        <v>276</v>
      </c>
      <c r="M1" s="405" t="s">
        <v>277</v>
      </c>
      <c r="N1" s="587"/>
      <c r="O1" s="587"/>
      <c r="P1" s="587"/>
      <c r="Q1" s="587"/>
      <c r="R1" s="587"/>
      <c r="S1" s="587"/>
      <c r="T1" s="587"/>
      <c r="U1" s="587"/>
      <c r="V1" s="587"/>
      <c r="W1" s="587"/>
      <c r="X1" s="587"/>
      <c r="Y1" s="587"/>
      <c r="Z1" s="587"/>
      <c r="AA1" s="587"/>
      <c r="AB1" s="587"/>
    </row>
    <row r="2" spans="1:28" s="150" customFormat="1" ht="35.25">
      <c r="A2" s="147">
        <v>1</v>
      </c>
      <c r="B2" s="588" t="s">
        <v>2440</v>
      </c>
      <c r="C2" s="147" t="s">
        <v>2441</v>
      </c>
      <c r="D2" s="590"/>
      <c r="E2" s="219" t="s">
        <v>315</v>
      </c>
      <c r="F2" s="512" t="s">
        <v>522</v>
      </c>
      <c r="G2" s="64" t="s">
        <v>2383</v>
      </c>
      <c r="H2" s="165" t="s">
        <v>531</v>
      </c>
      <c r="I2" s="512" t="s">
        <v>518</v>
      </c>
      <c r="J2" s="165" t="s">
        <v>519</v>
      </c>
      <c r="K2" s="512" t="s">
        <v>1205</v>
      </c>
      <c r="L2" s="62" t="s">
        <v>1325</v>
      </c>
      <c r="M2" s="147" t="s">
        <v>2442</v>
      </c>
    </row>
    <row r="3" spans="1:28" s="150" customFormat="1" ht="35.25">
      <c r="A3" s="147">
        <v>2</v>
      </c>
      <c r="B3" s="588" t="s">
        <v>2440</v>
      </c>
      <c r="C3" s="589">
        <v>48385</v>
      </c>
      <c r="D3" s="590"/>
      <c r="E3" s="147" t="s">
        <v>2251</v>
      </c>
      <c r="F3" s="512" t="s">
        <v>1668</v>
      </c>
      <c r="G3" s="147" t="s">
        <v>2443</v>
      </c>
      <c r="H3" s="165" t="s">
        <v>1670</v>
      </c>
      <c r="I3" s="512" t="s">
        <v>518</v>
      </c>
      <c r="J3" s="165" t="s">
        <v>525</v>
      </c>
      <c r="K3" s="512" t="s">
        <v>1205</v>
      </c>
      <c r="L3" s="62" t="s">
        <v>526</v>
      </c>
      <c r="M3" s="147" t="s">
        <v>2444</v>
      </c>
    </row>
    <row r="4" spans="1:28" s="150" customFormat="1" ht="46.5">
      <c r="A4" s="190">
        <v>3</v>
      </c>
      <c r="B4" s="594" t="s">
        <v>2440</v>
      </c>
      <c r="C4" s="563" t="s">
        <v>2271</v>
      </c>
      <c r="D4" s="595"/>
      <c r="E4" s="190"/>
      <c r="F4" s="596" t="s">
        <v>522</v>
      </c>
      <c r="G4" s="189" t="s">
        <v>2331</v>
      </c>
      <c r="H4" s="202" t="s">
        <v>1670</v>
      </c>
      <c r="I4" s="596" t="s">
        <v>518</v>
      </c>
      <c r="J4" s="202" t="s">
        <v>519</v>
      </c>
      <c r="K4" s="596" t="s">
        <v>1205</v>
      </c>
      <c r="L4" s="597" t="s">
        <v>529</v>
      </c>
      <c r="M4" s="189" t="s">
        <v>2445</v>
      </c>
    </row>
    <row r="5" spans="1:28" s="150" customFormat="1" ht="115.5" customHeight="1">
      <c r="A5" s="197">
        <v>4</v>
      </c>
      <c r="B5" s="102" t="s">
        <v>2440</v>
      </c>
      <c r="C5" s="557" t="s">
        <v>2235</v>
      </c>
      <c r="D5" s="591"/>
      <c r="E5" s="197" t="s">
        <v>313</v>
      </c>
      <c r="F5" s="592" t="s">
        <v>522</v>
      </c>
      <c r="G5" s="77" t="s">
        <v>2236</v>
      </c>
      <c r="H5" s="102" t="s">
        <v>1670</v>
      </c>
      <c r="I5" s="592" t="s">
        <v>518</v>
      </c>
      <c r="J5" s="102" t="s">
        <v>519</v>
      </c>
      <c r="K5" s="592" t="s">
        <v>1205</v>
      </c>
      <c r="L5" s="74" t="s">
        <v>529</v>
      </c>
      <c r="M5" s="593" t="s">
        <v>2237</v>
      </c>
    </row>
    <row r="6" spans="1:28" s="150" customFormat="1" ht="81">
      <c r="A6" s="188">
        <v>5</v>
      </c>
      <c r="B6" s="102" t="s">
        <v>2440</v>
      </c>
      <c r="C6" s="589" t="s">
        <v>2168</v>
      </c>
      <c r="D6" s="590"/>
      <c r="E6" s="188" t="s">
        <v>317</v>
      </c>
      <c r="F6" s="598" t="s">
        <v>115</v>
      </c>
      <c r="G6" s="373" t="s">
        <v>2238</v>
      </c>
      <c r="H6" s="513" t="s">
        <v>531</v>
      </c>
      <c r="I6" s="598" t="s">
        <v>518</v>
      </c>
      <c r="J6" s="513" t="s">
        <v>519</v>
      </c>
      <c r="K6" s="598" t="s">
        <v>1205</v>
      </c>
      <c r="L6" s="68" t="s">
        <v>1186</v>
      </c>
      <c r="M6" s="373" t="s">
        <v>2239</v>
      </c>
    </row>
    <row r="7" spans="1:28" s="150" customFormat="1">
      <c r="A7" s="147"/>
      <c r="B7" s="167"/>
      <c r="C7" s="510"/>
      <c r="D7" s="511"/>
      <c r="E7" s="147"/>
      <c r="F7" s="512"/>
      <c r="G7" s="146"/>
      <c r="H7" s="165"/>
      <c r="I7" s="592"/>
      <c r="J7" s="102"/>
      <c r="K7" s="592"/>
      <c r="L7" s="62"/>
      <c r="M7" s="147"/>
    </row>
    <row r="8" spans="1:28" s="150" customFormat="1">
      <c r="A8" s="147"/>
      <c r="B8" s="167"/>
      <c r="C8" s="510"/>
      <c r="D8" s="511"/>
      <c r="E8" s="147"/>
      <c r="F8" s="512"/>
      <c r="G8" s="146"/>
      <c r="H8" s="165"/>
      <c r="I8" s="512"/>
      <c r="J8" s="165"/>
      <c r="K8" s="512"/>
      <c r="L8" s="62"/>
      <c r="M8" s="147"/>
    </row>
    <row r="9" spans="1:28" s="150" customFormat="1">
      <c r="A9" s="147"/>
      <c r="B9" s="167"/>
      <c r="C9" s="510"/>
      <c r="D9" s="511"/>
      <c r="E9" s="147"/>
      <c r="F9" s="512"/>
      <c r="G9" s="146"/>
      <c r="H9" s="165"/>
      <c r="I9" s="512"/>
      <c r="J9" s="165"/>
      <c r="K9" s="512"/>
      <c r="L9" s="62"/>
      <c r="M9" s="147"/>
    </row>
    <row r="10" spans="1:28" s="150" customFormat="1">
      <c r="A10" s="147"/>
      <c r="B10" s="167"/>
      <c r="C10" s="510"/>
      <c r="D10" s="511"/>
      <c r="E10" s="147"/>
      <c r="F10" s="512"/>
      <c r="G10" s="146"/>
      <c r="H10" s="165"/>
      <c r="I10" s="512"/>
      <c r="J10" s="165"/>
      <c r="K10" s="512"/>
      <c r="L10" s="62"/>
      <c r="M10" s="147"/>
    </row>
    <row r="11" spans="1:28" s="150" customFormat="1">
      <c r="A11" s="147"/>
      <c r="B11" s="167"/>
      <c r="C11" s="510"/>
      <c r="D11" s="511"/>
      <c r="E11" s="147"/>
      <c r="F11" s="512"/>
      <c r="G11" s="146"/>
      <c r="H11" s="165"/>
      <c r="I11" s="512"/>
      <c r="J11" s="165"/>
      <c r="K11" s="512"/>
      <c r="L11" s="62"/>
      <c r="M11" s="147"/>
    </row>
    <row r="12" spans="1:28" s="150" customFormat="1">
      <c r="A12" s="147"/>
      <c r="B12" s="167"/>
      <c r="C12" s="510"/>
      <c r="D12" s="511"/>
      <c r="E12" s="147"/>
      <c r="F12" s="512"/>
      <c r="G12" s="146"/>
      <c r="H12" s="165"/>
      <c r="I12" s="512"/>
      <c r="J12" s="165"/>
      <c r="K12" s="512"/>
      <c r="L12" s="62"/>
      <c r="M12" s="147"/>
    </row>
    <row r="13" spans="1:28" s="150" customFormat="1">
      <c r="A13" s="147"/>
      <c r="B13" s="167"/>
      <c r="C13" s="510"/>
      <c r="D13" s="511"/>
      <c r="E13" s="147"/>
      <c r="F13" s="512"/>
      <c r="G13" s="146"/>
      <c r="H13" s="165"/>
      <c r="I13" s="512"/>
      <c r="J13" s="165"/>
      <c r="K13" s="512"/>
      <c r="L13" s="62"/>
      <c r="M13" s="147"/>
    </row>
    <row r="14" spans="1:28" s="150" customFormat="1">
      <c r="A14" s="147"/>
      <c r="B14" s="167"/>
      <c r="C14" s="510"/>
      <c r="D14" s="511"/>
      <c r="E14" s="147"/>
      <c r="F14" s="512"/>
      <c r="G14" s="146"/>
      <c r="H14" s="165"/>
      <c r="I14" s="512"/>
      <c r="J14" s="165"/>
      <c r="K14" s="512"/>
      <c r="L14" s="62"/>
      <c r="M14" s="147"/>
    </row>
    <row r="15" spans="1:28" s="150" customFormat="1">
      <c r="A15" s="147"/>
      <c r="B15" s="167"/>
      <c r="C15" s="510"/>
      <c r="D15" s="511"/>
      <c r="E15" s="147"/>
      <c r="F15" s="512"/>
      <c r="G15" s="146"/>
      <c r="H15" s="165"/>
      <c r="I15" s="512"/>
      <c r="J15" s="165"/>
      <c r="K15" s="512"/>
      <c r="L15" s="62"/>
      <c r="M15" s="147"/>
    </row>
    <row r="16" spans="1:28" s="150" customFormat="1">
      <c r="A16" s="147"/>
      <c r="B16" s="167"/>
      <c r="C16" s="510"/>
      <c r="D16" s="511"/>
      <c r="E16" s="147"/>
      <c r="F16" s="512"/>
      <c r="G16" s="146"/>
      <c r="H16" s="165"/>
      <c r="I16" s="512"/>
      <c r="J16" s="165"/>
      <c r="K16" s="512"/>
      <c r="L16" s="62"/>
      <c r="M16" s="147"/>
    </row>
    <row r="17" spans="1:13" s="150" customFormat="1">
      <c r="A17" s="147"/>
      <c r="B17" s="167"/>
      <c r="C17" s="510"/>
      <c r="D17" s="511"/>
      <c r="E17" s="147"/>
      <c r="F17" s="512"/>
      <c r="G17" s="146"/>
      <c r="H17" s="165"/>
      <c r="I17" s="512"/>
      <c r="J17" s="165"/>
      <c r="K17" s="512"/>
      <c r="L17" s="62"/>
      <c r="M17" s="147"/>
    </row>
    <row r="18" spans="1:13" s="150" customFormat="1"/>
  </sheetData>
  <dataValidations count="5">
    <dataValidation type="list" allowBlank="1" showErrorMessage="1" sqref="K2:K17" xr:uid="{CD9ECF15-2A92-4B78-850C-B8487C66A581}">
      <formula1>"Open,Inprogress,Closed/Rejected"</formula1>
    </dataValidation>
    <dataValidation type="list" allowBlank="1" showErrorMessage="1" sqref="I2:I17" xr:uid="{26EB7D9A-D2DB-4650-AFA1-32FB83EDAB3F}">
      <formula1>"Manual, Automation"</formula1>
    </dataValidation>
    <dataValidation type="list" allowBlank="1" showErrorMessage="1" sqref="H2:H17" xr:uid="{F25DA288-6AFE-4A65-963C-8FD79B4C0910}">
      <formula1>"Minor,Significant,Major"</formula1>
    </dataValidation>
    <dataValidation type="list" allowBlank="1" showErrorMessage="1" sqref="J2:J17" xr:uid="{DE4A0A13-A8DD-4BB6-8CCA-A4189BA625A6}">
      <formula1>"Internal,External"</formula1>
    </dataValidation>
    <dataValidation type="list" allowBlank="1" showErrorMessage="1" sqref="F2:F17" xr:uid="{C850771C-1133-4E00-B8A1-A82F829C02E0}">
      <formula1>"Bounceback/Sub-Defect,Defect,None"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33989D6F-649B-4B3D-ABE6-14BEABEEF1A1}">
          <x14:formula1>
            <xm:f>Details!$A$2:$A$10</xm:f>
          </x14:formula1>
          <xm:sqref>L2:L17</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3C5A-E72B-48D0-985A-882CEFF6995F}">
  <dimension ref="A1:BJ19"/>
  <sheetViews>
    <sheetView workbookViewId="0">
      <pane ySplit="1" topLeftCell="J14" activePane="bottomLeft" state="frozen"/>
      <selection pane="bottomLeft" activeCell="G22" sqref="G22"/>
    </sheetView>
  </sheetViews>
  <sheetFormatPr defaultRowHeight="12.75"/>
  <cols>
    <col min="2" max="2" width="10.42578125" customWidth="1"/>
    <col min="3" max="3" width="12" customWidth="1"/>
    <col min="4" max="4" width="12.7109375" customWidth="1"/>
    <col min="5" max="5" width="15.28515625" customWidth="1"/>
    <col min="6" max="6" width="10.85546875" customWidth="1"/>
    <col min="7" max="7" width="11.140625" customWidth="1"/>
    <col min="8" max="8" width="25.5703125" customWidth="1"/>
    <col min="9" max="9" width="20.5703125" customWidth="1"/>
    <col min="13" max="13" width="11.140625" customWidth="1"/>
    <col min="14" max="14" width="9.42578125" bestFit="1" customWidth="1"/>
    <col min="15" max="15" width="10.5703125" customWidth="1"/>
    <col min="19" max="19" width="19.85546875" customWidth="1"/>
    <col min="20" max="20" width="26.7109375" style="100" customWidth="1"/>
    <col min="21" max="22" width="9.42578125" bestFit="1" customWidth="1"/>
    <col min="23" max="23" width="10.7109375" customWidth="1"/>
    <col min="29" max="29" width="26.7109375" customWidth="1"/>
    <col min="30" max="30" width="28.28515625" customWidth="1"/>
    <col min="31" max="32" width="16.28515625" customWidth="1"/>
    <col min="33" max="33" width="21.7109375" customWidth="1"/>
    <col min="34" max="34" width="16.7109375" customWidth="1"/>
    <col min="35" max="35" width="20.140625" customWidth="1"/>
    <col min="36" max="36" width="23.28515625" customWidth="1"/>
    <col min="37" max="37" width="16.85546875" customWidth="1"/>
    <col min="38" max="38" width="14.7109375" customWidth="1"/>
    <col min="39" max="39" width="24.7109375" style="100" customWidth="1"/>
    <col min="40" max="40" width="13.42578125" customWidth="1"/>
    <col min="41" max="41" width="13.7109375" customWidth="1"/>
  </cols>
  <sheetData>
    <row r="1" spans="1:62"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284</v>
      </c>
      <c r="N1" s="247" t="s">
        <v>285</v>
      </c>
      <c r="O1" s="247" t="s">
        <v>286</v>
      </c>
      <c r="P1" s="247" t="s">
        <v>287</v>
      </c>
      <c r="Q1" s="247" t="s">
        <v>288</v>
      </c>
      <c r="R1" s="247" t="s">
        <v>289</v>
      </c>
      <c r="S1" s="247" t="s">
        <v>290</v>
      </c>
      <c r="T1" s="247" t="s">
        <v>291</v>
      </c>
      <c r="U1" s="516" t="s">
        <v>292</v>
      </c>
      <c r="V1" s="516" t="s">
        <v>293</v>
      </c>
      <c r="W1" s="247" t="s">
        <v>294</v>
      </c>
      <c r="X1" s="247" t="s">
        <v>295</v>
      </c>
      <c r="Y1" s="247" t="s">
        <v>296</v>
      </c>
      <c r="Z1" s="516" t="s">
        <v>297</v>
      </c>
      <c r="AA1" s="247" t="s">
        <v>298</v>
      </c>
      <c r="AB1" s="247" t="s">
        <v>299</v>
      </c>
      <c r="AC1" s="247" t="s">
        <v>300</v>
      </c>
      <c r="AD1" s="517" t="s">
        <v>277</v>
      </c>
      <c r="AE1" s="247" t="s">
        <v>301</v>
      </c>
      <c r="AF1" s="518">
        <v>45854</v>
      </c>
      <c r="AG1" s="518">
        <v>45855</v>
      </c>
      <c r="AH1" s="518">
        <v>45856</v>
      </c>
      <c r="AI1" s="518">
        <v>45859</v>
      </c>
      <c r="AJ1" s="518">
        <v>45860</v>
      </c>
      <c r="AK1" s="518">
        <v>45861</v>
      </c>
      <c r="AL1" s="518">
        <v>45862</v>
      </c>
      <c r="AM1" s="518">
        <v>45863</v>
      </c>
      <c r="AN1" s="518">
        <v>45866</v>
      </c>
      <c r="AO1" s="518">
        <v>45867</v>
      </c>
    </row>
    <row r="2" spans="1:62" ht="123.75" customHeight="1">
      <c r="A2" s="93">
        <v>1</v>
      </c>
      <c r="B2" s="490" t="s">
        <v>5</v>
      </c>
      <c r="C2" s="556">
        <v>45854</v>
      </c>
      <c r="D2" s="556">
        <v>45867</v>
      </c>
      <c r="E2" s="77" t="s">
        <v>2446</v>
      </c>
      <c r="F2" s="93" t="s">
        <v>315</v>
      </c>
      <c r="G2" s="571" t="s">
        <v>2447</v>
      </c>
      <c r="H2" s="96" t="s">
        <v>2448</v>
      </c>
      <c r="I2" s="490" t="s">
        <v>306</v>
      </c>
      <c r="J2" s="93">
        <v>3</v>
      </c>
      <c r="K2" s="93">
        <v>8.5</v>
      </c>
      <c r="L2" s="93">
        <v>34</v>
      </c>
      <c r="M2" s="171">
        <v>45854</v>
      </c>
      <c r="N2" s="171">
        <v>45863</v>
      </c>
      <c r="O2" s="93" t="s">
        <v>319</v>
      </c>
      <c r="P2" s="93" t="s">
        <v>1976</v>
      </c>
      <c r="Q2" s="93" t="s">
        <v>316</v>
      </c>
      <c r="R2" s="93" t="s">
        <v>317</v>
      </c>
      <c r="S2" s="93" t="s">
        <v>316</v>
      </c>
      <c r="T2" s="130" t="s">
        <v>2449</v>
      </c>
      <c r="U2" s="171">
        <v>45860</v>
      </c>
      <c r="V2" s="171">
        <v>45860</v>
      </c>
      <c r="W2" s="93" t="s">
        <v>12</v>
      </c>
      <c r="X2" s="93" t="s">
        <v>316</v>
      </c>
      <c r="Y2" s="116" t="s">
        <v>319</v>
      </c>
      <c r="Z2" s="197" t="s">
        <v>320</v>
      </c>
      <c r="AA2" s="197" t="s">
        <v>320</v>
      </c>
      <c r="AB2" s="93" t="s">
        <v>316</v>
      </c>
      <c r="AC2" s="96" t="s">
        <v>2450</v>
      </c>
      <c r="AD2" s="96" t="s">
        <v>864</v>
      </c>
      <c r="AE2" s="536" t="s">
        <v>2068</v>
      </c>
      <c r="AF2" s="96" t="s">
        <v>2451</v>
      </c>
      <c r="AG2" s="96" t="s">
        <v>2452</v>
      </c>
      <c r="AH2" s="96" t="s">
        <v>2453</v>
      </c>
      <c r="AI2" s="96" t="s">
        <v>2454</v>
      </c>
      <c r="AJ2" s="96" t="s">
        <v>2455</v>
      </c>
      <c r="AK2" s="96" t="s">
        <v>2456</v>
      </c>
      <c r="AL2" s="96" t="s">
        <v>2457</v>
      </c>
      <c r="AM2" s="96" t="s">
        <v>2458</v>
      </c>
      <c r="AN2" s="93" t="s">
        <v>697</v>
      </c>
      <c r="AO2" s="93" t="s">
        <v>434</v>
      </c>
    </row>
    <row r="3" spans="1:62" ht="92.25">
      <c r="A3" s="93">
        <v>2</v>
      </c>
      <c r="B3" s="490" t="s">
        <v>5</v>
      </c>
      <c r="C3" s="556">
        <v>45854</v>
      </c>
      <c r="D3" s="556">
        <v>45867</v>
      </c>
      <c r="E3" s="77" t="s">
        <v>2446</v>
      </c>
      <c r="F3" s="93" t="s">
        <v>313</v>
      </c>
      <c r="G3" s="129">
        <v>25579</v>
      </c>
      <c r="H3" s="96" t="s">
        <v>2459</v>
      </c>
      <c r="I3" s="490" t="s">
        <v>376</v>
      </c>
      <c r="J3" s="93">
        <v>2</v>
      </c>
      <c r="K3" s="93">
        <v>1.93</v>
      </c>
      <c r="L3" s="93">
        <v>7.75</v>
      </c>
      <c r="M3" s="171">
        <v>45854</v>
      </c>
      <c r="N3" s="171">
        <v>45855</v>
      </c>
      <c r="O3" s="93" t="s">
        <v>319</v>
      </c>
      <c r="P3" s="93" t="s">
        <v>315</v>
      </c>
      <c r="Q3" s="93" t="s">
        <v>316</v>
      </c>
      <c r="R3" s="93" t="s">
        <v>317</v>
      </c>
      <c r="S3" s="93" t="s">
        <v>316</v>
      </c>
      <c r="T3" s="197" t="s">
        <v>320</v>
      </c>
      <c r="U3" s="197" t="s">
        <v>320</v>
      </c>
      <c r="V3" s="197" t="s">
        <v>320</v>
      </c>
      <c r="W3" s="197" t="s">
        <v>320</v>
      </c>
      <c r="X3" s="197" t="s">
        <v>320</v>
      </c>
      <c r="Y3" s="197" t="s">
        <v>320</v>
      </c>
      <c r="Z3" s="197" t="s">
        <v>320</v>
      </c>
      <c r="AA3" s="197" t="s">
        <v>320</v>
      </c>
      <c r="AB3" s="93" t="s">
        <v>316</v>
      </c>
      <c r="AC3" s="93" t="s">
        <v>316</v>
      </c>
      <c r="AD3" s="576" t="s">
        <v>2460</v>
      </c>
      <c r="AE3" s="536" t="s">
        <v>423</v>
      </c>
      <c r="AF3" s="96" t="s">
        <v>2461</v>
      </c>
      <c r="AG3" s="96" t="s">
        <v>2462</v>
      </c>
      <c r="AH3" s="96" t="s">
        <v>2463</v>
      </c>
      <c r="AI3" s="96" t="s">
        <v>2463</v>
      </c>
      <c r="AJ3" s="96" t="s">
        <v>2463</v>
      </c>
      <c r="AK3" s="96" t="s">
        <v>2463</v>
      </c>
      <c r="AL3" s="96" t="s">
        <v>2463</v>
      </c>
      <c r="AM3" s="96" t="s">
        <v>2464</v>
      </c>
      <c r="AN3" s="96" t="s">
        <v>2465</v>
      </c>
      <c r="AO3" s="96" t="s">
        <v>2465</v>
      </c>
    </row>
    <row r="4" spans="1:62" ht="120" customHeight="1">
      <c r="A4" s="93">
        <v>3</v>
      </c>
      <c r="B4" s="490" t="s">
        <v>5</v>
      </c>
      <c r="C4" s="556">
        <v>45854</v>
      </c>
      <c r="D4" s="556">
        <v>45867</v>
      </c>
      <c r="E4" s="77" t="s">
        <v>2446</v>
      </c>
      <c r="F4" s="93" t="s">
        <v>315</v>
      </c>
      <c r="G4" s="93">
        <v>48811</v>
      </c>
      <c r="H4" s="96" t="s">
        <v>2466</v>
      </c>
      <c r="I4" s="490" t="s">
        <v>306</v>
      </c>
      <c r="J4" s="93">
        <v>2</v>
      </c>
      <c r="K4" s="93">
        <v>2.5</v>
      </c>
      <c r="L4" s="93">
        <v>10</v>
      </c>
      <c r="M4" s="171">
        <v>45859</v>
      </c>
      <c r="N4" s="171">
        <v>45861</v>
      </c>
      <c r="O4" s="93" t="s">
        <v>319</v>
      </c>
      <c r="P4" s="93" t="s">
        <v>1976</v>
      </c>
      <c r="Q4" s="93" t="s">
        <v>316</v>
      </c>
      <c r="R4" s="93" t="s">
        <v>317</v>
      </c>
      <c r="S4" s="93" t="s">
        <v>316</v>
      </c>
      <c r="T4" s="130" t="s">
        <v>2467</v>
      </c>
      <c r="U4" s="171">
        <v>45859</v>
      </c>
      <c r="V4" s="171">
        <v>45859</v>
      </c>
      <c r="W4" s="93" t="s">
        <v>12</v>
      </c>
      <c r="X4" s="93" t="s">
        <v>316</v>
      </c>
      <c r="Y4" s="116" t="s">
        <v>319</v>
      </c>
      <c r="Z4" s="197" t="s">
        <v>320</v>
      </c>
      <c r="AA4" s="197" t="s">
        <v>320</v>
      </c>
      <c r="AB4" s="93" t="s">
        <v>316</v>
      </c>
      <c r="AC4" s="93" t="s">
        <v>316</v>
      </c>
      <c r="AD4" s="96" t="s">
        <v>864</v>
      </c>
      <c r="AE4" s="536" t="s">
        <v>423</v>
      </c>
      <c r="AF4" s="96" t="s">
        <v>2468</v>
      </c>
      <c r="AG4" s="96" t="s">
        <v>2469</v>
      </c>
      <c r="AH4" s="96" t="s">
        <v>2470</v>
      </c>
      <c r="AI4" s="96" t="s">
        <v>2471</v>
      </c>
      <c r="AJ4" s="96" t="s">
        <v>2472</v>
      </c>
      <c r="AK4" s="96" t="s">
        <v>2473</v>
      </c>
      <c r="AL4" s="96" t="s">
        <v>945</v>
      </c>
      <c r="AM4" s="96" t="s">
        <v>434</v>
      </c>
      <c r="AN4" s="93" t="s">
        <v>434</v>
      </c>
      <c r="AO4" s="93" t="s">
        <v>434</v>
      </c>
    </row>
    <row r="5" spans="1:62" ht="81">
      <c r="A5" s="93">
        <v>4</v>
      </c>
      <c r="B5" s="490" t="s">
        <v>5</v>
      </c>
      <c r="C5" s="556">
        <v>45854</v>
      </c>
      <c r="D5" s="556">
        <v>45867</v>
      </c>
      <c r="E5" s="77" t="s">
        <v>2446</v>
      </c>
      <c r="F5" s="93" t="s">
        <v>315</v>
      </c>
      <c r="G5" s="93">
        <v>48541</v>
      </c>
      <c r="H5" s="96" t="s">
        <v>2474</v>
      </c>
      <c r="I5" s="490" t="s">
        <v>306</v>
      </c>
      <c r="J5" s="93">
        <v>2</v>
      </c>
      <c r="K5" s="93">
        <v>6.25</v>
      </c>
      <c r="L5" s="93">
        <v>25</v>
      </c>
      <c r="M5" s="171">
        <v>45859</v>
      </c>
      <c r="N5" s="171">
        <v>45861</v>
      </c>
      <c r="O5" s="93" t="s">
        <v>319</v>
      </c>
      <c r="P5" s="93" t="s">
        <v>1976</v>
      </c>
      <c r="Q5" s="93" t="s">
        <v>316</v>
      </c>
      <c r="R5" s="93" t="s">
        <v>317</v>
      </c>
      <c r="S5" s="93" t="s">
        <v>316</v>
      </c>
      <c r="T5" s="130" t="s">
        <v>2467</v>
      </c>
      <c r="U5" s="171">
        <v>45859</v>
      </c>
      <c r="V5" s="171">
        <v>45859</v>
      </c>
      <c r="W5" s="93" t="s">
        <v>12</v>
      </c>
      <c r="X5" s="93" t="s">
        <v>316</v>
      </c>
      <c r="Y5" s="116" t="s">
        <v>319</v>
      </c>
      <c r="Z5" s="197" t="s">
        <v>320</v>
      </c>
      <c r="AA5" s="197" t="s">
        <v>320</v>
      </c>
      <c r="AB5" s="93" t="s">
        <v>316</v>
      </c>
      <c r="AC5" s="93" t="s">
        <v>316</v>
      </c>
      <c r="AD5" s="96" t="s">
        <v>864</v>
      </c>
      <c r="AE5" s="536" t="s">
        <v>423</v>
      </c>
      <c r="AF5" s="96" t="s">
        <v>2475</v>
      </c>
      <c r="AG5" s="96" t="s">
        <v>2469</v>
      </c>
      <c r="AH5" s="96" t="s">
        <v>2470</v>
      </c>
      <c r="AI5" s="96" t="s">
        <v>2476</v>
      </c>
      <c r="AJ5" s="96" t="s">
        <v>2472</v>
      </c>
      <c r="AK5" s="96" t="s">
        <v>2473</v>
      </c>
      <c r="AL5" s="96" t="s">
        <v>945</v>
      </c>
      <c r="AM5" s="96" t="s">
        <v>434</v>
      </c>
      <c r="AN5" s="93" t="s">
        <v>434</v>
      </c>
      <c r="AO5" s="93" t="s">
        <v>434</v>
      </c>
    </row>
    <row r="6" spans="1:62" ht="81">
      <c r="A6" s="93">
        <v>5</v>
      </c>
      <c r="B6" s="490" t="s">
        <v>5</v>
      </c>
      <c r="C6" s="556">
        <v>45854</v>
      </c>
      <c r="D6" s="556">
        <v>45867</v>
      </c>
      <c r="E6" s="77" t="s">
        <v>2446</v>
      </c>
      <c r="F6" s="93" t="s">
        <v>315</v>
      </c>
      <c r="G6" s="129" t="s">
        <v>2477</v>
      </c>
      <c r="H6" s="96" t="s">
        <v>2478</v>
      </c>
      <c r="I6" s="490" t="s">
        <v>376</v>
      </c>
      <c r="J6" s="93">
        <v>0</v>
      </c>
      <c r="K6" s="93">
        <v>1.5</v>
      </c>
      <c r="L6" s="93">
        <v>6</v>
      </c>
      <c r="M6" s="171">
        <v>45856</v>
      </c>
      <c r="N6" s="171">
        <v>45863</v>
      </c>
      <c r="O6" s="197" t="s">
        <v>319</v>
      </c>
      <c r="P6" s="93"/>
      <c r="Q6" s="93"/>
      <c r="R6" s="93" t="s">
        <v>317</v>
      </c>
      <c r="S6" s="93" t="s">
        <v>316</v>
      </c>
      <c r="T6" s="96" t="s">
        <v>320</v>
      </c>
      <c r="U6" s="93" t="s">
        <v>320</v>
      </c>
      <c r="V6" s="93" t="s">
        <v>320</v>
      </c>
      <c r="W6" s="93" t="s">
        <v>320</v>
      </c>
      <c r="X6" s="93" t="s">
        <v>320</v>
      </c>
      <c r="Y6" s="93" t="s">
        <v>320</v>
      </c>
      <c r="Z6" s="93" t="s">
        <v>320</v>
      </c>
      <c r="AA6" s="93" t="s">
        <v>320</v>
      </c>
      <c r="AB6" s="93" t="s">
        <v>316</v>
      </c>
      <c r="AC6" s="93" t="s">
        <v>316</v>
      </c>
      <c r="AD6" s="577" t="s">
        <v>2479</v>
      </c>
      <c r="AE6" s="536" t="s">
        <v>423</v>
      </c>
      <c r="AF6" s="93"/>
      <c r="AG6" s="96" t="s">
        <v>2480</v>
      </c>
      <c r="AH6" s="96" t="s">
        <v>2463</v>
      </c>
      <c r="AI6" s="96" t="s">
        <v>2481</v>
      </c>
      <c r="AJ6" s="96" t="s">
        <v>2481</v>
      </c>
      <c r="AK6" s="96" t="s">
        <v>2481</v>
      </c>
      <c r="AL6" s="96" t="s">
        <v>2481</v>
      </c>
      <c r="AM6" s="96" t="s">
        <v>2482</v>
      </c>
      <c r="AN6" s="96" t="s">
        <v>2465</v>
      </c>
      <c r="AO6" s="96" t="s">
        <v>2465</v>
      </c>
    </row>
    <row r="7" spans="1:62" ht="113.25" customHeight="1">
      <c r="A7" s="93">
        <v>6</v>
      </c>
      <c r="B7" s="490" t="s">
        <v>5</v>
      </c>
      <c r="C7" s="556">
        <v>45854</v>
      </c>
      <c r="D7" s="556">
        <v>45867</v>
      </c>
      <c r="E7" s="77" t="s">
        <v>2446</v>
      </c>
      <c r="F7" s="93" t="s">
        <v>313</v>
      </c>
      <c r="G7" s="93">
        <v>49209</v>
      </c>
      <c r="H7" s="490" t="s">
        <v>588</v>
      </c>
      <c r="I7" s="490" t="s">
        <v>306</v>
      </c>
      <c r="J7" s="93">
        <v>1</v>
      </c>
      <c r="K7" s="93">
        <v>0.5</v>
      </c>
      <c r="L7" s="93">
        <v>2</v>
      </c>
      <c r="M7" s="171" t="s">
        <v>320</v>
      </c>
      <c r="N7" s="171" t="s">
        <v>320</v>
      </c>
      <c r="O7" s="171" t="s">
        <v>320</v>
      </c>
      <c r="P7" s="171" t="s">
        <v>320</v>
      </c>
      <c r="Q7" s="171" t="s">
        <v>320</v>
      </c>
      <c r="R7" s="171" t="s">
        <v>320</v>
      </c>
      <c r="S7" s="171" t="s">
        <v>320</v>
      </c>
      <c r="T7" s="171" t="s">
        <v>320</v>
      </c>
      <c r="U7" s="171" t="s">
        <v>320</v>
      </c>
      <c r="V7" s="171" t="s">
        <v>320</v>
      </c>
      <c r="W7" s="171" t="s">
        <v>320</v>
      </c>
      <c r="X7" s="171" t="s">
        <v>320</v>
      </c>
      <c r="Y7" s="171" t="s">
        <v>320</v>
      </c>
      <c r="Z7" s="171" t="s">
        <v>320</v>
      </c>
      <c r="AA7" s="171" t="s">
        <v>320</v>
      </c>
      <c r="AB7" s="171" t="s">
        <v>320</v>
      </c>
      <c r="AC7" s="171" t="s">
        <v>320</v>
      </c>
      <c r="AD7" s="93" t="s">
        <v>2483</v>
      </c>
      <c r="AE7" s="536" t="s">
        <v>423</v>
      </c>
      <c r="AF7" s="93"/>
      <c r="AG7" s="93"/>
      <c r="AH7" s="93"/>
      <c r="AI7" s="93"/>
      <c r="AJ7" s="93"/>
      <c r="AK7" s="93"/>
      <c r="AL7" s="93" t="s">
        <v>562</v>
      </c>
      <c r="AM7" s="96" t="s">
        <v>434</v>
      </c>
      <c r="AN7" s="93" t="s">
        <v>434</v>
      </c>
      <c r="AO7" s="93" t="s">
        <v>434</v>
      </c>
    </row>
    <row r="8" spans="1:62" s="93" customFormat="1" ht="69">
      <c r="A8" s="93">
        <v>7</v>
      </c>
      <c r="B8" s="490" t="s">
        <v>5</v>
      </c>
      <c r="C8" s="556">
        <v>45854</v>
      </c>
      <c r="D8" s="556">
        <v>45867</v>
      </c>
      <c r="E8" s="77" t="s">
        <v>2446</v>
      </c>
      <c r="F8" s="93" t="s">
        <v>313</v>
      </c>
      <c r="G8" s="93">
        <v>49210</v>
      </c>
      <c r="H8" s="490" t="s">
        <v>583</v>
      </c>
      <c r="I8" s="490" t="s">
        <v>306</v>
      </c>
      <c r="J8" s="93">
        <v>2</v>
      </c>
      <c r="K8" s="93">
        <v>1.5</v>
      </c>
      <c r="L8" s="93">
        <v>6</v>
      </c>
      <c r="M8" s="171" t="s">
        <v>320</v>
      </c>
      <c r="N8" s="171" t="s">
        <v>320</v>
      </c>
      <c r="O8" s="171" t="s">
        <v>320</v>
      </c>
      <c r="P8" s="171" t="s">
        <v>320</v>
      </c>
      <c r="Q8" s="171" t="s">
        <v>320</v>
      </c>
      <c r="R8" s="171" t="s">
        <v>320</v>
      </c>
      <c r="S8" s="171" t="s">
        <v>320</v>
      </c>
      <c r="T8" s="171" t="s">
        <v>320</v>
      </c>
      <c r="U8" s="171" t="s">
        <v>320</v>
      </c>
      <c r="V8" s="171" t="s">
        <v>320</v>
      </c>
      <c r="W8" s="171" t="s">
        <v>320</v>
      </c>
      <c r="X8" s="171" t="s">
        <v>320</v>
      </c>
      <c r="Y8" s="171" t="s">
        <v>320</v>
      </c>
      <c r="Z8" s="171" t="s">
        <v>320</v>
      </c>
      <c r="AA8" s="171" t="s">
        <v>320</v>
      </c>
      <c r="AB8" s="171" t="s">
        <v>320</v>
      </c>
      <c r="AC8" s="171" t="s">
        <v>320</v>
      </c>
      <c r="AD8" s="93" t="s">
        <v>2483</v>
      </c>
      <c r="AE8" s="536" t="s">
        <v>423</v>
      </c>
      <c r="AL8" s="96" t="s">
        <v>2484</v>
      </c>
      <c r="AM8" s="96" t="s">
        <v>2485</v>
      </c>
      <c r="AN8" s="93" t="s">
        <v>12</v>
      </c>
      <c r="AO8" s="93" t="s">
        <v>434</v>
      </c>
      <c r="AP8"/>
      <c r="AQ8"/>
      <c r="AR8"/>
      <c r="AS8"/>
      <c r="AT8"/>
      <c r="AU8"/>
      <c r="AV8"/>
      <c r="AW8"/>
      <c r="AX8"/>
      <c r="AY8"/>
      <c r="AZ8"/>
      <c r="BA8"/>
      <c r="BB8"/>
      <c r="BC8"/>
      <c r="BD8"/>
      <c r="BE8"/>
      <c r="BF8"/>
      <c r="BG8"/>
      <c r="BH8"/>
      <c r="BI8"/>
      <c r="BJ8" s="551"/>
    </row>
    <row r="9" spans="1:62" s="118" customFormat="1" ht="103.5" customHeight="1">
      <c r="A9" s="93">
        <v>8</v>
      </c>
      <c r="B9" s="490" t="s">
        <v>5</v>
      </c>
      <c r="C9" s="556">
        <v>45854</v>
      </c>
      <c r="D9" s="556">
        <v>45867</v>
      </c>
      <c r="E9" s="77" t="s">
        <v>2446</v>
      </c>
      <c r="F9" s="93" t="s">
        <v>2038</v>
      </c>
      <c r="G9" s="93">
        <v>49216</v>
      </c>
      <c r="H9" s="490" t="s">
        <v>2486</v>
      </c>
      <c r="I9" s="490" t="s">
        <v>306</v>
      </c>
      <c r="J9" s="93">
        <v>3</v>
      </c>
      <c r="K9" s="93"/>
      <c r="L9" s="93"/>
      <c r="M9" s="171" t="s">
        <v>320</v>
      </c>
      <c r="N9" s="171" t="s">
        <v>320</v>
      </c>
      <c r="O9" s="171" t="s">
        <v>320</v>
      </c>
      <c r="P9" s="171" t="s">
        <v>320</v>
      </c>
      <c r="Q9" s="171" t="s">
        <v>320</v>
      </c>
      <c r="R9" s="171" t="s">
        <v>320</v>
      </c>
      <c r="S9" s="171" t="s">
        <v>320</v>
      </c>
      <c r="T9" s="171" t="s">
        <v>320</v>
      </c>
      <c r="U9" s="171" t="s">
        <v>320</v>
      </c>
      <c r="V9" s="171" t="s">
        <v>320</v>
      </c>
      <c r="W9" s="171" t="s">
        <v>320</v>
      </c>
      <c r="X9" s="171" t="s">
        <v>320</v>
      </c>
      <c r="Y9" s="171" t="s">
        <v>320</v>
      </c>
      <c r="Z9" s="171" t="s">
        <v>320</v>
      </c>
      <c r="AA9" s="171" t="s">
        <v>320</v>
      </c>
      <c r="AB9" s="171" t="s">
        <v>320</v>
      </c>
      <c r="AC9" s="171" t="s">
        <v>320</v>
      </c>
      <c r="AD9" s="93" t="s">
        <v>2483</v>
      </c>
      <c r="AE9" s="536" t="s">
        <v>423</v>
      </c>
      <c r="AF9" s="93"/>
      <c r="AG9" s="93"/>
      <c r="AH9" s="93"/>
      <c r="AI9" s="93"/>
      <c r="AJ9" s="93"/>
      <c r="AK9" s="93"/>
      <c r="AL9" s="93" t="s">
        <v>2487</v>
      </c>
      <c r="AM9" s="96" t="s">
        <v>2488</v>
      </c>
      <c r="AN9" s="96" t="s">
        <v>2489</v>
      </c>
      <c r="AO9" s="96" t="s">
        <v>2490</v>
      </c>
      <c r="AP9"/>
      <c r="AQ9"/>
      <c r="AR9"/>
      <c r="AS9"/>
      <c r="AT9"/>
      <c r="AU9"/>
      <c r="AV9"/>
      <c r="AW9"/>
      <c r="AX9"/>
      <c r="AY9"/>
      <c r="AZ9"/>
      <c r="BA9"/>
      <c r="BB9"/>
      <c r="BC9"/>
      <c r="BD9"/>
      <c r="BE9"/>
      <c r="BF9"/>
      <c r="BG9"/>
      <c r="BH9"/>
      <c r="BI9"/>
      <c r="BJ9" s="550"/>
    </row>
    <row r="10" spans="1:62" s="118" customFormat="1" ht="103.5" customHeight="1">
      <c r="A10" s="93">
        <v>9</v>
      </c>
      <c r="B10" s="490" t="s">
        <v>5</v>
      </c>
      <c r="C10" s="556">
        <v>45854</v>
      </c>
      <c r="D10" s="556">
        <v>45867</v>
      </c>
      <c r="E10" s="77" t="s">
        <v>2446</v>
      </c>
      <c r="F10" s="93" t="s">
        <v>317</v>
      </c>
      <c r="G10" s="93">
        <v>49213</v>
      </c>
      <c r="H10" s="490" t="s">
        <v>2491</v>
      </c>
      <c r="I10" s="490" t="s">
        <v>306</v>
      </c>
      <c r="J10" s="93">
        <v>2</v>
      </c>
      <c r="K10" s="93">
        <v>2</v>
      </c>
      <c r="L10" s="93">
        <v>8</v>
      </c>
      <c r="M10" s="171" t="s">
        <v>320</v>
      </c>
      <c r="N10" s="171" t="s">
        <v>320</v>
      </c>
      <c r="O10" s="171" t="s">
        <v>320</v>
      </c>
      <c r="P10" s="171" t="s">
        <v>320</v>
      </c>
      <c r="Q10" s="171" t="s">
        <v>320</v>
      </c>
      <c r="R10" s="171" t="s">
        <v>320</v>
      </c>
      <c r="S10" s="171" t="s">
        <v>320</v>
      </c>
      <c r="T10" s="171" t="s">
        <v>320</v>
      </c>
      <c r="U10" s="171" t="s">
        <v>320</v>
      </c>
      <c r="V10" s="171" t="s">
        <v>320</v>
      </c>
      <c r="W10" s="171" t="s">
        <v>320</v>
      </c>
      <c r="X10" s="171" t="s">
        <v>320</v>
      </c>
      <c r="Y10" s="171" t="s">
        <v>320</v>
      </c>
      <c r="Z10" s="171" t="s">
        <v>320</v>
      </c>
      <c r="AA10" s="171" t="s">
        <v>320</v>
      </c>
      <c r="AB10" s="171" t="s">
        <v>320</v>
      </c>
      <c r="AC10" s="171" t="s">
        <v>320</v>
      </c>
      <c r="AD10" s="93" t="s">
        <v>2483</v>
      </c>
      <c r="AE10" s="536" t="s">
        <v>423</v>
      </c>
      <c r="AF10" s="93"/>
      <c r="AG10" s="93"/>
      <c r="AH10" s="93"/>
      <c r="AI10" s="93"/>
      <c r="AJ10" s="93"/>
      <c r="AK10" s="93"/>
      <c r="AL10" s="93"/>
      <c r="AM10" s="96"/>
      <c r="AN10" s="96"/>
      <c r="AO10" s="96"/>
      <c r="AP10"/>
      <c r="AQ10"/>
      <c r="AR10"/>
      <c r="AS10"/>
      <c r="AT10"/>
      <c r="AU10"/>
      <c r="AV10"/>
      <c r="AW10"/>
      <c r="AX10"/>
      <c r="AY10"/>
      <c r="AZ10"/>
      <c r="BA10"/>
      <c r="BB10"/>
      <c r="BC10"/>
      <c r="BD10"/>
      <c r="BE10"/>
      <c r="BF10"/>
      <c r="BG10"/>
      <c r="BH10"/>
      <c r="BI10"/>
      <c r="BJ10" s="550"/>
    </row>
    <row r="11" spans="1:62" s="93" customFormat="1" ht="138.75">
      <c r="A11" s="93">
        <v>10</v>
      </c>
      <c r="B11" s="490" t="s">
        <v>5</v>
      </c>
      <c r="C11" s="556">
        <v>45854</v>
      </c>
      <c r="D11" s="556">
        <v>45867</v>
      </c>
      <c r="E11" s="77" t="s">
        <v>2446</v>
      </c>
      <c r="F11" s="93" t="s">
        <v>313</v>
      </c>
      <c r="G11" s="93">
        <v>49212</v>
      </c>
      <c r="H11" s="490" t="s">
        <v>1149</v>
      </c>
      <c r="I11" s="490" t="s">
        <v>306</v>
      </c>
      <c r="J11" s="93">
        <v>3</v>
      </c>
      <c r="K11" s="93">
        <v>3</v>
      </c>
      <c r="L11" s="93">
        <v>12</v>
      </c>
      <c r="M11" s="171" t="s">
        <v>320</v>
      </c>
      <c r="N11" s="171" t="s">
        <v>320</v>
      </c>
      <c r="O11" s="171" t="s">
        <v>320</v>
      </c>
      <c r="P11" s="171" t="s">
        <v>320</v>
      </c>
      <c r="Q11" s="171" t="s">
        <v>320</v>
      </c>
      <c r="R11" s="171" t="s">
        <v>320</v>
      </c>
      <c r="S11" s="171" t="s">
        <v>320</v>
      </c>
      <c r="T11" s="171" t="s">
        <v>320</v>
      </c>
      <c r="U11" s="171" t="s">
        <v>320</v>
      </c>
      <c r="V11" s="171" t="s">
        <v>320</v>
      </c>
      <c r="W11" s="171" t="s">
        <v>320</v>
      </c>
      <c r="X11" s="171" t="s">
        <v>320</v>
      </c>
      <c r="Y11" s="171" t="s">
        <v>320</v>
      </c>
      <c r="Z11" s="171" t="s">
        <v>320</v>
      </c>
      <c r="AA11" s="171" t="s">
        <v>320</v>
      </c>
      <c r="AB11" s="171" t="s">
        <v>320</v>
      </c>
      <c r="AC11" s="171" t="s">
        <v>320</v>
      </c>
      <c r="AD11" s="93" t="s">
        <v>2483</v>
      </c>
      <c r="AE11" s="536" t="s">
        <v>423</v>
      </c>
      <c r="AM11" s="96"/>
      <c r="AN11" s="96" t="s">
        <v>2492</v>
      </c>
      <c r="AO11" s="96" t="s">
        <v>2493</v>
      </c>
      <c r="AP11"/>
      <c r="AQ11"/>
      <c r="AR11"/>
      <c r="AS11"/>
      <c r="AT11"/>
      <c r="AU11"/>
      <c r="AV11"/>
      <c r="AW11"/>
      <c r="AX11"/>
      <c r="AY11"/>
      <c r="AZ11"/>
      <c r="BA11"/>
      <c r="BB11"/>
      <c r="BC11"/>
      <c r="BD11"/>
      <c r="BE11"/>
      <c r="BF11"/>
      <c r="BG11"/>
      <c r="BH11"/>
      <c r="BI11"/>
      <c r="BJ11" s="551"/>
    </row>
    <row r="12" spans="1:62" ht="69">
      <c r="A12" s="93">
        <v>11</v>
      </c>
      <c r="B12" s="490" t="s">
        <v>5</v>
      </c>
      <c r="C12" s="556">
        <v>45854</v>
      </c>
      <c r="D12" s="556">
        <v>45867</v>
      </c>
      <c r="E12" s="77" t="s">
        <v>2446</v>
      </c>
      <c r="F12" s="96" t="s">
        <v>2494</v>
      </c>
      <c r="G12" s="93">
        <v>49211</v>
      </c>
      <c r="H12" s="490" t="s">
        <v>596</v>
      </c>
      <c r="I12" s="490" t="s">
        <v>306</v>
      </c>
      <c r="J12" s="93">
        <v>5</v>
      </c>
      <c r="K12" s="93">
        <v>4.25</v>
      </c>
      <c r="L12" s="93">
        <v>17</v>
      </c>
      <c r="M12" s="171" t="s">
        <v>320</v>
      </c>
      <c r="N12" s="171" t="s">
        <v>320</v>
      </c>
      <c r="O12" s="171" t="s">
        <v>320</v>
      </c>
      <c r="P12" s="171" t="s">
        <v>320</v>
      </c>
      <c r="Q12" s="171" t="s">
        <v>320</v>
      </c>
      <c r="R12" s="171" t="s">
        <v>320</v>
      </c>
      <c r="S12" s="171" t="s">
        <v>320</v>
      </c>
      <c r="T12" s="171" t="s">
        <v>320</v>
      </c>
      <c r="U12" s="171" t="s">
        <v>320</v>
      </c>
      <c r="V12" s="171" t="s">
        <v>320</v>
      </c>
      <c r="W12" s="171" t="s">
        <v>320</v>
      </c>
      <c r="X12" s="171" t="s">
        <v>320</v>
      </c>
      <c r="Y12" s="171" t="s">
        <v>320</v>
      </c>
      <c r="Z12" s="171" t="s">
        <v>320</v>
      </c>
      <c r="AA12" s="171" t="s">
        <v>320</v>
      </c>
      <c r="AB12" s="171" t="s">
        <v>320</v>
      </c>
      <c r="AC12" s="171" t="s">
        <v>320</v>
      </c>
      <c r="AD12" s="93" t="s">
        <v>2483</v>
      </c>
      <c r="AE12" s="536" t="s">
        <v>423</v>
      </c>
      <c r="AF12" s="93"/>
      <c r="AG12" s="93"/>
      <c r="AH12" s="93"/>
      <c r="AI12" s="93"/>
      <c r="AJ12" s="93"/>
      <c r="AK12" s="93"/>
      <c r="AL12" s="93" t="s">
        <v>2495</v>
      </c>
      <c r="AM12" s="96" t="s">
        <v>2496</v>
      </c>
      <c r="AN12" s="96" t="s">
        <v>2497</v>
      </c>
      <c r="AO12" s="93" t="s">
        <v>12</v>
      </c>
    </row>
    <row r="13" spans="1:62" ht="174">
      <c r="A13" s="93">
        <v>12</v>
      </c>
      <c r="B13" s="490" t="s">
        <v>5</v>
      </c>
      <c r="C13" s="556">
        <v>45854</v>
      </c>
      <c r="D13" s="556">
        <v>45867</v>
      </c>
      <c r="E13" s="77" t="s">
        <v>2446</v>
      </c>
      <c r="F13" s="93"/>
      <c r="G13" s="93">
        <v>49207</v>
      </c>
      <c r="H13" s="490" t="s">
        <v>1666</v>
      </c>
      <c r="I13" s="93" t="s">
        <v>553</v>
      </c>
      <c r="J13" s="93">
        <v>2</v>
      </c>
      <c r="K13" s="93"/>
      <c r="L13" s="93"/>
      <c r="M13" s="93"/>
      <c r="N13" s="93"/>
      <c r="O13" s="93"/>
      <c r="P13" s="93"/>
      <c r="Q13" s="93"/>
      <c r="R13" s="93"/>
      <c r="S13" s="93"/>
      <c r="T13" s="96"/>
      <c r="U13" s="93"/>
      <c r="V13" s="93"/>
      <c r="W13" s="93"/>
      <c r="X13" s="93"/>
      <c r="Y13" s="93"/>
      <c r="Z13" s="93"/>
      <c r="AA13" s="93"/>
      <c r="AB13" s="93"/>
      <c r="AC13" s="93"/>
      <c r="AD13" s="96" t="s">
        <v>2498</v>
      </c>
      <c r="AE13" s="93"/>
      <c r="AF13" s="93"/>
      <c r="AG13" s="93"/>
      <c r="AH13" s="93"/>
      <c r="AI13" s="93"/>
      <c r="AJ13" s="93"/>
      <c r="AK13" s="93"/>
      <c r="AL13" s="93"/>
      <c r="AM13" s="96"/>
      <c r="AN13" s="93"/>
      <c r="AO13" s="93"/>
    </row>
    <row r="14" spans="1:62" ht="67.5" customHeight="1">
      <c r="A14" s="93">
        <v>13</v>
      </c>
      <c r="B14" s="490" t="s">
        <v>5</v>
      </c>
      <c r="C14" s="556">
        <v>45854</v>
      </c>
      <c r="D14" s="556">
        <v>45867</v>
      </c>
      <c r="E14" s="96" t="s">
        <v>2499</v>
      </c>
      <c r="F14" s="93" t="s">
        <v>2038</v>
      </c>
      <c r="G14" s="93">
        <v>49073</v>
      </c>
      <c r="H14" s="96" t="s">
        <v>2500</v>
      </c>
      <c r="I14" s="490" t="s">
        <v>306</v>
      </c>
      <c r="J14" s="93">
        <v>2</v>
      </c>
      <c r="K14" s="93">
        <v>2</v>
      </c>
      <c r="L14" s="93">
        <v>8</v>
      </c>
      <c r="M14" s="171">
        <v>45854</v>
      </c>
      <c r="N14" s="171">
        <v>45856</v>
      </c>
      <c r="O14" s="93" t="s">
        <v>320</v>
      </c>
      <c r="P14" s="93" t="s">
        <v>1976</v>
      </c>
      <c r="Q14" s="93" t="s">
        <v>316</v>
      </c>
      <c r="R14" s="93" t="s">
        <v>1976</v>
      </c>
      <c r="S14" s="93" t="s">
        <v>316</v>
      </c>
      <c r="T14" s="130" t="s">
        <v>2501</v>
      </c>
      <c r="U14" s="171">
        <v>45856</v>
      </c>
      <c r="V14" s="171">
        <v>45857</v>
      </c>
      <c r="W14" s="93" t="s">
        <v>12</v>
      </c>
      <c r="X14" s="93" t="s">
        <v>434</v>
      </c>
      <c r="Y14" s="93" t="s">
        <v>434</v>
      </c>
      <c r="Z14" s="93" t="s">
        <v>434</v>
      </c>
      <c r="AA14" s="93" t="s">
        <v>434</v>
      </c>
      <c r="AB14" s="93" t="s">
        <v>434</v>
      </c>
      <c r="AC14" s="93" t="s">
        <v>434</v>
      </c>
      <c r="AD14" s="96" t="s">
        <v>864</v>
      </c>
      <c r="AE14" s="536" t="s">
        <v>423</v>
      </c>
      <c r="AF14" s="96" t="s">
        <v>2502</v>
      </c>
      <c r="AG14" s="96" t="s">
        <v>2503</v>
      </c>
      <c r="AH14" s="93" t="s">
        <v>2504</v>
      </c>
      <c r="AI14" s="93" t="s">
        <v>434</v>
      </c>
      <c r="AJ14" s="93" t="s">
        <v>434</v>
      </c>
      <c r="AK14" s="93" t="s">
        <v>434</v>
      </c>
      <c r="AL14" s="93" t="s">
        <v>434</v>
      </c>
      <c r="AM14" s="96" t="s">
        <v>961</v>
      </c>
      <c r="AN14" s="93" t="s">
        <v>434</v>
      </c>
      <c r="AO14" s="93"/>
    </row>
    <row r="15" spans="1:62" s="93" customFormat="1" ht="65.25" customHeight="1">
      <c r="A15" s="93">
        <v>14</v>
      </c>
      <c r="B15" s="490" t="s">
        <v>5</v>
      </c>
      <c r="C15" s="556">
        <v>45854</v>
      </c>
      <c r="D15" s="556">
        <v>45867</v>
      </c>
      <c r="E15" s="77" t="s">
        <v>2499</v>
      </c>
      <c r="F15" s="93" t="s">
        <v>317</v>
      </c>
      <c r="G15" s="93">
        <v>48656</v>
      </c>
      <c r="H15" s="96" t="s">
        <v>2505</v>
      </c>
      <c r="I15" s="490" t="s">
        <v>306</v>
      </c>
      <c r="J15" s="93">
        <v>2</v>
      </c>
      <c r="K15" s="93">
        <v>2.875</v>
      </c>
      <c r="L15" s="93">
        <v>11.5</v>
      </c>
      <c r="M15" s="171">
        <v>45854</v>
      </c>
      <c r="N15" s="171">
        <v>45862</v>
      </c>
      <c r="O15" s="93" t="s">
        <v>319</v>
      </c>
      <c r="P15" s="93" t="s">
        <v>313</v>
      </c>
      <c r="Q15" s="93" t="s">
        <v>316</v>
      </c>
      <c r="R15" s="93" t="s">
        <v>315</v>
      </c>
      <c r="S15" s="93" t="s">
        <v>316</v>
      </c>
      <c r="T15" s="130" t="s">
        <v>2506</v>
      </c>
      <c r="U15" s="171">
        <v>45859</v>
      </c>
      <c r="V15" s="171">
        <v>45859</v>
      </c>
      <c r="W15" s="93" t="s">
        <v>12</v>
      </c>
      <c r="X15" s="93" t="s">
        <v>316</v>
      </c>
      <c r="Y15" s="93" t="s">
        <v>319</v>
      </c>
      <c r="Z15" s="197" t="s">
        <v>320</v>
      </c>
      <c r="AA15" s="197" t="s">
        <v>320</v>
      </c>
      <c r="AD15" s="96" t="s">
        <v>2507</v>
      </c>
      <c r="AE15" s="536" t="s">
        <v>423</v>
      </c>
      <c r="AF15" s="96" t="s">
        <v>2508</v>
      </c>
      <c r="AG15" s="93" t="s">
        <v>434</v>
      </c>
      <c r="AH15" s="93" t="s">
        <v>326</v>
      </c>
      <c r="AI15" s="96" t="s">
        <v>2509</v>
      </c>
      <c r="AJ15" s="96" t="s">
        <v>2510</v>
      </c>
      <c r="AK15" s="96" t="s">
        <v>2511</v>
      </c>
      <c r="AL15" s="96" t="s">
        <v>2512</v>
      </c>
      <c r="AM15" s="96" t="s">
        <v>460</v>
      </c>
      <c r="AN15" s="93" t="s">
        <v>434</v>
      </c>
      <c r="AO15" s="93" t="s">
        <v>434</v>
      </c>
      <c r="AP15"/>
      <c r="AQ15"/>
      <c r="AR15"/>
      <c r="AS15"/>
      <c r="AT15"/>
      <c r="AU15"/>
      <c r="AV15"/>
      <c r="AW15"/>
      <c r="AX15"/>
      <c r="AY15"/>
      <c r="AZ15"/>
      <c r="BA15"/>
      <c r="BB15"/>
      <c r="BC15"/>
      <c r="BD15"/>
      <c r="BE15"/>
      <c r="BF15"/>
      <c r="BG15"/>
      <c r="BH15"/>
      <c r="BI15"/>
      <c r="BJ15" s="551"/>
    </row>
    <row r="16" spans="1:62" ht="63" customHeight="1">
      <c r="A16" s="93">
        <v>15</v>
      </c>
      <c r="B16" s="490" t="s">
        <v>5</v>
      </c>
      <c r="C16" s="556">
        <v>45854</v>
      </c>
      <c r="D16" s="556">
        <v>45867</v>
      </c>
      <c r="E16" s="96" t="s">
        <v>2499</v>
      </c>
      <c r="F16" s="93" t="s">
        <v>313</v>
      </c>
      <c r="G16" s="93">
        <v>49012</v>
      </c>
      <c r="H16" s="96" t="s">
        <v>2513</v>
      </c>
      <c r="I16" s="490" t="s">
        <v>369</v>
      </c>
      <c r="J16" s="93">
        <v>2</v>
      </c>
      <c r="K16" s="93"/>
      <c r="L16" s="93">
        <v>7</v>
      </c>
      <c r="M16" s="171">
        <v>45855</v>
      </c>
      <c r="N16" s="171">
        <v>45856</v>
      </c>
      <c r="O16" s="197" t="s">
        <v>12</v>
      </c>
      <c r="P16" s="93" t="s">
        <v>317</v>
      </c>
      <c r="Q16" s="93" t="s">
        <v>316</v>
      </c>
      <c r="R16" s="93" t="s">
        <v>317</v>
      </c>
      <c r="S16" s="96" t="s">
        <v>2514</v>
      </c>
      <c r="T16" s="130" t="s">
        <v>2515</v>
      </c>
      <c r="U16" s="558">
        <v>45856</v>
      </c>
      <c r="V16" s="558">
        <v>45856</v>
      </c>
      <c r="W16" s="116" t="s">
        <v>12</v>
      </c>
      <c r="X16" s="490" t="s">
        <v>316</v>
      </c>
      <c r="Y16" s="116" t="s">
        <v>319</v>
      </c>
      <c r="Z16" s="197" t="s">
        <v>320</v>
      </c>
      <c r="AA16" s="197" t="s">
        <v>320</v>
      </c>
      <c r="AB16" s="197" t="s">
        <v>2516</v>
      </c>
      <c r="AC16" s="197" t="s">
        <v>2516</v>
      </c>
      <c r="AD16" s="96" t="s">
        <v>2517</v>
      </c>
      <c r="AE16" s="93"/>
      <c r="AF16" s="93"/>
      <c r="AG16" s="96" t="s">
        <v>2518</v>
      </c>
      <c r="AH16" s="96" t="s">
        <v>2519</v>
      </c>
      <c r="AI16" s="96" t="s">
        <v>2520</v>
      </c>
      <c r="AJ16" s="96" t="s">
        <v>2521</v>
      </c>
      <c r="AK16" s="96" t="s">
        <v>2521</v>
      </c>
      <c r="AL16" s="96" t="s">
        <v>2521</v>
      </c>
      <c r="AM16" s="96" t="s">
        <v>2522</v>
      </c>
      <c r="AN16" s="96" t="s">
        <v>2522</v>
      </c>
      <c r="AO16" s="93"/>
    </row>
    <row r="17" spans="1:62" ht="58.5">
      <c r="A17" s="93">
        <v>16</v>
      </c>
      <c r="B17" s="490" t="s">
        <v>5</v>
      </c>
      <c r="C17" s="556">
        <v>45854</v>
      </c>
      <c r="D17" s="556">
        <v>45867</v>
      </c>
      <c r="E17" s="96" t="s">
        <v>2499</v>
      </c>
      <c r="F17" s="93" t="s">
        <v>313</v>
      </c>
      <c r="G17" s="93">
        <v>47284</v>
      </c>
      <c r="H17" s="96" t="s">
        <v>2362</v>
      </c>
      <c r="I17" s="490" t="s">
        <v>338</v>
      </c>
      <c r="J17" s="93">
        <v>5</v>
      </c>
      <c r="K17" s="93"/>
      <c r="L17" s="93">
        <v>14</v>
      </c>
      <c r="M17" s="171">
        <v>45860</v>
      </c>
      <c r="N17" s="171">
        <v>45862</v>
      </c>
      <c r="O17" s="197" t="s">
        <v>12</v>
      </c>
      <c r="P17" s="93"/>
      <c r="Q17" s="93"/>
      <c r="R17" s="93"/>
      <c r="S17" s="93"/>
      <c r="T17" s="171" t="s">
        <v>320</v>
      </c>
      <c r="U17" s="171" t="s">
        <v>320</v>
      </c>
      <c r="V17" s="171" t="s">
        <v>320</v>
      </c>
      <c r="W17" s="171" t="s">
        <v>320</v>
      </c>
      <c r="X17" s="171" t="s">
        <v>320</v>
      </c>
      <c r="Y17" s="171" t="s">
        <v>320</v>
      </c>
      <c r="Z17" s="171" t="s">
        <v>320</v>
      </c>
      <c r="AA17" s="171" t="s">
        <v>320</v>
      </c>
      <c r="AB17" s="197" t="s">
        <v>2516</v>
      </c>
      <c r="AC17" s="197" t="s">
        <v>2516</v>
      </c>
      <c r="AD17" s="93" t="s">
        <v>2523</v>
      </c>
      <c r="AE17" s="93"/>
      <c r="AF17" s="93"/>
      <c r="AG17" s="93"/>
      <c r="AH17" s="93"/>
      <c r="AI17" s="93"/>
      <c r="AJ17" s="96" t="s">
        <v>2524</v>
      </c>
      <c r="AK17" s="96" t="s">
        <v>2525</v>
      </c>
      <c r="AL17" s="96" t="s">
        <v>2526</v>
      </c>
      <c r="AM17" s="96" t="s">
        <v>2527</v>
      </c>
      <c r="AN17" s="96" t="s">
        <v>2528</v>
      </c>
      <c r="AO17" s="93"/>
    </row>
    <row r="18" spans="1:62" s="93" customFormat="1" ht="42" customHeight="1">
      <c r="A18" s="93">
        <v>17</v>
      </c>
      <c r="B18" s="490" t="s">
        <v>5</v>
      </c>
      <c r="C18" s="556">
        <v>45854</v>
      </c>
      <c r="D18" s="556">
        <v>45867</v>
      </c>
      <c r="E18" s="96" t="s">
        <v>2499</v>
      </c>
      <c r="F18" s="93" t="s">
        <v>317</v>
      </c>
      <c r="G18" s="93">
        <v>49013</v>
      </c>
      <c r="H18" s="96" t="s">
        <v>2529</v>
      </c>
      <c r="I18" s="490" t="s">
        <v>553</v>
      </c>
      <c r="J18" s="93">
        <v>3</v>
      </c>
      <c r="M18" s="171">
        <v>45860</v>
      </c>
      <c r="T18" s="96"/>
      <c r="AD18" s="96" t="s">
        <v>2530</v>
      </c>
      <c r="AJ18" s="96" t="s">
        <v>2531</v>
      </c>
      <c r="AK18" s="96" t="s">
        <v>2439</v>
      </c>
      <c r="AL18" s="96" t="s">
        <v>2532</v>
      </c>
      <c r="AM18" s="96" t="s">
        <v>2530</v>
      </c>
      <c r="AN18" s="96" t="s">
        <v>2530</v>
      </c>
      <c r="AP18"/>
      <c r="AQ18"/>
      <c r="AR18"/>
      <c r="AS18"/>
      <c r="AT18"/>
      <c r="AU18"/>
      <c r="AV18"/>
      <c r="AW18"/>
      <c r="AX18"/>
      <c r="AY18"/>
      <c r="AZ18"/>
      <c r="BA18"/>
      <c r="BB18"/>
      <c r="BC18"/>
      <c r="BD18"/>
      <c r="BE18"/>
      <c r="BF18"/>
      <c r="BG18"/>
      <c r="BH18"/>
      <c r="BI18"/>
      <c r="BJ18" s="551"/>
    </row>
    <row r="19" spans="1:62">
      <c r="A19" s="183"/>
      <c r="B19" s="578"/>
      <c r="C19" s="579"/>
      <c r="D19" s="579"/>
      <c r="E19" s="580"/>
      <c r="F19" s="183"/>
      <c r="G19" s="183"/>
      <c r="I19" s="578"/>
      <c r="J19" s="183"/>
      <c r="K19" s="183"/>
      <c r="L19" s="183"/>
      <c r="M19" s="183"/>
      <c r="N19" s="183"/>
      <c r="O19" s="183"/>
      <c r="P19" s="183"/>
      <c r="Q19" s="183"/>
      <c r="R19" s="183"/>
      <c r="S19" s="183"/>
      <c r="T19" s="581"/>
      <c r="U19" s="183"/>
      <c r="V19" s="183"/>
      <c r="W19" s="183"/>
      <c r="X19" s="183"/>
      <c r="Y19" s="183"/>
      <c r="Z19" s="183"/>
      <c r="AA19" s="183"/>
      <c r="AB19" s="183"/>
      <c r="AC19" s="183"/>
      <c r="AD19" s="581"/>
      <c r="AE19" s="183"/>
      <c r="AF19" s="183"/>
      <c r="AG19" s="183"/>
      <c r="AH19" s="183"/>
      <c r="AI19" s="183"/>
      <c r="AJ19" s="183"/>
      <c r="AK19" s="183"/>
      <c r="AL19" s="183"/>
      <c r="AM19" s="581"/>
      <c r="AN19" s="183"/>
      <c r="AO19" s="183"/>
      <c r="AP19" s="183"/>
      <c r="AQ19" s="183"/>
      <c r="AR19" s="183"/>
      <c r="AS19" s="183"/>
      <c r="AT19" s="183"/>
      <c r="AU19" s="183"/>
      <c r="AV19" s="183"/>
      <c r="AW19" s="183"/>
      <c r="AX19" s="183"/>
      <c r="AY19" s="183"/>
      <c r="AZ19" s="183"/>
      <c r="BA19" s="183"/>
      <c r="BB19" s="183"/>
      <c r="BC19" s="183"/>
    </row>
  </sheetData>
  <autoFilter ref="A1:AO17" xr:uid="{91D33C5A-E72B-48D0-985A-882CEFF6995F}"/>
  <conditionalFormatting sqref="J1 I2:I5 I7:I12 I14:I19">
    <cfRule type="containsText" dxfId="542" priority="13" operator="containsText" text="Closed">
      <formula>NOT(ISERROR(SEARCH("Closed",I1)))</formula>
    </cfRule>
    <cfRule type="containsText" dxfId="541" priority="14" operator="containsText" text="Open">
      <formula>NOT(ISERROR(SEARCH("Open",I1)))</formula>
    </cfRule>
    <cfRule type="containsText" dxfId="540" priority="15" operator="containsText" text="Inprogress">
      <formula>NOT(ISERROR(SEARCH("Inprogress",I1)))</formula>
    </cfRule>
  </conditionalFormatting>
  <conditionalFormatting sqref="I6">
    <cfRule type="containsText" dxfId="539" priority="7" operator="containsText" text="Closed">
      <formula>NOT(ISERROR(SEARCH("Closed",I6)))</formula>
    </cfRule>
    <cfRule type="containsText" dxfId="538" priority="8" operator="containsText" text="Open">
      <formula>NOT(ISERROR(SEARCH("Open",I6)))</formula>
    </cfRule>
    <cfRule type="containsText" dxfId="537" priority="9" operator="containsText" text="Inprogress">
      <formula>NOT(ISERROR(SEARCH("Inprogress",I6)))</formula>
    </cfRule>
  </conditionalFormatting>
  <conditionalFormatting sqref="H7:H13">
    <cfRule type="containsText" dxfId="536" priority="1" operator="containsText" text="Closed">
      <formula>NOT(ISERROR(SEARCH("Closed",H7)))</formula>
    </cfRule>
    <cfRule type="containsText" dxfId="535" priority="2" operator="containsText" text="Open">
      <formula>NOT(ISERROR(SEARCH("Open",H7)))</formula>
    </cfRule>
    <cfRule type="containsText" dxfId="534" priority="3" operator="containsText" text="Inprogress">
      <formula>NOT(ISERROR(SEARCH("Inprogress",H7)))</formula>
    </cfRule>
  </conditionalFormatting>
  <dataValidations count="11">
    <dataValidation type="list" allowBlank="1" showErrorMessage="1" sqref="J1" xr:uid="{DD685B14-863B-40A8-AA26-207CD0FEA8E4}">
      <formula1>"Open,Inprogress,Closed"</formula1>
    </dataValidation>
    <dataValidation showErrorMessage="1" sqref="I1" xr:uid="{47DDA49A-73A6-403B-8ABB-26BEA89B80B9}"/>
    <dataValidation allowBlank="1" showInputMessage="1" showErrorMessage="1" sqref="AD1:AE1 X16 X18" xr:uid="{BB7324BF-2119-44B5-8386-BE0496190C4B}"/>
    <dataValidation type="list" showErrorMessage="1" sqref="Y1:Z1 W1 O1" xr:uid="{D5675595-2E50-40F5-877F-71B5E3794739}">
      <formula1>"Open,Inprogress,Completed,TBD,NA"</formula1>
    </dataValidation>
    <dataValidation type="list" showErrorMessage="1" sqref="S1:T1 X1 AA1" xr:uid="{B013DC4E-3576-4CAC-8CA3-D8D2EE081F97}">
      <formula1>"No issues found,Issues observed(BacktoDev),DB Script tests in QA DB,NA,TBD"</formula1>
    </dataValidation>
    <dataValidation type="list" showErrorMessage="1" sqref="AB1" xr:uid="{77F91DDC-B3CC-45AE-A218-142FCFA1A3F3}">
      <formula1>"Approved-Satisified AC,Not Approved(Back to Dev),NA,TBD"</formula1>
    </dataValidation>
    <dataValidation type="list" showErrorMessage="1" sqref="AC1" xr:uid="{DDCF6A31-6001-430D-A373-40877EA89B76}">
      <formula1>"Pending-Waiting for Customer confirmation, Approved-Satisified AC,Not Approved-New minor changes requested(Back to Dev),NA,TBD"</formula1>
    </dataValidation>
    <dataValidation type="list" showErrorMessage="1" sqref="Q1" xr:uid="{3E4F3BDC-B69D-4EBF-977F-F97594B4E994}">
      <formula1>"Pass,Fail(BacktoDev),DB Script tests in QA DB,TBD"</formula1>
    </dataValidation>
    <dataValidation type="list" showErrorMessage="1" sqref="R1" xr:uid="{70C4ED3B-272B-4588-AAE9-171AC20FC500}">
      <formula1>"Qadir,Rijo,Karthik,None,TBD"</formula1>
    </dataValidation>
    <dataValidation type="list" showErrorMessage="1" sqref="P1" xr:uid="{EE6319CD-3E7D-4683-9302-0282F84911F5}">
      <formula1>"Qadir,Rijo,Karthik,Sushmitha,None,TBD"</formula1>
    </dataValidation>
    <dataValidation type="list" allowBlank="1" showInputMessage="1" showErrorMessage="1" sqref="AE2:AE12 AE14:AE15" xr:uid="{91D3F0BE-2670-4DBB-91FD-527CEFF08F05}">
      <formula1>"Exceeds Expectation,Meets Expectation,Needs improvements"</formula1>
    </dataValidation>
  </dataValidations>
  <hyperlinks>
    <hyperlink ref="T14" r:id="rId1" xr:uid="{95C32D30-27F5-45B1-85E9-5DC6B349DCC6}"/>
    <hyperlink ref="T16" r:id="rId2" xr:uid="{D1CE0388-F563-495A-B011-72784B4E4C4A}"/>
    <hyperlink ref="T2" r:id="rId3" xr:uid="{E45607F5-2509-4988-965F-60D862807F84}"/>
    <hyperlink ref="T4" r:id="rId4" xr:uid="{607F69B3-E273-4ACE-972D-F01A66ADEBB7}"/>
    <hyperlink ref="T5" r:id="rId5" xr:uid="{49868485-A150-4A1B-B3E4-07D9922298F5}"/>
    <hyperlink ref="T15" r:id="rId6" xr:uid="{84C0AF9B-B714-4F69-AE1D-AD1FC5F0A42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64F0A80-F982-40C0-9F62-9AC5B743578F}">
          <x14:formula1>
            <xm:f>Settings!$C$3:$C$20</xm:f>
          </x14:formula1>
          <xm:sqref>I2:I12 I14:I19</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FE400-0880-41CA-B4C6-8795A95DD2CF}">
  <dimension ref="A1:M13"/>
  <sheetViews>
    <sheetView topLeftCell="D4" workbookViewId="0">
      <selection activeCell="K3" sqref="K3"/>
    </sheetView>
  </sheetViews>
  <sheetFormatPr defaultRowHeight="12.75"/>
  <cols>
    <col min="2" max="2" width="16.42578125" customWidth="1"/>
    <col min="6" max="6" width="14.42578125" customWidth="1"/>
    <col min="7" max="7" width="78.85546875" customWidth="1"/>
    <col min="11" max="11" width="13" customWidth="1"/>
    <col min="12" max="12" width="14.85546875" customWidth="1"/>
    <col min="13" max="13" width="44.42578125" customWidth="1"/>
  </cols>
  <sheetData>
    <row r="1" spans="1:13" ht="31.5" customHeight="1">
      <c r="A1" s="542" t="s">
        <v>266</v>
      </c>
      <c r="B1" s="543" t="s">
        <v>10</v>
      </c>
      <c r="C1" s="543" t="s">
        <v>267</v>
      </c>
      <c r="D1" s="543" t="s">
        <v>268</v>
      </c>
      <c r="E1" s="543" t="s">
        <v>269</v>
      </c>
      <c r="F1" s="543" t="s">
        <v>270</v>
      </c>
      <c r="G1" s="543" t="s">
        <v>271</v>
      </c>
      <c r="H1" s="543" t="s">
        <v>272</v>
      </c>
      <c r="I1" s="543" t="s">
        <v>273</v>
      </c>
      <c r="J1" s="543" t="s">
        <v>274</v>
      </c>
      <c r="K1" s="543" t="s">
        <v>275</v>
      </c>
      <c r="L1" s="544" t="s">
        <v>276</v>
      </c>
      <c r="M1" s="527" t="s">
        <v>277</v>
      </c>
    </row>
    <row r="2" spans="1:13" s="150" customFormat="1" ht="104.25" customHeight="1">
      <c r="A2" s="147">
        <v>1</v>
      </c>
      <c r="B2" s="146" t="s">
        <v>2446</v>
      </c>
      <c r="C2" s="147">
        <v>48811</v>
      </c>
      <c r="D2" s="147"/>
      <c r="E2" s="147" t="s">
        <v>315</v>
      </c>
      <c r="F2" s="573" t="s">
        <v>1668</v>
      </c>
      <c r="G2" s="146" t="s">
        <v>2533</v>
      </c>
      <c r="H2" s="165" t="s">
        <v>1670</v>
      </c>
      <c r="I2" s="512" t="s">
        <v>518</v>
      </c>
      <c r="J2" s="165" t="s">
        <v>525</v>
      </c>
      <c r="K2" s="574" t="s">
        <v>1674</v>
      </c>
      <c r="L2" s="62" t="s">
        <v>526</v>
      </c>
      <c r="M2" s="146" t="s">
        <v>2534</v>
      </c>
    </row>
    <row r="3" spans="1:13" ht="163.5" customHeight="1">
      <c r="A3" s="147">
        <v>2</v>
      </c>
      <c r="B3" s="146" t="s">
        <v>2446</v>
      </c>
      <c r="C3" s="147">
        <v>48656</v>
      </c>
      <c r="D3" s="147"/>
      <c r="E3" s="147" t="s">
        <v>317</v>
      </c>
      <c r="F3" s="574" t="s">
        <v>1668</v>
      </c>
      <c r="G3" s="146" t="s">
        <v>2535</v>
      </c>
      <c r="H3" s="165" t="s">
        <v>1670</v>
      </c>
      <c r="I3" s="512" t="s">
        <v>518</v>
      </c>
      <c r="J3" s="165" t="s">
        <v>525</v>
      </c>
      <c r="K3" s="574" t="s">
        <v>1674</v>
      </c>
      <c r="L3" s="62" t="s">
        <v>526</v>
      </c>
      <c r="M3" s="146" t="s">
        <v>2536</v>
      </c>
    </row>
    <row r="4" spans="1:13" s="150" customFormat="1" ht="81">
      <c r="A4" s="147">
        <v>3</v>
      </c>
      <c r="B4" s="146" t="s">
        <v>2446</v>
      </c>
      <c r="C4" s="147">
        <v>47891</v>
      </c>
      <c r="D4" s="147"/>
      <c r="E4" s="147" t="s">
        <v>315</v>
      </c>
      <c r="F4" s="575" t="s">
        <v>1668</v>
      </c>
      <c r="G4" s="146" t="s">
        <v>2537</v>
      </c>
      <c r="H4" s="165" t="s">
        <v>1670</v>
      </c>
      <c r="I4" s="512" t="s">
        <v>518</v>
      </c>
      <c r="J4" s="165" t="s">
        <v>525</v>
      </c>
      <c r="K4" s="574" t="s">
        <v>1674</v>
      </c>
      <c r="L4" s="62" t="s">
        <v>526</v>
      </c>
      <c r="M4" s="146" t="s">
        <v>2538</v>
      </c>
    </row>
    <row r="5" spans="1:13" ht="35.25">
      <c r="A5" s="93">
        <v>4</v>
      </c>
      <c r="B5" s="146" t="s">
        <v>2446</v>
      </c>
      <c r="C5" s="93">
        <v>25684</v>
      </c>
      <c r="D5" s="93"/>
      <c r="E5" s="93" t="s">
        <v>315</v>
      </c>
      <c r="F5" s="572" t="s">
        <v>522</v>
      </c>
      <c r="G5" s="77" t="s">
        <v>2539</v>
      </c>
      <c r="H5" s="11" t="s">
        <v>1670</v>
      </c>
      <c r="I5" s="388" t="s">
        <v>518</v>
      </c>
      <c r="J5" s="11" t="s">
        <v>525</v>
      </c>
      <c r="K5" s="388" t="s">
        <v>1671</v>
      </c>
      <c r="L5" s="62" t="s">
        <v>526</v>
      </c>
      <c r="M5" s="96" t="s">
        <v>2540</v>
      </c>
    </row>
    <row r="6" spans="1:13" ht="35.25">
      <c r="A6" s="93">
        <v>5</v>
      </c>
      <c r="B6" s="146" t="s">
        <v>2446</v>
      </c>
      <c r="C6" s="93">
        <v>25687</v>
      </c>
      <c r="D6" s="93"/>
      <c r="E6" s="93" t="s">
        <v>315</v>
      </c>
      <c r="F6" s="572" t="s">
        <v>522</v>
      </c>
      <c r="G6" s="77" t="s">
        <v>2541</v>
      </c>
      <c r="H6" s="11" t="s">
        <v>1670</v>
      </c>
      <c r="I6" s="388" t="s">
        <v>518</v>
      </c>
      <c r="J6" s="11" t="s">
        <v>525</v>
      </c>
      <c r="K6" s="388" t="s">
        <v>1671</v>
      </c>
      <c r="L6" s="62" t="s">
        <v>526</v>
      </c>
      <c r="M6" s="96" t="s">
        <v>2542</v>
      </c>
    </row>
    <row r="7" spans="1:13">
      <c r="A7" s="93"/>
      <c r="B7" s="93"/>
      <c r="C7" s="93"/>
      <c r="D7" s="93"/>
      <c r="E7" s="93"/>
      <c r="F7" s="572"/>
      <c r="G7" s="77"/>
      <c r="H7" s="11"/>
      <c r="I7" s="388"/>
      <c r="J7" s="11"/>
      <c r="K7" s="388"/>
      <c r="L7" s="11"/>
      <c r="M7" s="93"/>
    </row>
    <row r="8" spans="1:13">
      <c r="A8" s="93"/>
      <c r="B8" s="93"/>
      <c r="C8" s="93"/>
      <c r="D8" s="93"/>
      <c r="E8" s="93"/>
      <c r="F8" s="572"/>
      <c r="G8" s="77"/>
      <c r="H8" s="11"/>
      <c r="I8" s="388"/>
      <c r="J8" s="11"/>
      <c r="K8" s="388"/>
      <c r="L8" s="11"/>
      <c r="M8" s="93"/>
    </row>
    <row r="9" spans="1:13">
      <c r="A9" s="93"/>
      <c r="B9" s="93"/>
      <c r="C9" s="93"/>
      <c r="D9" s="93"/>
      <c r="E9" s="93"/>
      <c r="F9" s="572"/>
      <c r="G9" s="77"/>
      <c r="H9" s="11"/>
      <c r="I9" s="388"/>
      <c r="J9" s="11"/>
      <c r="K9" s="388"/>
      <c r="L9" s="11"/>
      <c r="M9" s="93"/>
    </row>
    <row r="10" spans="1:13">
      <c r="A10" s="93"/>
      <c r="B10" s="93"/>
      <c r="C10" s="93"/>
      <c r="D10" s="93"/>
      <c r="E10" s="93"/>
      <c r="F10" s="572"/>
      <c r="G10" s="77"/>
      <c r="H10" s="11"/>
      <c r="I10" s="388"/>
      <c r="J10" s="11"/>
      <c r="K10" s="388"/>
      <c r="L10" s="11"/>
      <c r="M10" s="93"/>
    </row>
    <row r="11" spans="1:13">
      <c r="A11" s="93"/>
      <c r="B11" s="93"/>
      <c r="C11" s="93"/>
      <c r="D11" s="93"/>
      <c r="E11" s="93"/>
      <c r="F11" s="572"/>
      <c r="G11" s="77"/>
      <c r="H11" s="11"/>
      <c r="I11" s="388"/>
      <c r="J11" s="11"/>
      <c r="K11" s="388"/>
      <c r="L11" s="11"/>
      <c r="M11" s="93"/>
    </row>
    <row r="12" spans="1:13">
      <c r="A12" s="93"/>
      <c r="B12" s="93"/>
      <c r="C12" s="93"/>
      <c r="D12" s="93"/>
      <c r="E12" s="93"/>
      <c r="F12" s="572"/>
      <c r="G12" s="77"/>
      <c r="H12" s="11"/>
      <c r="I12" s="388"/>
      <c r="J12" s="11"/>
      <c r="K12" s="388"/>
      <c r="L12" s="11"/>
      <c r="M12" s="93"/>
    </row>
    <row r="13" spans="1:13">
      <c r="A13" s="93"/>
      <c r="B13" s="93"/>
      <c r="C13" s="93"/>
      <c r="D13" s="93"/>
      <c r="E13" s="93"/>
      <c r="F13" s="572"/>
      <c r="G13" s="77"/>
      <c r="H13" s="11"/>
      <c r="I13" s="388"/>
      <c r="J13" s="11"/>
      <c r="K13" s="388"/>
      <c r="L13" s="11"/>
      <c r="M13" s="93"/>
    </row>
  </sheetData>
  <dataValidations count="6">
    <dataValidation type="list" allowBlank="1" showErrorMessage="1" sqref="L7:L13" xr:uid="{15DB7066-52DE-4BB7-B3DE-C369301AC62F}">
      <formula1>$A$2:$A$10</formula1>
    </dataValidation>
    <dataValidation type="list" allowBlank="1" showErrorMessage="1" sqref="K2:K13" xr:uid="{4B12B4E2-3746-46EF-816F-22F18A8BB775}">
      <formula1>"Open,Inprogress,Closed/Rejected"</formula1>
    </dataValidation>
    <dataValidation type="list" allowBlank="1" showErrorMessage="1" sqref="I2:I13" xr:uid="{83E7D1FB-D78A-4CBE-8AAF-531DEB96FB8A}">
      <formula1>"Manual, Automation"</formula1>
    </dataValidation>
    <dataValidation type="list" allowBlank="1" showErrorMessage="1" sqref="F2:F13" xr:uid="{58708669-8717-4964-AD91-ED01C5E09EAB}">
      <formula1>"Bounceback/Sub-Defect,Defect,None"</formula1>
    </dataValidation>
    <dataValidation type="list" allowBlank="1" showErrorMessage="1" sqref="H2:H13" xr:uid="{2053AA50-D205-47C2-A16A-D10BEE46EBBF}">
      <formula1>"Minor,Significant,Major"</formula1>
    </dataValidation>
    <dataValidation type="list" allowBlank="1" showErrorMessage="1" sqref="J2:J13" xr:uid="{FC1B6535-287F-4797-BE11-37C0CCF44D1A}">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7D23E40-D190-4CC6-81D9-E24C39F92AB2}">
          <x14:formula1>
            <xm:f>Details!$A$2:$A$10</xm:f>
          </x14:formula1>
          <xm:sqref>L2:L6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3AE7-23BA-4C90-A574-1A7FCC5A9F2B}">
  <dimension ref="A1:BY15"/>
  <sheetViews>
    <sheetView workbookViewId="0">
      <pane ySplit="1" topLeftCell="K17" activePane="bottomLeft" state="frozen"/>
      <selection pane="bottomLeft" activeCell="AC4" sqref="AC4"/>
    </sheetView>
  </sheetViews>
  <sheetFormatPr defaultRowHeight="12.75"/>
  <cols>
    <col min="2" max="2" width="11.28515625" customWidth="1"/>
    <col min="3" max="3" width="10.42578125" customWidth="1"/>
    <col min="4" max="4" width="10.85546875" customWidth="1"/>
    <col min="5" max="5" width="15.140625" customWidth="1"/>
    <col min="7" max="7" width="10.5703125" customWidth="1"/>
    <col min="8" max="8" width="24.5703125" customWidth="1"/>
    <col min="9" max="9" width="23.42578125" customWidth="1"/>
    <col min="13" max="13" width="11.28515625" customWidth="1"/>
    <col min="15" max="15" width="12.7109375" customWidth="1"/>
    <col min="17" max="17" width="26.85546875" customWidth="1"/>
    <col min="18" max="18" width="24.5703125" customWidth="1"/>
    <col min="19" max="19" width="15.28515625" customWidth="1"/>
    <col min="20" max="20" width="13.140625" customWidth="1"/>
    <col min="21" max="21" width="12.85546875" customWidth="1"/>
    <col min="22" max="22" width="49.85546875" customWidth="1"/>
    <col min="23" max="23" width="11.7109375" customWidth="1"/>
    <col min="24" max="24" width="12.7109375" customWidth="1"/>
    <col min="25" max="25" width="14.7109375" customWidth="1"/>
    <col min="26" max="26" width="22.5703125" customWidth="1"/>
    <col min="28" max="28" width="31.5703125" customWidth="1"/>
    <col min="29" max="29" width="14.42578125" customWidth="1"/>
    <col min="30" max="30" width="27.42578125" customWidth="1"/>
    <col min="31" max="31" width="24" customWidth="1"/>
    <col min="32" max="32" width="22" customWidth="1"/>
    <col min="33" max="33" width="30.28515625" customWidth="1"/>
    <col min="34" max="34" width="15.140625" customWidth="1"/>
    <col min="35" max="35" width="14.85546875" customWidth="1"/>
    <col min="36" max="36" width="16.7109375" style="100" customWidth="1"/>
    <col min="37" max="37" width="15.7109375" style="100" customWidth="1"/>
    <col min="38" max="38" width="14.85546875" customWidth="1"/>
    <col min="39" max="39" width="16.85546875" style="100" customWidth="1"/>
  </cols>
  <sheetData>
    <row r="1" spans="1:77" ht="54.75" customHeight="1">
      <c r="A1" s="247" t="s">
        <v>266</v>
      </c>
      <c r="B1" s="247" t="s">
        <v>4</v>
      </c>
      <c r="C1" s="247" t="s">
        <v>2</v>
      </c>
      <c r="D1" s="247" t="s">
        <v>3</v>
      </c>
      <c r="E1" s="247" t="s">
        <v>278</v>
      </c>
      <c r="F1" s="247" t="s">
        <v>269</v>
      </c>
      <c r="G1" s="247" t="s">
        <v>279</v>
      </c>
      <c r="H1" s="247" t="s">
        <v>280</v>
      </c>
      <c r="I1" s="247" t="s">
        <v>275</v>
      </c>
      <c r="J1" s="247" t="s">
        <v>281</v>
      </c>
      <c r="K1" s="247" t="s">
        <v>282</v>
      </c>
      <c r="L1" s="247" t="s">
        <v>283</v>
      </c>
      <c r="M1" s="247" t="s">
        <v>286</v>
      </c>
      <c r="N1" s="247" t="s">
        <v>287</v>
      </c>
      <c r="O1" s="247" t="s">
        <v>288</v>
      </c>
      <c r="P1" s="247" t="s">
        <v>289</v>
      </c>
      <c r="Q1" s="247" t="s">
        <v>290</v>
      </c>
      <c r="R1" s="247" t="s">
        <v>291</v>
      </c>
      <c r="S1" s="516" t="s">
        <v>292</v>
      </c>
      <c r="T1" s="516" t="s">
        <v>293</v>
      </c>
      <c r="U1" s="247" t="s">
        <v>294</v>
      </c>
      <c r="V1" s="247" t="s">
        <v>295</v>
      </c>
      <c r="W1" s="247" t="s">
        <v>296</v>
      </c>
      <c r="X1" s="516" t="s">
        <v>297</v>
      </c>
      <c r="Y1" s="247" t="s">
        <v>298</v>
      </c>
      <c r="Z1" s="247" t="s">
        <v>299</v>
      </c>
      <c r="AA1" s="247" t="s">
        <v>300</v>
      </c>
      <c r="AB1" s="517" t="s">
        <v>277</v>
      </c>
      <c r="AC1" s="247" t="s">
        <v>301</v>
      </c>
      <c r="AD1" s="518">
        <v>45840</v>
      </c>
      <c r="AE1" s="518">
        <v>45841</v>
      </c>
      <c r="AF1" s="518">
        <v>45842</v>
      </c>
      <c r="AG1" s="518">
        <v>45845</v>
      </c>
      <c r="AH1" s="518">
        <v>45846</v>
      </c>
      <c r="AI1" s="518">
        <v>45847</v>
      </c>
      <c r="AJ1" s="518">
        <v>45848</v>
      </c>
      <c r="AK1" s="518">
        <v>45849</v>
      </c>
      <c r="AL1" s="518">
        <v>45852</v>
      </c>
      <c r="AM1" s="518">
        <v>45853</v>
      </c>
    </row>
    <row r="2" spans="1:77" ht="104.25">
      <c r="A2" s="93">
        <v>1</v>
      </c>
      <c r="B2" s="489" t="s">
        <v>5</v>
      </c>
      <c r="C2" s="556">
        <v>45840</v>
      </c>
      <c r="D2" s="556">
        <v>45853</v>
      </c>
      <c r="E2" s="77" t="s">
        <v>2543</v>
      </c>
      <c r="F2" s="197" t="s">
        <v>315</v>
      </c>
      <c r="G2" s="197">
        <v>48811</v>
      </c>
      <c r="H2" s="77" t="s">
        <v>2466</v>
      </c>
      <c r="I2" s="490" t="s">
        <v>1117</v>
      </c>
      <c r="J2" s="197">
        <v>3</v>
      </c>
      <c r="K2" s="197">
        <v>3.5</v>
      </c>
      <c r="L2" s="197">
        <v>14.74</v>
      </c>
      <c r="M2" s="197" t="s">
        <v>12</v>
      </c>
      <c r="N2" s="197" t="s">
        <v>313</v>
      </c>
      <c r="O2" s="116" t="s">
        <v>316</v>
      </c>
      <c r="P2" s="197" t="s">
        <v>317</v>
      </c>
      <c r="Q2" s="77" t="s">
        <v>2544</v>
      </c>
      <c r="R2" s="145" t="s">
        <v>2545</v>
      </c>
      <c r="S2" s="558">
        <v>45847</v>
      </c>
      <c r="T2" s="558">
        <v>45847</v>
      </c>
      <c r="U2" s="116" t="s">
        <v>12</v>
      </c>
      <c r="V2" s="490" t="s">
        <v>316</v>
      </c>
      <c r="W2" s="116" t="s">
        <v>319</v>
      </c>
      <c r="X2" s="197" t="s">
        <v>320</v>
      </c>
      <c r="Y2" s="197" t="s">
        <v>320</v>
      </c>
      <c r="Z2" s="77" t="s">
        <v>2546</v>
      </c>
      <c r="AA2" s="198" t="s">
        <v>2516</v>
      </c>
      <c r="AB2" s="146" t="s">
        <v>2547</v>
      </c>
      <c r="AC2" s="536" t="s">
        <v>423</v>
      </c>
      <c r="AD2" s="96" t="s">
        <v>2548</v>
      </c>
      <c r="AE2" s="96" t="s">
        <v>2549</v>
      </c>
      <c r="AF2" s="96" t="s">
        <v>2550</v>
      </c>
      <c r="AG2" s="96" t="s">
        <v>2551</v>
      </c>
      <c r="AH2" s="96" t="s">
        <v>2552</v>
      </c>
      <c r="AI2" s="96" t="s">
        <v>2553</v>
      </c>
      <c r="AJ2" s="96" t="s">
        <v>2427</v>
      </c>
      <c r="AK2" s="96" t="s">
        <v>2554</v>
      </c>
      <c r="AL2" s="96" t="s">
        <v>2555</v>
      </c>
      <c r="AM2" s="96" t="s">
        <v>2556</v>
      </c>
    </row>
    <row r="3" spans="1:77" ht="104.25">
      <c r="A3" s="118">
        <v>2</v>
      </c>
      <c r="B3" s="559" t="s">
        <v>5</v>
      </c>
      <c r="C3" s="556">
        <v>45840</v>
      </c>
      <c r="D3" s="556">
        <v>45853</v>
      </c>
      <c r="E3" s="138" t="s">
        <v>2557</v>
      </c>
      <c r="F3" s="232" t="s">
        <v>315</v>
      </c>
      <c r="G3" s="232">
        <v>48541</v>
      </c>
      <c r="H3" s="138" t="s">
        <v>2474</v>
      </c>
      <c r="I3" s="561" t="s">
        <v>1117</v>
      </c>
      <c r="J3" s="232">
        <v>3</v>
      </c>
      <c r="K3" s="232">
        <v>3</v>
      </c>
      <c r="L3" s="232">
        <v>12</v>
      </c>
      <c r="M3" s="197" t="s">
        <v>12</v>
      </c>
      <c r="N3" s="232" t="s">
        <v>313</v>
      </c>
      <c r="O3" s="116" t="s">
        <v>316</v>
      </c>
      <c r="P3" s="197" t="s">
        <v>317</v>
      </c>
      <c r="Q3" s="197" t="s">
        <v>316</v>
      </c>
      <c r="R3" s="568" t="s">
        <v>2545</v>
      </c>
      <c r="S3" s="558">
        <v>45847</v>
      </c>
      <c r="T3" s="558">
        <v>45847</v>
      </c>
      <c r="U3" s="116" t="s">
        <v>12</v>
      </c>
      <c r="V3" s="490" t="s">
        <v>316</v>
      </c>
      <c r="W3" s="116" t="s">
        <v>319</v>
      </c>
      <c r="X3" s="197" t="s">
        <v>320</v>
      </c>
      <c r="Y3" s="197" t="s">
        <v>320</v>
      </c>
      <c r="Z3" s="198" t="s">
        <v>2516</v>
      </c>
      <c r="AA3" s="198" t="s">
        <v>2516</v>
      </c>
      <c r="AB3" s="146" t="s">
        <v>2547</v>
      </c>
      <c r="AC3" s="536" t="s">
        <v>423</v>
      </c>
      <c r="AD3" s="96" t="s">
        <v>2548</v>
      </c>
      <c r="AE3" s="96" t="s">
        <v>2549</v>
      </c>
      <c r="AF3" s="96" t="s">
        <v>2550</v>
      </c>
      <c r="AG3" s="96" t="s">
        <v>2551</v>
      </c>
      <c r="AH3" s="96" t="s">
        <v>2552</v>
      </c>
      <c r="AI3" s="96" t="s">
        <v>2553</v>
      </c>
      <c r="AJ3" s="96" t="s">
        <v>2427</v>
      </c>
      <c r="AK3" s="96" t="s">
        <v>2554</v>
      </c>
      <c r="AL3" s="96" t="s">
        <v>2555</v>
      </c>
      <c r="AM3" s="96" t="s">
        <v>2556</v>
      </c>
    </row>
    <row r="4" spans="1:77" s="93" customFormat="1" ht="69">
      <c r="A4" s="93">
        <v>3</v>
      </c>
      <c r="B4" s="490" t="s">
        <v>5</v>
      </c>
      <c r="C4" s="556">
        <v>45840</v>
      </c>
      <c r="D4" s="556">
        <v>45853</v>
      </c>
      <c r="E4" s="77" t="s">
        <v>2557</v>
      </c>
      <c r="F4" s="93" t="s">
        <v>313</v>
      </c>
      <c r="G4" s="197">
        <v>47287</v>
      </c>
      <c r="H4" s="96" t="s">
        <v>2558</v>
      </c>
      <c r="I4" s="490" t="s">
        <v>306</v>
      </c>
      <c r="J4" s="197">
        <v>2</v>
      </c>
      <c r="K4" s="93">
        <v>2.5</v>
      </c>
      <c r="L4" s="118">
        <v>10</v>
      </c>
      <c r="M4" s="197" t="s">
        <v>12</v>
      </c>
      <c r="N4" s="93" t="s">
        <v>317</v>
      </c>
      <c r="O4" s="93" t="s">
        <v>316</v>
      </c>
      <c r="P4" s="93" t="s">
        <v>317</v>
      </c>
      <c r="Q4" s="93" t="s">
        <v>316</v>
      </c>
      <c r="R4" s="93" t="s">
        <v>320</v>
      </c>
      <c r="S4" s="93" t="s">
        <v>320</v>
      </c>
      <c r="T4" s="93" t="s">
        <v>320</v>
      </c>
      <c r="U4" s="93" t="s">
        <v>320</v>
      </c>
      <c r="V4" s="93" t="s">
        <v>316</v>
      </c>
      <c r="W4" s="93" t="s">
        <v>320</v>
      </c>
      <c r="X4" s="93" t="s">
        <v>320</v>
      </c>
      <c r="Y4" s="93" t="s">
        <v>320</v>
      </c>
      <c r="Z4" s="93" t="s">
        <v>2516</v>
      </c>
      <c r="AA4" s="198" t="s">
        <v>2516</v>
      </c>
      <c r="AB4" s="119" t="s">
        <v>2559</v>
      </c>
      <c r="AC4" s="536" t="s">
        <v>423</v>
      </c>
      <c r="AD4" s="96" t="s">
        <v>2560</v>
      </c>
      <c r="AE4" s="96" t="s">
        <v>2561</v>
      </c>
      <c r="AF4" s="93" t="s">
        <v>2562</v>
      </c>
      <c r="AG4" s="96" t="s">
        <v>2563</v>
      </c>
      <c r="AH4" s="93" t="s">
        <v>2564</v>
      </c>
      <c r="AI4" s="93" t="s">
        <v>1126</v>
      </c>
      <c r="AJ4" s="96" t="s">
        <v>434</v>
      </c>
      <c r="AK4" s="96" t="s">
        <v>434</v>
      </c>
      <c r="AL4" s="93" t="s">
        <v>434</v>
      </c>
      <c r="AM4" s="96" t="s">
        <v>434</v>
      </c>
    </row>
    <row r="5" spans="1:77" ht="58.5">
      <c r="A5" s="197">
        <v>4</v>
      </c>
      <c r="B5" s="490" t="s">
        <v>5</v>
      </c>
      <c r="C5" s="556">
        <v>45840</v>
      </c>
      <c r="D5" s="556">
        <v>45853</v>
      </c>
      <c r="E5" s="77" t="s">
        <v>2557</v>
      </c>
      <c r="F5" s="197" t="s">
        <v>1216</v>
      </c>
      <c r="G5" s="197" t="s">
        <v>2565</v>
      </c>
      <c r="H5" s="77" t="s">
        <v>2566</v>
      </c>
      <c r="I5" s="490" t="s">
        <v>306</v>
      </c>
      <c r="J5" s="197">
        <v>5</v>
      </c>
      <c r="K5" s="198">
        <v>4</v>
      </c>
      <c r="L5" s="570">
        <v>20</v>
      </c>
      <c r="M5" s="209" t="s">
        <v>320</v>
      </c>
      <c r="N5" s="197" t="s">
        <v>313</v>
      </c>
      <c r="O5" s="197" t="s">
        <v>434</v>
      </c>
      <c r="P5" s="197" t="s">
        <v>317</v>
      </c>
      <c r="Q5" s="197" t="s">
        <v>316</v>
      </c>
      <c r="R5" s="557" t="s">
        <v>2567</v>
      </c>
      <c r="S5" s="558">
        <v>45847</v>
      </c>
      <c r="T5" s="558">
        <v>45847</v>
      </c>
      <c r="U5" s="197" t="s">
        <v>12</v>
      </c>
      <c r="V5" s="77" t="s">
        <v>434</v>
      </c>
      <c r="W5" s="190" t="s">
        <v>434</v>
      </c>
      <c r="X5" s="190" t="s">
        <v>434</v>
      </c>
      <c r="Y5" s="190" t="s">
        <v>434</v>
      </c>
      <c r="Z5" s="190" t="s">
        <v>320</v>
      </c>
      <c r="AA5" s="190" t="s">
        <v>320</v>
      </c>
      <c r="AB5" s="146"/>
      <c r="AC5" s="536" t="s">
        <v>423</v>
      </c>
      <c r="AD5" s="146" t="s">
        <v>2568</v>
      </c>
      <c r="AE5" s="146" t="s">
        <v>2569</v>
      </c>
      <c r="AF5" s="146" t="s">
        <v>2570</v>
      </c>
      <c r="AG5" s="146" t="s">
        <v>2571</v>
      </c>
      <c r="AH5" s="146" t="s">
        <v>2572</v>
      </c>
      <c r="AI5" s="147" t="s">
        <v>458</v>
      </c>
      <c r="AJ5" s="146" t="s">
        <v>434</v>
      </c>
      <c r="AK5" s="146" t="s">
        <v>434</v>
      </c>
      <c r="AL5" s="146" t="s">
        <v>434</v>
      </c>
      <c r="AM5" s="146" t="s">
        <v>434</v>
      </c>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row>
    <row r="6" spans="1:77" s="462" customFormat="1" ht="92.25">
      <c r="A6" s="190">
        <v>5</v>
      </c>
      <c r="B6" s="536" t="s">
        <v>5</v>
      </c>
      <c r="C6" s="556">
        <v>45840</v>
      </c>
      <c r="D6" s="556">
        <v>45853</v>
      </c>
      <c r="E6" s="189" t="s">
        <v>2557</v>
      </c>
      <c r="F6" s="190" t="s">
        <v>2038</v>
      </c>
      <c r="G6" s="190">
        <v>48812</v>
      </c>
      <c r="H6" s="189" t="s">
        <v>2573</v>
      </c>
      <c r="I6" s="536" t="s">
        <v>306</v>
      </c>
      <c r="J6" s="190">
        <v>0.5</v>
      </c>
      <c r="K6" s="566">
        <v>0</v>
      </c>
      <c r="L6" s="147">
        <v>0</v>
      </c>
      <c r="M6" s="565" t="s">
        <v>320</v>
      </c>
      <c r="N6" s="190" t="s">
        <v>317</v>
      </c>
      <c r="O6" s="190" t="s">
        <v>434</v>
      </c>
      <c r="P6" s="190" t="s">
        <v>317</v>
      </c>
      <c r="Q6" s="190" t="s">
        <v>316</v>
      </c>
      <c r="R6" s="563" t="s">
        <v>2574</v>
      </c>
      <c r="S6" s="564">
        <v>45832</v>
      </c>
      <c r="T6" s="564">
        <v>45695</v>
      </c>
      <c r="U6" s="190" t="s">
        <v>12</v>
      </c>
      <c r="V6" s="189" t="s">
        <v>2575</v>
      </c>
      <c r="W6" s="190" t="s">
        <v>434</v>
      </c>
      <c r="X6" s="190" t="s">
        <v>434</v>
      </c>
      <c r="Y6" s="190" t="s">
        <v>434</v>
      </c>
      <c r="Z6" s="190" t="s">
        <v>320</v>
      </c>
      <c r="AA6" s="190" t="s">
        <v>320</v>
      </c>
      <c r="AB6" s="189" t="s">
        <v>434</v>
      </c>
      <c r="AC6" s="536" t="s">
        <v>423</v>
      </c>
      <c r="AD6" s="189" t="s">
        <v>2576</v>
      </c>
      <c r="AE6" s="189" t="s">
        <v>2577</v>
      </c>
      <c r="AF6" s="189" t="s">
        <v>326</v>
      </c>
      <c r="AG6" s="189" t="s">
        <v>434</v>
      </c>
      <c r="AH6" s="190" t="s">
        <v>434</v>
      </c>
      <c r="AI6" s="190" t="s">
        <v>434</v>
      </c>
      <c r="AJ6" s="189" t="s">
        <v>434</v>
      </c>
      <c r="AK6" s="189" t="s">
        <v>434</v>
      </c>
      <c r="AL6" s="189" t="s">
        <v>434</v>
      </c>
      <c r="AM6" s="189" t="s">
        <v>434</v>
      </c>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row>
    <row r="7" spans="1:77" ht="142.5" customHeight="1">
      <c r="A7" s="118">
        <v>6</v>
      </c>
      <c r="B7" s="561" t="s">
        <v>5</v>
      </c>
      <c r="C7" s="560">
        <v>45840</v>
      </c>
      <c r="D7" s="560">
        <v>45853</v>
      </c>
      <c r="E7" s="138" t="s">
        <v>2557</v>
      </c>
      <c r="F7" s="118" t="s">
        <v>317</v>
      </c>
      <c r="G7" s="118">
        <v>48656</v>
      </c>
      <c r="H7" s="118" t="s">
        <v>2578</v>
      </c>
      <c r="I7" s="490" t="s">
        <v>399</v>
      </c>
      <c r="J7" s="118">
        <v>3</v>
      </c>
      <c r="K7" s="118"/>
      <c r="L7" s="239">
        <v>33.5</v>
      </c>
      <c r="M7" s="118" t="s">
        <v>12</v>
      </c>
      <c r="N7" s="118" t="s">
        <v>313</v>
      </c>
      <c r="O7" s="116" t="s">
        <v>316</v>
      </c>
      <c r="P7" s="118" t="s">
        <v>313</v>
      </c>
      <c r="Q7" s="116" t="s">
        <v>2579</v>
      </c>
      <c r="R7" s="569" t="s">
        <v>2580</v>
      </c>
      <c r="S7" s="558">
        <v>45852</v>
      </c>
      <c r="T7" s="558">
        <v>45852</v>
      </c>
      <c r="U7" s="118" t="s">
        <v>320</v>
      </c>
      <c r="V7" s="118" t="s">
        <v>320</v>
      </c>
      <c r="W7" s="118" t="s">
        <v>320</v>
      </c>
      <c r="X7" s="118" t="s">
        <v>320</v>
      </c>
      <c r="Y7" s="118" t="s">
        <v>320</v>
      </c>
      <c r="Z7" s="119" t="s">
        <v>2581</v>
      </c>
      <c r="AA7" s="198" t="s">
        <v>2516</v>
      </c>
      <c r="AB7" s="119" t="s">
        <v>2582</v>
      </c>
      <c r="AC7" s="536" t="s">
        <v>423</v>
      </c>
      <c r="AD7" s="119" t="s">
        <v>2583</v>
      </c>
      <c r="AE7" s="119" t="s">
        <v>2584</v>
      </c>
      <c r="AF7" s="118" t="s">
        <v>326</v>
      </c>
      <c r="AG7" s="119" t="s">
        <v>2585</v>
      </c>
      <c r="AH7" s="119" t="s">
        <v>2586</v>
      </c>
      <c r="AI7" s="119" t="s">
        <v>2587</v>
      </c>
      <c r="AJ7" s="119" t="s">
        <v>2588</v>
      </c>
      <c r="AK7" s="119" t="s">
        <v>2589</v>
      </c>
      <c r="AL7" s="119" t="s">
        <v>2590</v>
      </c>
      <c r="AM7" s="119" t="s">
        <v>2591</v>
      </c>
    </row>
    <row r="8" spans="1:77" s="93" customFormat="1" ht="46.5">
      <c r="A8" s="93">
        <v>7</v>
      </c>
      <c r="B8" s="490" t="s">
        <v>5</v>
      </c>
      <c r="C8" s="556">
        <v>45840</v>
      </c>
      <c r="D8" s="556">
        <v>45853</v>
      </c>
      <c r="E8" s="77" t="s">
        <v>2557</v>
      </c>
      <c r="F8" s="93" t="s">
        <v>313</v>
      </c>
      <c r="G8" s="93">
        <v>47278</v>
      </c>
      <c r="H8" s="77" t="s">
        <v>2592</v>
      </c>
      <c r="I8" s="490" t="s">
        <v>306</v>
      </c>
      <c r="J8" s="197">
        <v>2</v>
      </c>
      <c r="K8" s="197">
        <v>1.25</v>
      </c>
      <c r="L8" s="198">
        <v>5</v>
      </c>
      <c r="M8" s="197" t="s">
        <v>12</v>
      </c>
      <c r="N8" s="118" t="s">
        <v>315</v>
      </c>
      <c r="O8" s="116" t="s">
        <v>316</v>
      </c>
      <c r="P8" s="118" t="s">
        <v>317</v>
      </c>
      <c r="Q8" s="116" t="s">
        <v>316</v>
      </c>
      <c r="R8" s="93" t="s">
        <v>320</v>
      </c>
      <c r="S8" s="93" t="s">
        <v>320</v>
      </c>
      <c r="T8" s="93" t="s">
        <v>320</v>
      </c>
      <c r="U8" s="93" t="s">
        <v>320</v>
      </c>
      <c r="V8" s="93" t="s">
        <v>316</v>
      </c>
      <c r="W8" s="93" t="s">
        <v>320</v>
      </c>
      <c r="X8" s="93" t="s">
        <v>320</v>
      </c>
      <c r="Y8" s="93" t="s">
        <v>320</v>
      </c>
      <c r="Z8" s="93" t="s">
        <v>2516</v>
      </c>
      <c r="AA8" s="198" t="s">
        <v>2516</v>
      </c>
      <c r="AB8" s="119" t="s">
        <v>2559</v>
      </c>
      <c r="AC8" s="536" t="s">
        <v>423</v>
      </c>
      <c r="AE8" s="96" t="s">
        <v>2561</v>
      </c>
      <c r="AF8" s="93" t="s">
        <v>2593</v>
      </c>
      <c r="AG8" s="96" t="s">
        <v>2594</v>
      </c>
      <c r="AH8" s="96" t="s">
        <v>2594</v>
      </c>
      <c r="AI8" s="93" t="s">
        <v>854</v>
      </c>
      <c r="AJ8" s="96" t="s">
        <v>2595</v>
      </c>
      <c r="AK8" s="96" t="s">
        <v>2596</v>
      </c>
      <c r="AL8" s="96" t="s">
        <v>2597</v>
      </c>
      <c r="AM8" s="96" t="s">
        <v>1352</v>
      </c>
    </row>
    <row r="9" spans="1:77" s="118" customFormat="1" ht="69">
      <c r="A9" s="118">
        <v>8</v>
      </c>
      <c r="B9" s="561" t="s">
        <v>5</v>
      </c>
      <c r="C9" s="560">
        <v>45840</v>
      </c>
      <c r="D9" s="560">
        <v>45853</v>
      </c>
      <c r="E9" s="138" t="s">
        <v>2557</v>
      </c>
      <c r="F9" s="118" t="s">
        <v>313</v>
      </c>
      <c r="G9" s="118">
        <v>47280</v>
      </c>
      <c r="H9" s="119" t="s">
        <v>2598</v>
      </c>
      <c r="I9" s="561" t="s">
        <v>306</v>
      </c>
      <c r="J9" s="232">
        <v>2</v>
      </c>
      <c r="K9" s="118">
        <v>3.75</v>
      </c>
      <c r="L9" s="118">
        <v>15</v>
      </c>
      <c r="M9" s="239" t="s">
        <v>12</v>
      </c>
      <c r="N9" s="118" t="s">
        <v>315</v>
      </c>
      <c r="O9" s="116" t="s">
        <v>316</v>
      </c>
      <c r="P9" s="118" t="s">
        <v>317</v>
      </c>
      <c r="Q9" s="116" t="s">
        <v>316</v>
      </c>
      <c r="R9" s="93" t="s">
        <v>320</v>
      </c>
      <c r="S9" s="93" t="s">
        <v>320</v>
      </c>
      <c r="T9" s="93" t="s">
        <v>320</v>
      </c>
      <c r="U9" s="93" t="s">
        <v>320</v>
      </c>
      <c r="V9" s="93" t="s">
        <v>316</v>
      </c>
      <c r="W9" s="93" t="s">
        <v>320</v>
      </c>
      <c r="X9" s="93" t="s">
        <v>320</v>
      </c>
      <c r="Y9" s="93" t="s">
        <v>320</v>
      </c>
      <c r="Z9" s="93" t="s">
        <v>2516</v>
      </c>
      <c r="AA9" s="198" t="s">
        <v>2516</v>
      </c>
      <c r="AB9" s="119" t="s">
        <v>2599</v>
      </c>
      <c r="AC9" s="536" t="s">
        <v>1994</v>
      </c>
      <c r="AE9" s="119" t="s">
        <v>2600</v>
      </c>
      <c r="AF9" s="119" t="s">
        <v>2601</v>
      </c>
      <c r="AG9" s="119" t="s">
        <v>2602</v>
      </c>
      <c r="AH9" s="118" t="s">
        <v>2603</v>
      </c>
      <c r="AI9" s="93" t="s">
        <v>854</v>
      </c>
      <c r="AJ9" s="119" t="s">
        <v>458</v>
      </c>
      <c r="AK9" s="119" t="s">
        <v>434</v>
      </c>
      <c r="AL9" s="118" t="s">
        <v>434</v>
      </c>
      <c r="AM9" s="119" t="s">
        <v>434</v>
      </c>
    </row>
    <row r="10" spans="1:77" s="93" customFormat="1" ht="92.25" customHeight="1">
      <c r="A10" s="118">
        <v>9</v>
      </c>
      <c r="B10" s="490" t="s">
        <v>5</v>
      </c>
      <c r="C10" s="556">
        <v>45840</v>
      </c>
      <c r="D10" s="556">
        <v>45853</v>
      </c>
      <c r="E10" s="77" t="s">
        <v>2557</v>
      </c>
      <c r="F10" s="93" t="s">
        <v>313</v>
      </c>
      <c r="G10" s="93">
        <v>49012</v>
      </c>
      <c r="H10" s="96" t="s">
        <v>2513</v>
      </c>
      <c r="I10" s="490" t="s">
        <v>338</v>
      </c>
      <c r="J10" s="93">
        <v>3</v>
      </c>
      <c r="K10" s="93">
        <v>3.5</v>
      </c>
      <c r="L10" s="93">
        <v>10</v>
      </c>
      <c r="M10" s="239" t="s">
        <v>12</v>
      </c>
      <c r="AB10" s="96" t="s">
        <v>2604</v>
      </c>
      <c r="AJ10" s="96"/>
      <c r="AK10" s="96"/>
      <c r="AM10" s="96" t="s">
        <v>1067</v>
      </c>
    </row>
    <row r="11" spans="1:77" ht="58.5">
      <c r="A11" s="93">
        <v>10</v>
      </c>
      <c r="B11" s="561" t="s">
        <v>5</v>
      </c>
      <c r="C11" s="560">
        <v>45840</v>
      </c>
      <c r="D11" s="560">
        <v>45853</v>
      </c>
      <c r="E11" s="138" t="s">
        <v>2605</v>
      </c>
      <c r="F11" s="118" t="s">
        <v>313</v>
      </c>
      <c r="G11" s="118">
        <v>47281</v>
      </c>
      <c r="H11" s="119" t="s">
        <v>2606</v>
      </c>
      <c r="I11" s="561" t="s">
        <v>306</v>
      </c>
      <c r="J11" s="118">
        <v>2</v>
      </c>
      <c r="K11" s="118">
        <v>4</v>
      </c>
      <c r="L11" s="118">
        <v>16</v>
      </c>
      <c r="M11" s="239" t="s">
        <v>12</v>
      </c>
      <c r="N11" s="118" t="s">
        <v>315</v>
      </c>
      <c r="O11" s="116" t="s">
        <v>316</v>
      </c>
      <c r="P11" s="118" t="s">
        <v>317</v>
      </c>
      <c r="Q11" s="116" t="s">
        <v>316</v>
      </c>
      <c r="R11" s="93" t="s">
        <v>320</v>
      </c>
      <c r="S11" s="93" t="s">
        <v>320</v>
      </c>
      <c r="T11" s="93" t="s">
        <v>320</v>
      </c>
      <c r="U11" s="93" t="s">
        <v>320</v>
      </c>
      <c r="V11" s="93" t="s">
        <v>316</v>
      </c>
      <c r="W11" s="93" t="s">
        <v>320</v>
      </c>
      <c r="X11" s="93" t="s">
        <v>320</v>
      </c>
      <c r="Y11" s="93" t="s">
        <v>320</v>
      </c>
      <c r="Z11" s="93" t="s">
        <v>2516</v>
      </c>
      <c r="AA11" s="198" t="s">
        <v>2516</v>
      </c>
      <c r="AB11" s="119" t="s">
        <v>2599</v>
      </c>
      <c r="AC11" s="536" t="s">
        <v>1994</v>
      </c>
      <c r="AD11" s="118"/>
      <c r="AE11" s="118"/>
      <c r="AF11" s="118"/>
      <c r="AG11" s="119" t="s">
        <v>2607</v>
      </c>
      <c r="AH11" s="119" t="s">
        <v>2608</v>
      </c>
      <c r="AI11" s="118" t="s">
        <v>2609</v>
      </c>
      <c r="AJ11" s="119" t="s">
        <v>2610</v>
      </c>
      <c r="AK11" s="119" t="s">
        <v>854</v>
      </c>
      <c r="AL11" s="118" t="s">
        <v>2611</v>
      </c>
      <c r="AM11" s="119" t="s">
        <v>434</v>
      </c>
      <c r="AN11" s="551"/>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c r="BM11" s="93"/>
      <c r="BN11" s="93"/>
      <c r="BO11" s="93"/>
      <c r="BP11" s="93"/>
      <c r="BQ11" s="93"/>
      <c r="BR11" s="93"/>
      <c r="BS11" s="93"/>
      <c r="BT11" s="93"/>
      <c r="BU11" s="93"/>
      <c r="BV11" s="93"/>
      <c r="BW11" s="93"/>
      <c r="BX11" s="93"/>
      <c r="BY11" s="93"/>
    </row>
    <row r="12" spans="1:77" ht="55.5" customHeight="1">
      <c r="A12" s="118">
        <v>11</v>
      </c>
      <c r="B12" s="490" t="s">
        <v>5</v>
      </c>
      <c r="C12" s="556">
        <v>45840</v>
      </c>
      <c r="D12" s="556">
        <v>45853</v>
      </c>
      <c r="E12" s="138" t="s">
        <v>2605</v>
      </c>
      <c r="F12" s="93" t="s">
        <v>2038</v>
      </c>
      <c r="G12" s="93">
        <v>49073</v>
      </c>
      <c r="H12" s="96" t="s">
        <v>2500</v>
      </c>
      <c r="I12" s="490" t="s">
        <v>399</v>
      </c>
      <c r="J12" s="93">
        <v>3</v>
      </c>
      <c r="K12" s="93">
        <v>2</v>
      </c>
      <c r="L12" s="93">
        <v>8</v>
      </c>
      <c r="M12" s="118"/>
      <c r="N12" s="93"/>
      <c r="O12" s="93"/>
      <c r="P12" s="93"/>
      <c r="Q12" s="93"/>
      <c r="R12" s="93"/>
      <c r="S12" s="93"/>
      <c r="T12" s="93"/>
      <c r="U12" s="93"/>
      <c r="V12" s="93"/>
      <c r="W12" s="93"/>
      <c r="X12" s="93"/>
      <c r="Y12" s="93"/>
      <c r="Z12" s="93"/>
      <c r="AA12" s="93"/>
      <c r="AB12" s="93"/>
      <c r="AC12" s="93"/>
      <c r="AD12" s="93"/>
      <c r="AE12" s="93"/>
      <c r="AF12" s="93"/>
      <c r="AG12" s="96" t="s">
        <v>2612</v>
      </c>
      <c r="AH12" s="96" t="s">
        <v>2613</v>
      </c>
      <c r="AI12" s="93" t="s">
        <v>1241</v>
      </c>
      <c r="AJ12" s="96" t="s">
        <v>1241</v>
      </c>
      <c r="AK12" s="96" t="s">
        <v>1241</v>
      </c>
      <c r="AL12" s="93" t="s">
        <v>2614</v>
      </c>
      <c r="AM12" s="96" t="s">
        <v>2615</v>
      </c>
    </row>
    <row r="13" spans="1:77" s="118" customFormat="1" ht="81">
      <c r="A13" s="118">
        <v>12</v>
      </c>
      <c r="B13" s="561" t="s">
        <v>5</v>
      </c>
      <c r="C13" s="560">
        <v>45840</v>
      </c>
      <c r="D13" s="560">
        <v>45853</v>
      </c>
      <c r="E13" s="138" t="s">
        <v>2605</v>
      </c>
      <c r="F13" s="118" t="s">
        <v>315</v>
      </c>
      <c r="G13" s="567" t="s">
        <v>2447</v>
      </c>
      <c r="H13" s="119" t="s">
        <v>2448</v>
      </c>
      <c r="I13" s="561" t="s">
        <v>399</v>
      </c>
      <c r="J13" s="118">
        <v>8</v>
      </c>
      <c r="L13" s="117">
        <v>28.25</v>
      </c>
      <c r="N13" s="550"/>
      <c r="AG13" s="119" t="s">
        <v>2616</v>
      </c>
      <c r="AH13" s="119" t="s">
        <v>2617</v>
      </c>
      <c r="AI13" s="119" t="s">
        <v>2618</v>
      </c>
      <c r="AJ13" s="119" t="s">
        <v>2619</v>
      </c>
      <c r="AK13" s="119" t="s">
        <v>1241</v>
      </c>
      <c r="AL13" s="119" t="s">
        <v>2620</v>
      </c>
      <c r="AM13" s="119" t="s">
        <v>2621</v>
      </c>
    </row>
    <row r="14" spans="1:77" s="93" customFormat="1" ht="95.25" customHeight="1">
      <c r="A14" s="93">
        <v>13</v>
      </c>
      <c r="B14" s="561" t="s">
        <v>5</v>
      </c>
      <c r="C14" s="560">
        <v>45840</v>
      </c>
      <c r="D14" s="560">
        <v>45853</v>
      </c>
      <c r="E14" s="138" t="s">
        <v>2605</v>
      </c>
      <c r="F14" s="118" t="s">
        <v>313</v>
      </c>
      <c r="G14" s="118">
        <v>47285</v>
      </c>
      <c r="H14" s="119" t="s">
        <v>2622</v>
      </c>
      <c r="I14" s="561" t="s">
        <v>306</v>
      </c>
      <c r="J14" s="118">
        <v>2</v>
      </c>
      <c r="K14" s="118">
        <v>5.125</v>
      </c>
      <c r="L14" s="117">
        <v>20.75</v>
      </c>
      <c r="M14" s="93" t="s">
        <v>12</v>
      </c>
      <c r="N14" s="550" t="s">
        <v>315</v>
      </c>
      <c r="O14" s="118" t="s">
        <v>316</v>
      </c>
      <c r="P14" s="118" t="s">
        <v>317</v>
      </c>
      <c r="Q14" s="118" t="s">
        <v>316</v>
      </c>
      <c r="R14" s="93" t="s">
        <v>320</v>
      </c>
      <c r="S14" s="93" t="s">
        <v>320</v>
      </c>
      <c r="T14" s="93" t="s">
        <v>320</v>
      </c>
      <c r="U14" s="93" t="s">
        <v>320</v>
      </c>
      <c r="V14" s="93" t="s">
        <v>316</v>
      </c>
      <c r="W14" s="93" t="s">
        <v>320</v>
      </c>
      <c r="X14" s="93" t="s">
        <v>320</v>
      </c>
      <c r="Y14" s="93" t="s">
        <v>320</v>
      </c>
      <c r="Z14" s="93" t="s">
        <v>2516</v>
      </c>
      <c r="AA14" s="198" t="s">
        <v>2516</v>
      </c>
      <c r="AB14" s="119" t="s">
        <v>2599</v>
      </c>
      <c r="AC14" s="536" t="s">
        <v>1994</v>
      </c>
      <c r="AD14" s="118"/>
      <c r="AE14" s="118"/>
      <c r="AF14" s="118"/>
      <c r="AG14" s="118"/>
      <c r="AH14" s="118"/>
      <c r="AI14" s="119" t="s">
        <v>2623</v>
      </c>
      <c r="AJ14" s="119" t="s">
        <v>2624</v>
      </c>
      <c r="AK14" s="119" t="s">
        <v>2625</v>
      </c>
      <c r="AL14" s="118" t="s">
        <v>2611</v>
      </c>
      <c r="AM14" s="119" t="s">
        <v>2626</v>
      </c>
      <c r="AN14" s="551"/>
    </row>
    <row r="15" spans="1:77" ht="35.25">
      <c r="A15" s="93">
        <v>14</v>
      </c>
      <c r="B15" s="490" t="s">
        <v>5</v>
      </c>
      <c r="C15" s="556">
        <v>45840</v>
      </c>
      <c r="D15" s="556">
        <v>45853</v>
      </c>
      <c r="E15" s="77" t="s">
        <v>2605</v>
      </c>
      <c r="F15" s="93" t="s">
        <v>317</v>
      </c>
      <c r="G15" s="93">
        <v>49013</v>
      </c>
      <c r="H15" s="96" t="s">
        <v>2627</v>
      </c>
      <c r="I15" s="490" t="s">
        <v>399</v>
      </c>
      <c r="J15" s="93">
        <v>3</v>
      </c>
      <c r="K15" s="93"/>
      <c r="L15" s="93">
        <v>2</v>
      </c>
      <c r="M15" s="93"/>
      <c r="N15" s="93"/>
      <c r="O15" s="93"/>
      <c r="P15" s="93"/>
      <c r="Q15" s="93"/>
      <c r="R15" s="93"/>
      <c r="S15" s="93"/>
      <c r="T15" s="93"/>
      <c r="U15" s="93"/>
      <c r="V15" s="93"/>
      <c r="W15" s="93"/>
      <c r="X15" s="93"/>
      <c r="Y15" s="93"/>
      <c r="Z15" s="93"/>
      <c r="AA15" s="93"/>
      <c r="AB15" s="93"/>
      <c r="AC15" s="93"/>
      <c r="AD15" s="93"/>
      <c r="AE15" s="93"/>
      <c r="AF15" s="93"/>
      <c r="AG15" s="93"/>
      <c r="AH15" s="93"/>
      <c r="AI15" s="93"/>
      <c r="AJ15" s="96"/>
      <c r="AK15" s="96"/>
      <c r="AL15" s="93"/>
      <c r="AM15" s="96" t="s">
        <v>2628</v>
      </c>
    </row>
  </sheetData>
  <autoFilter ref="A1:AM13" xr:uid="{29033AE7-23BA-4C90-A574-1A7FCC5A9F2B}"/>
  <conditionalFormatting sqref="J1 I10:I15">
    <cfRule type="containsText" dxfId="533" priority="25" operator="containsText" text="Closed">
      <formula>NOT(ISERROR(SEARCH("Closed",I1)))</formula>
    </cfRule>
    <cfRule type="containsText" dxfId="532" priority="26" operator="containsText" text="Open">
      <formula>NOT(ISERROR(SEARCH("Open",I1)))</formula>
    </cfRule>
    <cfRule type="containsText" dxfId="531" priority="27" operator="containsText" text="Inprogress">
      <formula>NOT(ISERROR(SEARCH("Inprogress",I1)))</formula>
    </cfRule>
  </conditionalFormatting>
  <conditionalFormatting sqref="I2">
    <cfRule type="containsText" dxfId="530" priority="22" operator="containsText" text="Closed">
      <formula>NOT(ISERROR(SEARCH("Closed",I2)))</formula>
    </cfRule>
    <cfRule type="containsText" dxfId="529" priority="23" operator="containsText" text="Open">
      <formula>NOT(ISERROR(SEARCH("Open",I2)))</formula>
    </cfRule>
    <cfRule type="containsText" dxfId="528" priority="24" operator="containsText" text="Inprogress">
      <formula>NOT(ISERROR(SEARCH("Inprogress",I2)))</formula>
    </cfRule>
  </conditionalFormatting>
  <conditionalFormatting sqref="I3:I4">
    <cfRule type="containsText" dxfId="527" priority="19" operator="containsText" text="Closed">
      <formula>NOT(ISERROR(SEARCH("Closed",I3)))</formula>
    </cfRule>
    <cfRule type="containsText" dxfId="526" priority="20" operator="containsText" text="Open">
      <formula>NOT(ISERROR(SEARCH("Open",I3)))</formula>
    </cfRule>
    <cfRule type="containsText" dxfId="525" priority="21" operator="containsText" text="Inprogress">
      <formula>NOT(ISERROR(SEARCH("Inprogress",I3)))</formula>
    </cfRule>
  </conditionalFormatting>
  <conditionalFormatting sqref="I5">
    <cfRule type="containsText" dxfId="524" priority="16" operator="containsText" text="Closed">
      <formula>NOT(ISERROR(SEARCH("Closed",I5)))</formula>
    </cfRule>
    <cfRule type="containsText" dxfId="523" priority="17" operator="containsText" text="Open">
      <formula>NOT(ISERROR(SEARCH("Open",I5)))</formula>
    </cfRule>
    <cfRule type="containsText" dxfId="522" priority="18" operator="containsText" text="Inprogress">
      <formula>NOT(ISERROR(SEARCH("Inprogress",I5)))</formula>
    </cfRule>
  </conditionalFormatting>
  <conditionalFormatting sqref="I6">
    <cfRule type="containsText" dxfId="521" priority="13" operator="containsText" text="Closed">
      <formula>NOT(ISERROR(SEARCH("Closed",I6)))</formula>
    </cfRule>
    <cfRule type="containsText" dxfId="520" priority="14" operator="containsText" text="Open">
      <formula>NOT(ISERROR(SEARCH("Open",I6)))</formula>
    </cfRule>
    <cfRule type="containsText" dxfId="519" priority="15" operator="containsText" text="Inprogress">
      <formula>NOT(ISERROR(SEARCH("Inprogress",I6)))</formula>
    </cfRule>
  </conditionalFormatting>
  <conditionalFormatting sqref="I8">
    <cfRule type="containsText" dxfId="518" priority="10" operator="containsText" text="Closed">
      <formula>NOT(ISERROR(SEARCH("Closed",I8)))</formula>
    </cfRule>
    <cfRule type="containsText" dxfId="517" priority="11" operator="containsText" text="Open">
      <formula>NOT(ISERROR(SEARCH("Open",I8)))</formula>
    </cfRule>
    <cfRule type="containsText" dxfId="516" priority="12" operator="containsText" text="Inprogress">
      <formula>NOT(ISERROR(SEARCH("Inprogress",I8)))</formula>
    </cfRule>
  </conditionalFormatting>
  <conditionalFormatting sqref="I9">
    <cfRule type="containsText" dxfId="515" priority="7" operator="containsText" text="Closed">
      <formula>NOT(ISERROR(SEARCH("Closed",I9)))</formula>
    </cfRule>
    <cfRule type="containsText" dxfId="514" priority="8" operator="containsText" text="Open">
      <formula>NOT(ISERROR(SEARCH("Open",I9)))</formula>
    </cfRule>
    <cfRule type="containsText" dxfId="513" priority="9" operator="containsText" text="Inprogress">
      <formula>NOT(ISERROR(SEARCH("Inprogress",I9)))</formula>
    </cfRule>
  </conditionalFormatting>
  <conditionalFormatting sqref="I7">
    <cfRule type="containsText" dxfId="512" priority="4" operator="containsText" text="Closed">
      <formula>NOT(ISERROR(SEARCH("Closed",I7)))</formula>
    </cfRule>
    <cfRule type="containsText" dxfId="511" priority="5" operator="containsText" text="Open">
      <formula>NOT(ISERROR(SEARCH("Open",I7)))</formula>
    </cfRule>
    <cfRule type="containsText" dxfId="510" priority="6" operator="containsText" text="Inprogress">
      <formula>NOT(ISERROR(SEARCH("Inprogress",I7)))</formula>
    </cfRule>
  </conditionalFormatting>
  <dataValidations count="11">
    <dataValidation type="list" showErrorMessage="1" sqref="N1" xr:uid="{02AF9523-F3EB-43E9-9CA0-CDAC8257A975}">
      <formula1>"Qadir,Rijo,Karthik,Sushmitha,None,TBD"</formula1>
    </dataValidation>
    <dataValidation type="list" showErrorMessage="1" sqref="P1" xr:uid="{FE70DBC2-A19A-43B8-AB74-BD97D93C7758}">
      <formula1>"Qadir,Rijo,Karthik,None,TBD"</formula1>
    </dataValidation>
    <dataValidation type="list" showErrorMessage="1" sqref="O1:O3 Q11 Q7:Q9 O11 O7:O9" xr:uid="{4C2CFBB5-EC65-4848-A593-CECE7BC11E7E}">
      <formula1>"Pass,Fail(BacktoDev),DB Script tests in QA DB,TBD"</formula1>
    </dataValidation>
    <dataValidation showErrorMessage="1" sqref="I1" xr:uid="{28096C43-4F25-4F8E-8613-096CDE603838}"/>
    <dataValidation type="list" allowBlank="1" showErrorMessage="1" sqref="J1" xr:uid="{3807B054-8275-4842-93BA-1A1B4CDA8A53}">
      <formula1>"Open,Inprogress,Closed"</formula1>
    </dataValidation>
    <dataValidation type="list" showErrorMessage="1" sqref="AA1" xr:uid="{99ABDD6A-0BF3-4955-889B-A8A139152BC2}">
      <formula1>"Pending-Waiting for Customer confirmation, Approved-Satisified AC,Not Approved-New minor changes requested(Back to Dev),NA,TBD"</formula1>
    </dataValidation>
    <dataValidation type="list" showErrorMessage="1" sqref="Z1" xr:uid="{367A7837-AAD1-4486-9A67-D62715EB0533}">
      <formula1>"Approved-Satisified AC,Not Approved(Back to Dev),NA,TBD"</formula1>
    </dataValidation>
    <dataValidation type="list" showErrorMessage="1" sqref="Q1:R1 V1 Y1" xr:uid="{5741CA57-F5C5-43FB-97F9-95D79BA5BF0B}">
      <formula1>"No issues found,Issues observed(BacktoDev),DB Script tests in QA DB,NA,TBD"</formula1>
    </dataValidation>
    <dataValidation type="list" showErrorMessage="1" sqref="W1:X1 U1 M1" xr:uid="{2AAD2F7B-836C-4495-ABE8-9DD305AAF165}">
      <formula1>"Open,Inprogress,Completed,TBD,NA"</formula1>
    </dataValidation>
    <dataValidation allowBlank="1" showInputMessage="1" showErrorMessage="1" sqref="AB1:AC1 V2:V3" xr:uid="{E298E4CF-1BD1-441D-BE9B-75676408E4A1}"/>
    <dataValidation type="list" allowBlank="1" showInputMessage="1" showErrorMessage="1" sqref="AC14 AC11 AC2:AC9" xr:uid="{34CE3211-9AE8-4604-9FC8-2B59E592F65F}">
      <formula1>"Exceeds Expectation,Meets Expectation,Needs improvements"</formula1>
    </dataValidation>
  </dataValidations>
  <hyperlinks>
    <hyperlink ref="R6" r:id="rId1" xr:uid="{1477501C-23FA-4438-9A32-6DDB20F1A654}"/>
    <hyperlink ref="R5" r:id="rId2" xr:uid="{3D10BABC-6DA7-42F3-8B33-3252BC08D32D}"/>
    <hyperlink ref="R2" r:id="rId3" xr:uid="{41C555BC-55C2-4D69-A4FF-F2E3209925E0}"/>
    <hyperlink ref="R3" r:id="rId4" xr:uid="{8D71810A-FEA4-4AF0-B7A9-16C485E661A9}"/>
    <hyperlink ref="R7" r:id="rId5" xr:uid="{753606E8-78EB-497A-B6FE-30D0FC50832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1A3692E-C9FE-4706-BB50-46D5C56E45ED}">
          <x14:formula1>
            <xm:f>Settings!$C$3:$C$20</xm:f>
          </x14:formula1>
          <xm:sqref>I15 I10 I11:I14 I2:I9</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878B-4058-47E4-BDF8-A847E24CFB98}">
  <dimension ref="A1:M2"/>
  <sheetViews>
    <sheetView workbookViewId="0">
      <selection activeCell="A2" sqref="A2"/>
    </sheetView>
  </sheetViews>
  <sheetFormatPr defaultRowHeight="12.75"/>
  <cols>
    <col min="7" max="7" width="101.42578125" customWidth="1"/>
    <col min="12" max="12" width="15.140625" customWidth="1"/>
    <col min="13" max="13" width="12.7109375" customWidth="1"/>
  </cols>
  <sheetData>
    <row r="1" spans="1:13" ht="40.5">
      <c r="A1" s="542" t="s">
        <v>266</v>
      </c>
      <c r="B1" s="543" t="s">
        <v>10</v>
      </c>
      <c r="C1" s="543" t="s">
        <v>267</v>
      </c>
      <c r="D1" s="543" t="s">
        <v>268</v>
      </c>
      <c r="E1" s="543" t="s">
        <v>269</v>
      </c>
      <c r="F1" s="543" t="s">
        <v>270</v>
      </c>
      <c r="G1" s="543" t="s">
        <v>271</v>
      </c>
      <c r="H1" s="543" t="s">
        <v>272</v>
      </c>
      <c r="I1" s="543" t="s">
        <v>273</v>
      </c>
      <c r="J1" s="543" t="s">
        <v>274</v>
      </c>
      <c r="K1" s="543" t="s">
        <v>275</v>
      </c>
      <c r="L1" s="544" t="s">
        <v>276</v>
      </c>
      <c r="M1" s="527" t="s">
        <v>277</v>
      </c>
    </row>
    <row r="2" spans="1:13" s="150" customFormat="1" ht="196.5">
      <c r="A2" s="147">
        <v>1</v>
      </c>
      <c r="B2" s="147" t="s">
        <v>2557</v>
      </c>
      <c r="C2" s="147">
        <v>48656</v>
      </c>
      <c r="D2" s="147"/>
      <c r="E2" s="147" t="s">
        <v>317</v>
      </c>
      <c r="F2" s="512" t="s">
        <v>1668</v>
      </c>
      <c r="G2" s="146" t="s">
        <v>2535</v>
      </c>
      <c r="H2" s="165" t="s">
        <v>1670</v>
      </c>
      <c r="I2" s="512" t="s">
        <v>518</v>
      </c>
      <c r="J2" s="165" t="s">
        <v>525</v>
      </c>
      <c r="K2" s="512" t="s">
        <v>1671</v>
      </c>
      <c r="L2" s="165" t="s">
        <v>526</v>
      </c>
      <c r="M2" s="146" t="s">
        <v>2629</v>
      </c>
    </row>
  </sheetData>
  <dataValidations count="5">
    <dataValidation type="list" allowBlank="1" showErrorMessage="1" sqref="F2" xr:uid="{E73DD175-9A3A-4B99-A4CD-599970C6A39F}">
      <formula1>"Bounceback/Sub-Defect,Defect,None"</formula1>
    </dataValidation>
    <dataValidation type="list" allowBlank="1" showErrorMessage="1" sqref="K2" xr:uid="{32EF99D8-0D78-4F9A-A299-7579091DA897}">
      <formula1>"Open,Inprogress,Closed/Rejected"</formula1>
    </dataValidation>
    <dataValidation type="list" allowBlank="1" showErrorMessage="1" sqref="I2" xr:uid="{5C4DA0EE-4114-49E3-B619-71FC0557060D}">
      <formula1>"Manual, Automation"</formula1>
    </dataValidation>
    <dataValidation type="list" allowBlank="1" showErrorMessage="1" sqref="H2" xr:uid="{57553D45-98F7-4B61-9C35-D8379685D21B}">
      <formula1>"Minor,Significant,Major"</formula1>
    </dataValidation>
    <dataValidation type="list" allowBlank="1" showErrorMessage="1" sqref="J2" xr:uid="{0CEDAB9D-2E27-41AB-944D-D2EBF98B2B40}">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D869B4E-F469-4D62-A38F-71ACE7A7CB99}">
          <x14:formula1>
            <xm:f>Details!$A$2:$A$10</xm:f>
          </x14:formula1>
          <xm:sqref>L2</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F6DD0-C9B5-4C3E-BA46-2CE2FDC74770}">
  <dimension ref="A1:BY36"/>
  <sheetViews>
    <sheetView workbookViewId="0">
      <pane ySplit="1" topLeftCell="F6" activePane="bottomLeft" state="frozen"/>
      <selection pane="bottomLeft" activeCell="U5" sqref="U5:Y5"/>
    </sheetView>
  </sheetViews>
  <sheetFormatPr defaultRowHeight="12.75"/>
  <cols>
    <col min="2" max="2" width="11.7109375" customWidth="1"/>
    <col min="5" max="5" width="13.42578125" customWidth="1"/>
    <col min="8" max="8" width="24.7109375" customWidth="1"/>
    <col min="9" max="9" width="19.42578125" customWidth="1"/>
    <col min="13" max="13" width="12.28515625" customWidth="1"/>
    <col min="18" max="18" width="26.140625" customWidth="1"/>
    <col min="19" max="19" width="9.42578125" bestFit="1" customWidth="1"/>
    <col min="21" max="21" width="11.85546875" customWidth="1"/>
    <col min="22" max="22" width="35.28515625" customWidth="1"/>
    <col min="27" max="27" width="17.85546875" customWidth="1"/>
    <col min="28" max="28" width="28.42578125" customWidth="1"/>
    <col min="29" max="29" width="15.28515625" customWidth="1"/>
    <col min="30" max="30" width="23.28515625" customWidth="1"/>
    <col min="31" max="31" width="26.7109375" customWidth="1"/>
    <col min="32" max="32" width="29.140625" customWidth="1"/>
    <col min="33" max="33" width="24.7109375" customWidth="1"/>
    <col min="34" max="34" width="28" customWidth="1"/>
    <col min="35" max="35" width="24" bestFit="1" customWidth="1"/>
    <col min="36" max="36" width="28" customWidth="1"/>
    <col min="37" max="37" width="18.5703125" customWidth="1"/>
    <col min="38" max="38" width="16" customWidth="1"/>
    <col min="39" max="39" width="19.140625" customWidth="1"/>
  </cols>
  <sheetData>
    <row r="1" spans="1:77"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286</v>
      </c>
      <c r="N1" s="247" t="s">
        <v>287</v>
      </c>
      <c r="O1" s="247" t="s">
        <v>288</v>
      </c>
      <c r="P1" s="247" t="s">
        <v>289</v>
      </c>
      <c r="Q1" s="247" t="s">
        <v>290</v>
      </c>
      <c r="R1" s="247" t="s">
        <v>291</v>
      </c>
      <c r="S1" s="516" t="s">
        <v>292</v>
      </c>
      <c r="T1" s="516" t="s">
        <v>293</v>
      </c>
      <c r="U1" s="247" t="s">
        <v>294</v>
      </c>
      <c r="V1" s="247" t="s">
        <v>295</v>
      </c>
      <c r="W1" s="247" t="s">
        <v>296</v>
      </c>
      <c r="X1" s="516" t="s">
        <v>297</v>
      </c>
      <c r="Y1" s="247" t="s">
        <v>298</v>
      </c>
      <c r="Z1" s="247" t="s">
        <v>299</v>
      </c>
      <c r="AA1" s="247" t="s">
        <v>300</v>
      </c>
      <c r="AB1" s="517" t="s">
        <v>277</v>
      </c>
      <c r="AC1" s="247" t="s">
        <v>301</v>
      </c>
      <c r="AD1" s="518">
        <v>45826</v>
      </c>
      <c r="AE1" s="518">
        <v>45827</v>
      </c>
      <c r="AF1" s="518">
        <v>45828</v>
      </c>
      <c r="AG1" s="518" t="s">
        <v>2630</v>
      </c>
      <c r="AH1" s="518">
        <v>45832</v>
      </c>
      <c r="AI1" s="518">
        <v>45833</v>
      </c>
      <c r="AJ1" s="518">
        <v>45834</v>
      </c>
      <c r="AK1" s="518">
        <v>46565</v>
      </c>
      <c r="AL1" s="518">
        <v>45838</v>
      </c>
      <c r="AM1" s="518">
        <v>45839</v>
      </c>
    </row>
    <row r="2" spans="1:77" s="150" customFormat="1" ht="60" customHeight="1">
      <c r="A2" s="197">
        <v>1</v>
      </c>
      <c r="B2" s="490" t="s">
        <v>5</v>
      </c>
      <c r="C2" s="556">
        <v>45826</v>
      </c>
      <c r="D2" s="556">
        <v>45839</v>
      </c>
      <c r="E2" s="77" t="s">
        <v>2631</v>
      </c>
      <c r="F2" s="197" t="s">
        <v>317</v>
      </c>
      <c r="G2" s="197">
        <v>25408</v>
      </c>
      <c r="H2" s="77" t="s">
        <v>2632</v>
      </c>
      <c r="I2" s="490" t="s">
        <v>376</v>
      </c>
      <c r="J2" s="197">
        <v>2</v>
      </c>
      <c r="K2" s="197">
        <v>6.25</v>
      </c>
      <c r="L2" s="197">
        <v>25</v>
      </c>
      <c r="M2" s="197" t="s">
        <v>12</v>
      </c>
      <c r="N2" s="197"/>
      <c r="O2" s="197"/>
      <c r="P2" s="197"/>
      <c r="Q2" s="197"/>
      <c r="R2" s="145" t="s">
        <v>2633</v>
      </c>
      <c r="S2" s="558">
        <v>45833</v>
      </c>
      <c r="T2" s="558">
        <v>45833</v>
      </c>
      <c r="U2" s="197" t="s">
        <v>320</v>
      </c>
      <c r="V2" s="197" t="s">
        <v>320</v>
      </c>
      <c r="W2" s="197" t="s">
        <v>319</v>
      </c>
      <c r="X2" s="197" t="s">
        <v>320</v>
      </c>
      <c r="Y2" s="197" t="s">
        <v>320</v>
      </c>
      <c r="Z2" s="197" t="s">
        <v>2516</v>
      </c>
      <c r="AA2" s="77" t="s">
        <v>2634</v>
      </c>
      <c r="AB2" s="146"/>
      <c r="AC2" s="147"/>
      <c r="AD2" s="146" t="s">
        <v>2635</v>
      </c>
      <c r="AE2" s="146" t="s">
        <v>326</v>
      </c>
      <c r="AF2" s="146" t="s">
        <v>2636</v>
      </c>
      <c r="AG2" s="146" t="s">
        <v>2637</v>
      </c>
      <c r="AH2" s="147" t="s">
        <v>2638</v>
      </c>
      <c r="AI2" s="147" t="s">
        <v>2638</v>
      </c>
      <c r="AJ2" s="146" t="s">
        <v>2639</v>
      </c>
      <c r="AK2" s="146" t="s">
        <v>2640</v>
      </c>
      <c r="AL2" s="147" t="s">
        <v>2641</v>
      </c>
      <c r="AM2" s="147" t="s">
        <v>697</v>
      </c>
    </row>
    <row r="3" spans="1:77" s="201" customFormat="1" ht="81">
      <c r="A3" s="197">
        <v>2</v>
      </c>
      <c r="B3" s="490" t="s">
        <v>5</v>
      </c>
      <c r="C3" s="556">
        <v>45826</v>
      </c>
      <c r="D3" s="556">
        <v>45839</v>
      </c>
      <c r="E3" s="77" t="s">
        <v>2631</v>
      </c>
      <c r="F3" s="197" t="s">
        <v>313</v>
      </c>
      <c r="G3" s="197">
        <v>47286</v>
      </c>
      <c r="H3" s="77" t="s">
        <v>2642</v>
      </c>
      <c r="I3" s="490" t="s">
        <v>306</v>
      </c>
      <c r="J3" s="197">
        <v>3</v>
      </c>
      <c r="K3" s="197">
        <v>5.25</v>
      </c>
      <c r="L3" s="197">
        <v>21</v>
      </c>
      <c r="M3" s="116" t="s">
        <v>12</v>
      </c>
      <c r="N3" s="116" t="s">
        <v>315</v>
      </c>
      <c r="O3" s="116" t="s">
        <v>316</v>
      </c>
      <c r="P3" s="197" t="s">
        <v>317</v>
      </c>
      <c r="Q3" s="197" t="s">
        <v>316</v>
      </c>
      <c r="R3" s="93" t="s">
        <v>320</v>
      </c>
      <c r="S3" s="93" t="s">
        <v>320</v>
      </c>
      <c r="T3" s="93" t="s">
        <v>320</v>
      </c>
      <c r="U3" s="93" t="s">
        <v>320</v>
      </c>
      <c r="V3" s="93" t="s">
        <v>320</v>
      </c>
      <c r="W3" s="93" t="s">
        <v>320</v>
      </c>
      <c r="X3" s="93" t="s">
        <v>320</v>
      </c>
      <c r="Y3" s="93" t="s">
        <v>320</v>
      </c>
      <c r="Z3" s="76" t="s">
        <v>2516</v>
      </c>
      <c r="AA3" s="76" t="s">
        <v>2516</v>
      </c>
      <c r="AB3" s="77" t="s">
        <v>2643</v>
      </c>
      <c r="AC3" s="151" t="s">
        <v>1994</v>
      </c>
      <c r="AD3" s="77" t="s">
        <v>2644</v>
      </c>
      <c r="AE3" s="77" t="s">
        <v>2645</v>
      </c>
      <c r="AF3" s="197" t="s">
        <v>2646</v>
      </c>
      <c r="AG3" s="77" t="s">
        <v>2647</v>
      </c>
      <c r="AH3" s="77" t="s">
        <v>2648</v>
      </c>
      <c r="AI3" s="77" t="s">
        <v>2649</v>
      </c>
      <c r="AJ3" s="77" t="s">
        <v>2650</v>
      </c>
      <c r="AK3" s="197" t="s">
        <v>2651</v>
      </c>
      <c r="AL3" s="197" t="s">
        <v>576</v>
      </c>
      <c r="AM3" s="197" t="s">
        <v>434</v>
      </c>
    </row>
    <row r="4" spans="1:77" s="150" customFormat="1" ht="138.75">
      <c r="A4" s="197">
        <v>3</v>
      </c>
      <c r="B4" s="490" t="s">
        <v>5</v>
      </c>
      <c r="C4" s="556">
        <v>45826</v>
      </c>
      <c r="D4" s="556">
        <v>45839</v>
      </c>
      <c r="E4" s="77" t="s">
        <v>2631</v>
      </c>
      <c r="F4" s="197" t="s">
        <v>315</v>
      </c>
      <c r="G4" s="197">
        <v>48811</v>
      </c>
      <c r="H4" s="77" t="s">
        <v>2466</v>
      </c>
      <c r="I4" s="490" t="s">
        <v>399</v>
      </c>
      <c r="J4" s="197">
        <v>5</v>
      </c>
      <c r="K4" s="197"/>
      <c r="L4" s="197">
        <v>32</v>
      </c>
      <c r="M4" s="197"/>
      <c r="N4" s="197"/>
      <c r="O4" s="197"/>
      <c r="P4" s="197"/>
      <c r="Q4" s="197"/>
      <c r="R4" s="197"/>
      <c r="S4" s="197"/>
      <c r="T4" s="197"/>
      <c r="U4" s="197"/>
      <c r="V4" s="197"/>
      <c r="W4" s="197"/>
      <c r="X4" s="197"/>
      <c r="Y4" s="197"/>
      <c r="Z4" s="197"/>
      <c r="AA4" s="197"/>
      <c r="AB4" s="146" t="s">
        <v>2652</v>
      </c>
      <c r="AC4" s="147"/>
      <c r="AD4" s="146"/>
      <c r="AE4" s="146" t="s">
        <v>2653</v>
      </c>
      <c r="AF4" s="146" t="s">
        <v>2654</v>
      </c>
      <c r="AG4" s="146" t="s">
        <v>2655</v>
      </c>
      <c r="AH4" s="146" t="s">
        <v>2656</v>
      </c>
      <c r="AI4" s="146" t="s">
        <v>2657</v>
      </c>
      <c r="AJ4" s="146" t="s">
        <v>2658</v>
      </c>
      <c r="AK4" s="147" t="s">
        <v>434</v>
      </c>
      <c r="AL4" s="146" t="s">
        <v>2659</v>
      </c>
      <c r="AM4" s="146" t="s">
        <v>2660</v>
      </c>
    </row>
    <row r="5" spans="1:77" s="201" customFormat="1" ht="58.5">
      <c r="A5" s="197">
        <v>4</v>
      </c>
      <c r="B5" s="490" t="s">
        <v>5</v>
      </c>
      <c r="C5" s="556">
        <v>45826</v>
      </c>
      <c r="D5" s="556">
        <v>45839</v>
      </c>
      <c r="E5" s="77" t="s">
        <v>2631</v>
      </c>
      <c r="F5" s="197" t="s">
        <v>313</v>
      </c>
      <c r="G5" s="197">
        <v>48395</v>
      </c>
      <c r="H5" s="77" t="s">
        <v>2661</v>
      </c>
      <c r="I5" s="490" t="s">
        <v>306</v>
      </c>
      <c r="J5" s="197">
        <v>3</v>
      </c>
      <c r="K5" s="197">
        <v>2.75</v>
      </c>
      <c r="L5" s="197">
        <v>11</v>
      </c>
      <c r="M5" s="116" t="s">
        <v>12</v>
      </c>
      <c r="N5" s="116" t="s">
        <v>315</v>
      </c>
      <c r="O5" s="116" t="s">
        <v>316</v>
      </c>
      <c r="P5" s="197" t="s">
        <v>317</v>
      </c>
      <c r="Q5" s="197" t="s">
        <v>316</v>
      </c>
      <c r="R5" s="145" t="s">
        <v>2662</v>
      </c>
      <c r="S5" s="558">
        <v>45831</v>
      </c>
      <c r="T5" s="558">
        <v>45831</v>
      </c>
      <c r="U5" s="116" t="s">
        <v>12</v>
      </c>
      <c r="V5" s="490" t="s">
        <v>316</v>
      </c>
      <c r="W5" s="116" t="s">
        <v>319</v>
      </c>
      <c r="X5" s="197" t="s">
        <v>320</v>
      </c>
      <c r="Y5" s="197" t="s">
        <v>320</v>
      </c>
      <c r="Z5" s="76" t="s">
        <v>2516</v>
      </c>
      <c r="AA5" s="76" t="s">
        <v>2516</v>
      </c>
      <c r="AB5" s="77"/>
      <c r="AC5" s="151" t="s">
        <v>423</v>
      </c>
      <c r="AD5" s="77"/>
      <c r="AE5" s="77" t="s">
        <v>2663</v>
      </c>
      <c r="AF5" s="77" t="s">
        <v>2664</v>
      </c>
      <c r="AG5" s="77" t="s">
        <v>2665</v>
      </c>
      <c r="AH5" s="77" t="s">
        <v>2666</v>
      </c>
      <c r="AI5" s="197" t="s">
        <v>434</v>
      </c>
      <c r="AJ5" s="197" t="s">
        <v>434</v>
      </c>
      <c r="AK5" s="197" t="s">
        <v>434</v>
      </c>
      <c r="AL5" s="197" t="s">
        <v>434</v>
      </c>
      <c r="AM5" s="197" t="s">
        <v>434</v>
      </c>
    </row>
    <row r="6" spans="1:77" s="150" customFormat="1" ht="138.75">
      <c r="A6" s="197">
        <v>5</v>
      </c>
      <c r="B6" s="490" t="s">
        <v>5</v>
      </c>
      <c r="C6" s="556">
        <v>45826</v>
      </c>
      <c r="D6" s="556">
        <v>45839</v>
      </c>
      <c r="E6" s="77" t="s">
        <v>2631</v>
      </c>
      <c r="F6" s="197" t="s">
        <v>2038</v>
      </c>
      <c r="G6" s="197">
        <v>48812</v>
      </c>
      <c r="H6" s="77" t="s">
        <v>2573</v>
      </c>
      <c r="I6" s="490" t="s">
        <v>338</v>
      </c>
      <c r="J6" s="197">
        <v>3</v>
      </c>
      <c r="K6" s="197">
        <v>4.75</v>
      </c>
      <c r="L6" s="562">
        <v>19</v>
      </c>
      <c r="M6" s="197" t="s">
        <v>320</v>
      </c>
      <c r="N6" s="197" t="s">
        <v>317</v>
      </c>
      <c r="O6" s="197" t="s">
        <v>434</v>
      </c>
      <c r="P6" s="197" t="s">
        <v>317</v>
      </c>
      <c r="Q6" s="197" t="s">
        <v>316</v>
      </c>
      <c r="R6" s="557" t="s">
        <v>2574</v>
      </c>
      <c r="S6" s="558">
        <v>45832</v>
      </c>
      <c r="T6" s="197"/>
      <c r="U6" s="197" t="s">
        <v>12</v>
      </c>
      <c r="V6" s="77" t="s">
        <v>2575</v>
      </c>
      <c r="W6" s="197"/>
      <c r="X6" s="197"/>
      <c r="Y6" s="197"/>
      <c r="Z6" s="197" t="s">
        <v>320</v>
      </c>
      <c r="AA6" s="197" t="s">
        <v>320</v>
      </c>
      <c r="AB6" s="146" t="s">
        <v>2667</v>
      </c>
      <c r="AC6" s="151" t="s">
        <v>423</v>
      </c>
      <c r="AD6" s="146" t="s">
        <v>2668</v>
      </c>
      <c r="AE6" s="146" t="s">
        <v>2669</v>
      </c>
      <c r="AF6" s="146" t="s">
        <v>2670</v>
      </c>
      <c r="AG6" s="146" t="s">
        <v>2671</v>
      </c>
      <c r="AH6" s="147" t="s">
        <v>2672</v>
      </c>
      <c r="AI6" s="147" t="s">
        <v>2673</v>
      </c>
      <c r="AJ6" s="147" t="s">
        <v>2674</v>
      </c>
      <c r="AK6" s="146" t="s">
        <v>2675</v>
      </c>
      <c r="AL6" s="146" t="s">
        <v>2676</v>
      </c>
      <c r="AM6" s="146" t="s">
        <v>2677</v>
      </c>
    </row>
    <row r="7" spans="1:77" s="150" customFormat="1" ht="78.75" customHeight="1">
      <c r="A7" s="197">
        <v>6</v>
      </c>
      <c r="B7" s="490" t="s">
        <v>5</v>
      </c>
      <c r="C7" s="556">
        <v>45826</v>
      </c>
      <c r="D7" s="556">
        <v>45839</v>
      </c>
      <c r="E7" s="77" t="s">
        <v>2678</v>
      </c>
      <c r="F7" s="197" t="s">
        <v>315</v>
      </c>
      <c r="G7" s="197">
        <v>48541</v>
      </c>
      <c r="H7" s="77" t="s">
        <v>2474</v>
      </c>
      <c r="I7" s="490" t="s">
        <v>399</v>
      </c>
      <c r="J7" s="197">
        <v>5</v>
      </c>
      <c r="K7" s="197"/>
      <c r="L7" s="197">
        <v>26</v>
      </c>
      <c r="M7" s="197"/>
      <c r="N7" s="197"/>
      <c r="O7" s="197"/>
      <c r="P7" s="197"/>
      <c r="Q7" s="197"/>
      <c r="R7" s="197"/>
      <c r="S7" s="197"/>
      <c r="T7" s="197"/>
      <c r="U7" s="197"/>
      <c r="V7" s="197"/>
      <c r="W7" s="197"/>
      <c r="X7" s="197"/>
      <c r="Y7" s="197"/>
      <c r="Z7" s="197"/>
      <c r="AA7" s="197"/>
      <c r="AB7" s="146"/>
      <c r="AC7" s="151"/>
      <c r="AD7" s="147"/>
      <c r="AE7" s="147"/>
      <c r="AF7" s="147"/>
      <c r="AG7" s="147"/>
      <c r="AH7" s="147"/>
      <c r="AI7" s="146"/>
      <c r="AJ7" s="146"/>
      <c r="AK7" s="147"/>
      <c r="AL7" s="147"/>
      <c r="AM7" s="147"/>
    </row>
    <row r="8" spans="1:77" s="150" customFormat="1" ht="77.25" customHeight="1">
      <c r="A8" s="197">
        <v>7</v>
      </c>
      <c r="B8" s="490" t="s">
        <v>5</v>
      </c>
      <c r="C8" s="556">
        <v>45826</v>
      </c>
      <c r="D8" s="556">
        <v>45839</v>
      </c>
      <c r="E8" s="77" t="s">
        <v>2631</v>
      </c>
      <c r="F8" s="197" t="s">
        <v>317</v>
      </c>
      <c r="G8" s="197">
        <v>86403</v>
      </c>
      <c r="H8" s="77" t="s">
        <v>2679</v>
      </c>
      <c r="I8" s="490" t="s">
        <v>306</v>
      </c>
      <c r="J8" s="197">
        <v>0</v>
      </c>
      <c r="K8" s="197"/>
      <c r="L8" s="197"/>
      <c r="M8" s="197"/>
      <c r="N8" s="197"/>
      <c r="O8" s="197"/>
      <c r="P8" s="197"/>
      <c r="Q8" s="197"/>
      <c r="R8" s="197"/>
      <c r="S8" s="197"/>
      <c r="T8" s="197"/>
      <c r="U8" s="197"/>
      <c r="V8" s="197"/>
      <c r="W8" s="197"/>
      <c r="X8" s="197"/>
      <c r="Y8" s="197"/>
      <c r="Z8" s="197"/>
      <c r="AA8" s="197"/>
      <c r="AB8" s="146" t="s">
        <v>2680</v>
      </c>
      <c r="AC8" s="151"/>
      <c r="AD8" s="147"/>
      <c r="AE8" s="147"/>
      <c r="AF8" s="147" t="s">
        <v>2681</v>
      </c>
      <c r="AG8" s="147" t="s">
        <v>2682</v>
      </c>
      <c r="AH8" s="147" t="s">
        <v>2682</v>
      </c>
      <c r="AI8" s="147"/>
      <c r="AJ8" s="146" t="s">
        <v>2683</v>
      </c>
      <c r="AK8" s="146" t="s">
        <v>2684</v>
      </c>
      <c r="AL8" s="147" t="s">
        <v>434</v>
      </c>
      <c r="AM8" s="147" t="s">
        <v>434</v>
      </c>
    </row>
    <row r="9" spans="1:77" s="147" customFormat="1" ht="78.75" customHeight="1">
      <c r="A9" s="197">
        <v>8</v>
      </c>
      <c r="B9" s="490" t="s">
        <v>5</v>
      </c>
      <c r="C9" s="556">
        <v>45826</v>
      </c>
      <c r="D9" s="556">
        <v>45839</v>
      </c>
      <c r="E9" s="77" t="s">
        <v>2678</v>
      </c>
      <c r="F9" s="197" t="s">
        <v>313</v>
      </c>
      <c r="G9" s="135">
        <v>47278</v>
      </c>
      <c r="H9" s="77" t="s">
        <v>2592</v>
      </c>
      <c r="I9" s="490" t="s">
        <v>380</v>
      </c>
      <c r="J9" s="197">
        <v>2</v>
      </c>
      <c r="K9" s="197"/>
      <c r="L9" s="197">
        <v>12</v>
      </c>
      <c r="M9" s="197" t="s">
        <v>12</v>
      </c>
      <c r="N9" s="197"/>
      <c r="O9" s="197"/>
      <c r="P9" s="197"/>
      <c r="Q9" s="197"/>
      <c r="R9" s="197"/>
      <c r="S9" s="197"/>
      <c r="T9" s="197"/>
      <c r="U9" s="197"/>
      <c r="V9" s="197"/>
      <c r="W9" s="197"/>
      <c r="X9" s="197"/>
      <c r="Y9" s="197"/>
      <c r="Z9" s="197" t="s">
        <v>2516</v>
      </c>
      <c r="AA9" s="197" t="s">
        <v>2516</v>
      </c>
      <c r="AB9" s="146" t="s">
        <v>2685</v>
      </c>
      <c r="AC9" s="151"/>
      <c r="AI9" s="146" t="s">
        <v>2686</v>
      </c>
      <c r="AJ9" s="146" t="s">
        <v>2687</v>
      </c>
      <c r="AK9" s="146" t="s">
        <v>2688</v>
      </c>
      <c r="AL9" s="146" t="s">
        <v>2689</v>
      </c>
      <c r="AM9" s="147" t="s">
        <v>2690</v>
      </c>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219"/>
    </row>
    <row r="10" spans="1:77" s="150" customFormat="1" ht="46.5">
      <c r="A10" s="197">
        <v>9</v>
      </c>
      <c r="B10" s="490" t="s">
        <v>5</v>
      </c>
      <c r="C10" s="556">
        <v>45826</v>
      </c>
      <c r="D10" s="556">
        <v>45839</v>
      </c>
      <c r="E10" s="77" t="s">
        <v>2678</v>
      </c>
      <c r="F10" s="197" t="s">
        <v>2241</v>
      </c>
      <c r="G10" s="197">
        <v>25471</v>
      </c>
      <c r="H10" s="77" t="s">
        <v>2691</v>
      </c>
      <c r="I10" s="490" t="s">
        <v>376</v>
      </c>
      <c r="J10" s="197">
        <v>0</v>
      </c>
      <c r="K10" s="197">
        <v>13</v>
      </c>
      <c r="L10" s="197">
        <v>13</v>
      </c>
      <c r="M10" s="197"/>
      <c r="N10" s="197"/>
      <c r="O10" s="197"/>
      <c r="P10" s="197"/>
      <c r="Q10" s="197"/>
      <c r="R10" s="197"/>
      <c r="S10" s="197"/>
      <c r="T10" s="197"/>
      <c r="U10" s="197"/>
      <c r="V10" s="197"/>
      <c r="W10" s="197"/>
      <c r="X10" s="197"/>
      <c r="Y10" s="197"/>
      <c r="Z10" s="197" t="s">
        <v>2516</v>
      </c>
      <c r="AA10" s="197" t="s">
        <v>2516</v>
      </c>
      <c r="AB10" s="146" t="s">
        <v>2692</v>
      </c>
      <c r="AC10" s="151"/>
      <c r="AD10" s="147"/>
      <c r="AE10" s="147"/>
      <c r="AF10" s="147"/>
      <c r="AG10" s="147"/>
      <c r="AH10" s="147"/>
      <c r="AI10" s="147"/>
      <c r="AJ10" s="147"/>
      <c r="AK10" s="146"/>
      <c r="AL10" s="147"/>
      <c r="AM10" s="147" t="s">
        <v>2693</v>
      </c>
    </row>
    <row r="11" spans="1:77" s="150" customFormat="1" ht="81">
      <c r="A11" s="147">
        <v>10</v>
      </c>
      <c r="B11" s="490" t="s">
        <v>5</v>
      </c>
      <c r="C11" s="556">
        <v>45826</v>
      </c>
      <c r="D11" s="556">
        <v>45839</v>
      </c>
      <c r="E11" s="77" t="s">
        <v>2678</v>
      </c>
      <c r="F11" s="147" t="s">
        <v>317</v>
      </c>
      <c r="G11" s="147">
        <v>48656</v>
      </c>
      <c r="H11" s="146" t="s">
        <v>2694</v>
      </c>
      <c r="I11" s="151" t="s">
        <v>399</v>
      </c>
      <c r="J11" s="147">
        <v>3</v>
      </c>
      <c r="L11" s="147">
        <v>20</v>
      </c>
      <c r="M11" s="147"/>
      <c r="N11" s="147"/>
      <c r="O11" s="147"/>
      <c r="P11" s="147"/>
      <c r="Q11" s="147"/>
      <c r="R11" s="147"/>
      <c r="S11" s="147"/>
      <c r="T11" s="147"/>
      <c r="U11" s="147"/>
      <c r="V11" s="147"/>
      <c r="W11" s="147"/>
      <c r="X11" s="147"/>
      <c r="Y11" s="147"/>
      <c r="Z11" s="147"/>
      <c r="AA11" s="147"/>
      <c r="AB11" s="146" t="s">
        <v>2695</v>
      </c>
      <c r="AC11" s="151"/>
      <c r="AD11" s="147"/>
      <c r="AE11" s="147"/>
      <c r="AF11" s="147"/>
      <c r="AG11" s="147"/>
      <c r="AH11" s="147"/>
      <c r="AI11" s="147"/>
      <c r="AJ11" s="147"/>
      <c r="AK11" s="146"/>
      <c r="AL11" s="147"/>
      <c r="AM11" s="147"/>
    </row>
    <row r="12" spans="1:77" s="150" customFormat="1">
      <c r="A12" s="147"/>
      <c r="B12" s="151"/>
      <c r="C12" s="177"/>
      <c r="D12" s="177"/>
      <c r="E12" s="146"/>
      <c r="F12" s="147"/>
      <c r="G12" s="147"/>
      <c r="H12" s="146"/>
      <c r="I12" s="151"/>
      <c r="J12" s="147"/>
      <c r="K12" s="147"/>
      <c r="L12" s="147"/>
      <c r="M12" s="147"/>
      <c r="N12" s="147"/>
      <c r="O12" s="147"/>
      <c r="P12" s="147"/>
      <c r="Q12" s="147"/>
      <c r="R12" s="147"/>
      <c r="S12" s="147"/>
      <c r="T12" s="147"/>
      <c r="U12" s="147"/>
      <c r="V12" s="147"/>
      <c r="W12" s="147"/>
      <c r="X12" s="147"/>
      <c r="Y12" s="147"/>
      <c r="Z12" s="147"/>
      <c r="AA12" s="147"/>
      <c r="AB12" s="146"/>
      <c r="AC12" s="151"/>
      <c r="AD12" s="147"/>
      <c r="AE12" s="147"/>
      <c r="AF12" s="147"/>
      <c r="AG12" s="147"/>
      <c r="AH12" s="147"/>
      <c r="AI12" s="147"/>
      <c r="AJ12" s="147"/>
      <c r="AK12" s="146"/>
      <c r="AL12" s="147"/>
      <c r="AM12" s="147"/>
    </row>
    <row r="13" spans="1:77" s="150" customFormat="1">
      <c r="A13" s="147"/>
      <c r="B13" s="151"/>
      <c r="C13" s="177"/>
      <c r="D13" s="177"/>
      <c r="E13" s="146"/>
      <c r="F13" s="147"/>
      <c r="G13" s="147"/>
      <c r="H13" s="146"/>
      <c r="I13" s="147"/>
      <c r="J13" s="147"/>
      <c r="K13" s="147"/>
      <c r="L13" s="147"/>
      <c r="M13" s="147"/>
      <c r="N13" s="147"/>
      <c r="O13" s="147"/>
      <c r="P13" s="147"/>
      <c r="Q13" s="147"/>
      <c r="R13" s="147"/>
      <c r="S13" s="147"/>
      <c r="T13" s="147"/>
      <c r="U13" s="147"/>
      <c r="V13" s="147"/>
      <c r="W13" s="147"/>
      <c r="X13" s="147"/>
      <c r="Y13" s="147"/>
      <c r="Z13" s="147"/>
      <c r="AA13" s="147"/>
      <c r="AB13" s="146"/>
      <c r="AC13" s="151"/>
      <c r="AD13" s="147"/>
      <c r="AE13" s="147"/>
      <c r="AF13" s="147"/>
      <c r="AG13" s="147"/>
      <c r="AH13" s="147"/>
      <c r="AI13" s="146"/>
      <c r="AJ13" s="146"/>
      <c r="AK13" s="146"/>
      <c r="AL13" s="146"/>
      <c r="AM13" s="147"/>
    </row>
    <row r="14" spans="1:77" s="150" customFormat="1">
      <c r="A14" s="147"/>
      <c r="B14" s="151"/>
      <c r="C14" s="177"/>
      <c r="D14" s="177"/>
      <c r="E14" s="146"/>
      <c r="F14" s="147"/>
      <c r="G14" s="181"/>
      <c r="H14" s="146"/>
      <c r="I14" s="151"/>
      <c r="J14" s="147"/>
      <c r="K14" s="147"/>
      <c r="L14" s="147"/>
      <c r="M14" s="375"/>
      <c r="N14" s="375"/>
      <c r="O14" s="375"/>
      <c r="P14" s="375"/>
      <c r="Q14" s="147"/>
      <c r="R14" s="112"/>
      <c r="S14" s="530"/>
      <c r="T14" s="530"/>
      <c r="U14" s="375"/>
      <c r="V14" s="151"/>
      <c r="W14" s="375"/>
      <c r="X14" s="147"/>
      <c r="Y14" s="147"/>
      <c r="Z14" s="63"/>
      <c r="AA14" s="63"/>
      <c r="AB14" s="146"/>
      <c r="AC14" s="147"/>
      <c r="AD14" s="146"/>
      <c r="AE14" s="146"/>
      <c r="AF14" s="146"/>
      <c r="AG14" s="147"/>
      <c r="AH14" s="146"/>
      <c r="AI14" s="146"/>
      <c r="AJ14" s="146"/>
      <c r="AK14" s="146"/>
      <c r="AM14" s="146"/>
    </row>
    <row r="15" spans="1:77" s="150" customFormat="1">
      <c r="A15" s="147"/>
      <c r="B15" s="151"/>
      <c r="C15" s="177"/>
      <c r="D15" s="177"/>
      <c r="E15" s="146"/>
      <c r="F15" s="147"/>
      <c r="G15" s="181"/>
      <c r="H15" s="146"/>
      <c r="I15" s="151"/>
      <c r="J15" s="147"/>
      <c r="K15" s="147"/>
      <c r="L15" s="147"/>
      <c r="M15" s="147"/>
      <c r="N15" s="147"/>
      <c r="O15" s="147"/>
      <c r="P15" s="147"/>
      <c r="Q15" s="147"/>
      <c r="R15" s="147"/>
      <c r="S15" s="147"/>
      <c r="T15" s="147"/>
      <c r="U15" s="147"/>
      <c r="V15" s="147"/>
      <c r="W15" s="147"/>
      <c r="X15" s="147"/>
      <c r="Y15" s="147"/>
      <c r="Z15" s="147"/>
      <c r="AA15" s="147"/>
      <c r="AB15" s="146"/>
      <c r="AC15" s="147"/>
      <c r="AD15" s="146"/>
      <c r="AE15" s="147"/>
      <c r="AF15" s="147"/>
      <c r="AG15" s="147"/>
      <c r="AH15" s="147"/>
      <c r="AI15" s="147"/>
      <c r="AJ15" s="147"/>
      <c r="AK15" s="147"/>
      <c r="AL15" s="147"/>
      <c r="AM15" s="147"/>
    </row>
    <row r="16" spans="1:77">
      <c r="A16" s="118"/>
      <c r="B16" s="536"/>
      <c r="C16" s="552"/>
      <c r="D16" s="552"/>
      <c r="E16" s="189"/>
      <c r="F16" s="118"/>
      <c r="G16" s="118"/>
      <c r="H16" s="119"/>
      <c r="I16" s="536"/>
      <c r="J16" s="118"/>
      <c r="K16" s="118"/>
      <c r="L16" s="118"/>
      <c r="M16" s="118"/>
      <c r="N16" s="118"/>
      <c r="O16" s="118"/>
      <c r="P16" s="118"/>
      <c r="Q16" s="118"/>
      <c r="R16" s="118"/>
      <c r="S16" s="118"/>
      <c r="T16" s="118"/>
      <c r="U16" s="118"/>
      <c r="V16" s="118"/>
      <c r="W16" s="118"/>
      <c r="X16" s="118"/>
      <c r="Y16" s="118"/>
      <c r="Z16" s="118"/>
      <c r="AA16" s="118"/>
      <c r="AB16" s="119"/>
      <c r="AC16" s="151"/>
      <c r="AD16" s="118"/>
      <c r="AE16" s="118"/>
      <c r="AF16" s="119"/>
      <c r="AG16" s="118"/>
      <c r="AH16" s="119"/>
      <c r="AI16" s="119"/>
      <c r="AJ16" s="119"/>
      <c r="AK16" s="118"/>
      <c r="AL16" s="118"/>
      <c r="AM16" s="118"/>
    </row>
    <row r="17" spans="1:19" s="93" customFormat="1">
      <c r="A17" s="96"/>
      <c r="B17" s="151"/>
      <c r="C17" s="177"/>
      <c r="D17" s="177"/>
      <c r="E17" s="146"/>
      <c r="F17" s="96"/>
      <c r="G17" s="554"/>
      <c r="H17" s="96"/>
      <c r="I17" s="536"/>
      <c r="J17" s="96"/>
      <c r="K17" s="96"/>
      <c r="L17" s="96"/>
      <c r="M17" s="96"/>
      <c r="N17" s="96"/>
      <c r="O17" s="96"/>
      <c r="P17" s="96"/>
      <c r="Q17" s="96"/>
      <c r="R17" s="96"/>
      <c r="S17" s="96"/>
    </row>
    <row r="18" spans="1:19">
      <c r="I18" s="553"/>
    </row>
    <row r="19" spans="1:19">
      <c r="I19" s="553"/>
    </row>
    <row r="20" spans="1:19">
      <c r="I20" s="553"/>
    </row>
    <row r="21" spans="1:19">
      <c r="I21" s="553"/>
    </row>
    <row r="22" spans="1:19">
      <c r="I22" s="553"/>
    </row>
    <row r="27" spans="1:19">
      <c r="I27" s="553"/>
    </row>
    <row r="28" spans="1:19">
      <c r="I28" s="553"/>
    </row>
    <row r="29" spans="1:19">
      <c r="I29" s="553"/>
    </row>
    <row r="30" spans="1:19">
      <c r="I30" s="553"/>
    </row>
    <row r="31" spans="1:19">
      <c r="I31" s="553"/>
    </row>
    <row r="32" spans="1:19">
      <c r="I32" s="553"/>
    </row>
    <row r="33" spans="9:9">
      <c r="I33" s="553"/>
    </row>
    <row r="34" spans="9:9">
      <c r="I34" s="553"/>
    </row>
    <row r="35" spans="9:9">
      <c r="I35" s="553"/>
    </row>
    <row r="36" spans="9:9">
      <c r="I36" s="553"/>
    </row>
  </sheetData>
  <conditionalFormatting sqref="J1 I27:I36 I2:I22">
    <cfRule type="containsText" dxfId="509" priority="1" operator="containsText" text="Closed">
      <formula>NOT(ISERROR(SEARCH("Closed",I1)))</formula>
    </cfRule>
    <cfRule type="containsText" dxfId="508" priority="2" operator="containsText" text="Open">
      <formula>NOT(ISERROR(SEARCH("Open",I1)))</formula>
    </cfRule>
    <cfRule type="containsText" dxfId="507" priority="3" operator="containsText" text="Inprogress">
      <formula>NOT(ISERROR(SEARCH("Inprogress",I1)))</formula>
    </cfRule>
  </conditionalFormatting>
  <dataValidations count="11">
    <dataValidation type="list" allowBlank="1" showInputMessage="1" showErrorMessage="1" sqref="AC5:AC13 AC16 AC3" xr:uid="{411F28F0-9690-4E07-9EAF-BE33DD86F2EA}">
      <formula1>"Exceeds Expectation,Meets Expectation,Needs improvements"</formula1>
    </dataValidation>
    <dataValidation allowBlank="1" showInputMessage="1" showErrorMessage="1" sqref="AB1:AC1 V14 Z14:AA14 V5 Z5:AA5 Z3:AA3" xr:uid="{A862CECC-85FB-4070-A46E-E134B07D223B}"/>
    <dataValidation type="list" showErrorMessage="1" sqref="W1:X1 U1 M1 M14 M5 M3" xr:uid="{5BEC44A6-69E6-4E6E-9613-13AFA74EDCAF}">
      <formula1>"Open,Inprogress,Completed,TBD,NA"</formula1>
    </dataValidation>
    <dataValidation type="list" showErrorMessage="1" sqref="Q1:R1 V1 Y1" xr:uid="{490A057C-B0E7-4060-AFC2-E1FAC45EAE88}">
      <formula1>"No issues found,Issues observed(BacktoDev),DB Script tests in QA DB,NA,TBD"</formula1>
    </dataValidation>
    <dataValidation type="list" showErrorMessage="1" sqref="Z1" xr:uid="{4026ADFA-F996-4395-9FA4-A259F3806313}">
      <formula1>"Approved-Satisified AC,Not Approved(Back to Dev),NA,TBD"</formula1>
    </dataValidation>
    <dataValidation type="list" showErrorMessage="1" sqref="AA1" xr:uid="{83C72BF6-1703-471B-8B50-954331422994}">
      <formula1>"Pending-Waiting for Customer confirmation, Approved-Satisified AC,Not Approved-New minor changes requested(Back to Dev),NA,TBD"</formula1>
    </dataValidation>
    <dataValidation type="list" allowBlank="1" showErrorMessage="1" sqref="J1" xr:uid="{FA89C8EF-D983-4755-B0D3-B3631E76402D}">
      <formula1>"Open,Inprogress,Closed"</formula1>
    </dataValidation>
    <dataValidation showErrorMessage="1" sqref="I1" xr:uid="{51E5D619-3A26-4E08-A42D-D5799CB712A2}"/>
    <dataValidation type="list" showErrorMessage="1" sqref="O1 O14 O5 O3" xr:uid="{0C60CC1F-4826-401B-B9A3-49BF7451DF6E}">
      <formula1>"Pass,Fail(BacktoDev),DB Script tests in QA DB,TBD"</formula1>
    </dataValidation>
    <dataValidation type="list" showErrorMessage="1" sqref="P1 P14" xr:uid="{3B627785-8EA3-4D6A-9625-89881B7A7001}">
      <formula1>"Qadir,Rijo,Karthik,None,TBD"</formula1>
    </dataValidation>
    <dataValidation type="list" showErrorMessage="1" sqref="N1 N14 N5 N3" xr:uid="{03A222C4-C1F6-4200-BB93-A46B28C134C0}">
      <formula1>"Qadir,Rijo,Karthik,Sushmitha,None,TBD"</formula1>
    </dataValidation>
  </dataValidations>
  <hyperlinks>
    <hyperlink ref="R5" r:id="rId1" xr:uid="{7F0623C4-A77F-4728-A36E-3C56B7449825}"/>
    <hyperlink ref="R2" r:id="rId2" xr:uid="{19056413-F18E-400C-A7FD-9232DAE76697}"/>
    <hyperlink ref="R6" r:id="rId3" xr:uid="{08AFE43E-72FB-4E22-B089-70E9A7289FC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0090E93-8EE4-4321-9E9C-28CA392231A8}">
          <x14:formula1>
            <xm:f>Settings!$C$3:$C$20</xm:f>
          </x14:formula1>
          <xm:sqref>I27:I36 I2:I22</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12742-414E-44AD-A008-684F6E93928A}">
  <dimension ref="A1:M10"/>
  <sheetViews>
    <sheetView workbookViewId="0">
      <selection activeCell="L2" sqref="L2"/>
    </sheetView>
  </sheetViews>
  <sheetFormatPr defaultRowHeight="12.75"/>
  <cols>
    <col min="2" max="2" width="16.42578125" customWidth="1"/>
    <col min="3" max="3" width="12" customWidth="1"/>
    <col min="7" max="7" width="46.140625" customWidth="1"/>
    <col min="11" max="11" width="15.42578125" customWidth="1"/>
    <col min="12" max="12" width="21.7109375" customWidth="1"/>
    <col min="13" max="13" width="23" customWidth="1"/>
  </cols>
  <sheetData>
    <row r="1" spans="1:13" ht="34.5" customHeight="1">
      <c r="A1" s="542" t="s">
        <v>266</v>
      </c>
      <c r="B1" s="543" t="s">
        <v>10</v>
      </c>
      <c r="C1" s="543" t="s">
        <v>267</v>
      </c>
      <c r="D1" s="543" t="s">
        <v>268</v>
      </c>
      <c r="E1" s="543" t="s">
        <v>269</v>
      </c>
      <c r="F1" s="543" t="s">
        <v>270</v>
      </c>
      <c r="G1" s="543" t="s">
        <v>271</v>
      </c>
      <c r="H1" s="543" t="s">
        <v>272</v>
      </c>
      <c r="I1" s="543" t="s">
        <v>273</v>
      </c>
      <c r="J1" s="543" t="s">
        <v>274</v>
      </c>
      <c r="K1" s="543" t="s">
        <v>275</v>
      </c>
      <c r="L1" s="544" t="s">
        <v>276</v>
      </c>
      <c r="M1" s="527" t="s">
        <v>277</v>
      </c>
    </row>
    <row r="2" spans="1:13" ht="69">
      <c r="A2">
        <v>1</v>
      </c>
      <c r="B2" s="13" t="s">
        <v>2696</v>
      </c>
      <c r="C2" s="157">
        <v>25408</v>
      </c>
      <c r="D2" s="387"/>
      <c r="E2" s="93" t="s">
        <v>317</v>
      </c>
      <c r="F2" s="388" t="s">
        <v>522</v>
      </c>
      <c r="G2" s="77" t="s">
        <v>2632</v>
      </c>
      <c r="H2" s="11" t="s">
        <v>1670</v>
      </c>
      <c r="I2" s="388" t="s">
        <v>518</v>
      </c>
      <c r="J2" s="11" t="s">
        <v>519</v>
      </c>
      <c r="K2" s="388" t="s">
        <v>1674</v>
      </c>
      <c r="L2" s="513" t="s">
        <v>529</v>
      </c>
      <c r="M2" s="96" t="s">
        <v>2697</v>
      </c>
    </row>
    <row r="3" spans="1:13" ht="35.25">
      <c r="A3">
        <v>2</v>
      </c>
      <c r="B3" s="13" t="s">
        <v>2696</v>
      </c>
      <c r="C3" s="157">
        <v>25471</v>
      </c>
      <c r="D3" s="387"/>
      <c r="E3" s="93" t="s">
        <v>2241</v>
      </c>
      <c r="F3" s="388" t="s">
        <v>522</v>
      </c>
      <c r="G3" s="77" t="s">
        <v>2691</v>
      </c>
      <c r="H3" s="11" t="s">
        <v>1670</v>
      </c>
      <c r="I3" s="388" t="s">
        <v>518</v>
      </c>
      <c r="J3" s="11" t="s">
        <v>519</v>
      </c>
      <c r="K3" s="388" t="s">
        <v>1674</v>
      </c>
      <c r="L3" s="513" t="s">
        <v>529</v>
      </c>
      <c r="M3" s="96" t="s">
        <v>2698</v>
      </c>
    </row>
    <row r="4" spans="1:13">
      <c r="B4" s="13"/>
      <c r="C4" s="157"/>
      <c r="D4" s="387"/>
      <c r="E4" s="93"/>
      <c r="F4" s="388"/>
      <c r="G4" s="197"/>
      <c r="H4" s="11"/>
      <c r="I4" s="388"/>
      <c r="J4" s="11"/>
      <c r="K4" s="388"/>
      <c r="L4" s="11"/>
      <c r="M4" s="93"/>
    </row>
    <row r="5" spans="1:13">
      <c r="B5" s="13"/>
      <c r="C5" s="157"/>
      <c r="D5" s="387"/>
      <c r="E5" s="93"/>
      <c r="F5" s="388"/>
      <c r="G5" s="77"/>
      <c r="H5" s="11"/>
      <c r="I5" s="388"/>
      <c r="J5" s="11"/>
      <c r="K5" s="388"/>
      <c r="L5" s="11"/>
      <c r="M5" s="93"/>
    </row>
    <row r="6" spans="1:13">
      <c r="B6" s="13"/>
      <c r="C6" s="157"/>
      <c r="D6" s="387"/>
      <c r="E6" s="93"/>
      <c r="F6" s="388"/>
      <c r="G6" s="77"/>
      <c r="H6" s="11"/>
      <c r="I6" s="388"/>
      <c r="J6" s="11"/>
      <c r="K6" s="388"/>
      <c r="L6" s="11"/>
      <c r="M6" s="93"/>
    </row>
    <row r="7" spans="1:13">
      <c r="B7" s="13"/>
      <c r="C7" s="157"/>
      <c r="D7" s="387"/>
      <c r="E7" s="93"/>
      <c r="F7" s="388"/>
      <c r="G7" s="77"/>
      <c r="H7" s="11"/>
      <c r="I7" s="388"/>
      <c r="J7" s="11"/>
      <c r="K7" s="388"/>
      <c r="L7" s="11"/>
      <c r="M7" s="93"/>
    </row>
    <row r="8" spans="1:13">
      <c r="B8" s="13"/>
      <c r="C8" s="157"/>
      <c r="D8" s="387"/>
      <c r="E8" s="93"/>
      <c r="F8" s="388"/>
      <c r="G8" s="77"/>
      <c r="H8" s="11"/>
      <c r="I8" s="388"/>
      <c r="J8" s="11"/>
      <c r="K8" s="388"/>
      <c r="L8" s="11"/>
      <c r="M8" s="93"/>
    </row>
    <row r="9" spans="1:13">
      <c r="B9" s="11"/>
      <c r="C9" s="157"/>
      <c r="D9" s="387"/>
      <c r="E9" s="93"/>
      <c r="F9" s="388"/>
      <c r="G9" s="77"/>
      <c r="H9" s="11"/>
      <c r="I9" s="388"/>
      <c r="J9" s="11"/>
      <c r="K9" s="388"/>
      <c r="L9" s="11"/>
      <c r="M9" s="93"/>
    </row>
    <row r="10" spans="1:13">
      <c r="B10" s="11"/>
      <c r="C10" s="157"/>
      <c r="D10" s="387"/>
      <c r="E10" s="93"/>
      <c r="F10" s="388"/>
      <c r="G10" s="77"/>
      <c r="H10" s="11"/>
      <c r="I10" s="388"/>
      <c r="J10" s="11"/>
      <c r="K10" s="388"/>
      <c r="L10" s="11"/>
      <c r="M10" s="93"/>
    </row>
  </sheetData>
  <dataValidations count="6">
    <dataValidation type="list" allowBlank="1" showErrorMessage="1" sqref="J2:J10" xr:uid="{A8213620-F8FD-4277-8D97-68C4E3A70D30}">
      <formula1>"Internal,External"</formula1>
    </dataValidation>
    <dataValidation type="list" allowBlank="1" showErrorMessage="1" sqref="H2:H10" xr:uid="{F8D77023-F1E7-4EDF-A394-F2233BF98DD8}">
      <formula1>"Minor,Significant,Major"</formula1>
    </dataValidation>
    <dataValidation type="list" allowBlank="1" showErrorMessage="1" sqref="F2:F10" xr:uid="{255B422D-6023-4860-801F-9D44BA328480}">
      <formula1>"Bounceback/Sub-Defect,Defect,None"</formula1>
    </dataValidation>
    <dataValidation type="list" allowBlank="1" showErrorMessage="1" sqref="I2:I10" xr:uid="{9D13021A-5C42-48DD-BA7C-460CA82E08F4}">
      <formula1>"Manual, Automation"</formula1>
    </dataValidation>
    <dataValidation type="list" allowBlank="1" showErrorMessage="1" sqref="K2:K10" xr:uid="{3D14EE91-3C19-4AE2-BEFB-1204A4B82F8A}">
      <formula1>"Open,Inprogress,Closed/Rejected"</formula1>
    </dataValidation>
    <dataValidation type="list" allowBlank="1" showErrorMessage="1" sqref="L4:L10" xr:uid="{F3F9F0D4-B8C8-41FD-B1F3-B6269C086F1B}">
      <formula1>$A$2:$A$5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FD38067-FF48-4880-A9F2-8A8525043408}">
          <x14:formula1>
            <xm:f>Details!$A$2:$A$10</xm:f>
          </x14:formula1>
          <xm:sqref>L2:L3</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620B-8145-4876-953E-255F75903589}">
  <dimension ref="A1:BY36"/>
  <sheetViews>
    <sheetView workbookViewId="0">
      <pane ySplit="1" topLeftCell="P17" activePane="bottomLeft" state="frozen"/>
      <selection pane="bottomLeft" activeCell="AA3" sqref="AA3"/>
    </sheetView>
  </sheetViews>
  <sheetFormatPr defaultRowHeight="12.75"/>
  <cols>
    <col min="2" max="2" width="11.7109375" customWidth="1"/>
    <col min="5" max="5" width="13.42578125" customWidth="1"/>
    <col min="8" max="8" width="24.7109375" customWidth="1"/>
    <col min="9" max="9" width="17.42578125" customWidth="1"/>
    <col min="13" max="13" width="12.28515625" customWidth="1"/>
    <col min="18" max="18" width="19.28515625" customWidth="1"/>
    <col min="21" max="21" width="11.85546875" customWidth="1"/>
    <col min="27" max="27" width="17.85546875" customWidth="1"/>
    <col min="28" max="28" width="22.85546875" customWidth="1"/>
    <col min="29" max="29" width="15.28515625" customWidth="1"/>
    <col min="30" max="30" width="16.42578125" customWidth="1"/>
    <col min="31" max="31" width="26.7109375" customWidth="1"/>
    <col min="32" max="32" width="29.140625" customWidth="1"/>
    <col min="33" max="33" width="24.7109375" customWidth="1"/>
    <col min="34" max="34" width="28" customWidth="1"/>
    <col min="35" max="35" width="15.140625" customWidth="1"/>
    <col min="36" max="36" width="28" customWidth="1"/>
    <col min="37" max="37" width="18.5703125" customWidth="1"/>
    <col min="38" max="38" width="16" customWidth="1"/>
    <col min="39" max="39" width="15.140625" customWidth="1"/>
  </cols>
  <sheetData>
    <row r="1" spans="1:77"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286</v>
      </c>
      <c r="N1" s="247" t="s">
        <v>287</v>
      </c>
      <c r="O1" s="247" t="s">
        <v>288</v>
      </c>
      <c r="P1" s="247" t="s">
        <v>289</v>
      </c>
      <c r="Q1" s="247" t="s">
        <v>290</v>
      </c>
      <c r="R1" s="247" t="s">
        <v>291</v>
      </c>
      <c r="S1" s="516" t="s">
        <v>292</v>
      </c>
      <c r="T1" s="516" t="s">
        <v>293</v>
      </c>
      <c r="U1" s="247" t="s">
        <v>294</v>
      </c>
      <c r="V1" s="247" t="s">
        <v>295</v>
      </c>
      <c r="W1" s="247" t="s">
        <v>296</v>
      </c>
      <c r="X1" s="516" t="s">
        <v>297</v>
      </c>
      <c r="Y1" s="247" t="s">
        <v>298</v>
      </c>
      <c r="Z1" s="247" t="s">
        <v>299</v>
      </c>
      <c r="AA1" s="247" t="s">
        <v>300</v>
      </c>
      <c r="AB1" s="517" t="s">
        <v>277</v>
      </c>
      <c r="AC1" s="247" t="s">
        <v>301</v>
      </c>
      <c r="AD1" s="518">
        <v>45812</v>
      </c>
      <c r="AE1" s="518">
        <v>45813</v>
      </c>
      <c r="AF1" s="518">
        <v>45814</v>
      </c>
      <c r="AG1" s="518">
        <v>45817</v>
      </c>
      <c r="AH1" s="518">
        <v>45818</v>
      </c>
      <c r="AI1" s="518">
        <v>45819</v>
      </c>
      <c r="AJ1" s="518">
        <v>45820</v>
      </c>
      <c r="AK1" s="518">
        <v>45821</v>
      </c>
      <c r="AL1" s="518">
        <v>45824</v>
      </c>
      <c r="AM1" s="518">
        <v>45825</v>
      </c>
    </row>
    <row r="2" spans="1:77" ht="60" customHeight="1">
      <c r="A2" s="93">
        <v>1</v>
      </c>
      <c r="B2" s="151" t="s">
        <v>5</v>
      </c>
      <c r="C2" s="177">
        <v>45812</v>
      </c>
      <c r="D2" s="177">
        <v>45825</v>
      </c>
      <c r="E2" s="146" t="s">
        <v>2699</v>
      </c>
      <c r="F2" s="93" t="s">
        <v>317</v>
      </c>
      <c r="G2" s="93">
        <v>48294</v>
      </c>
      <c r="H2" s="96" t="s">
        <v>2700</v>
      </c>
      <c r="I2" s="151" t="s">
        <v>306</v>
      </c>
      <c r="J2" s="93">
        <v>2</v>
      </c>
      <c r="K2" s="93">
        <v>5.3</v>
      </c>
      <c r="L2" s="93">
        <v>21.5</v>
      </c>
      <c r="M2" s="93" t="s">
        <v>12</v>
      </c>
      <c r="N2" s="93" t="s">
        <v>315</v>
      </c>
      <c r="O2" s="93" t="s">
        <v>316</v>
      </c>
      <c r="P2" s="93" t="s">
        <v>320</v>
      </c>
      <c r="Q2" s="93" t="s">
        <v>320</v>
      </c>
      <c r="R2" s="130" t="s">
        <v>2701</v>
      </c>
      <c r="S2" s="171">
        <v>45817</v>
      </c>
      <c r="T2" s="171">
        <v>45817</v>
      </c>
      <c r="U2" s="93" t="s">
        <v>12</v>
      </c>
      <c r="V2" s="93" t="s">
        <v>316</v>
      </c>
      <c r="W2" s="116" t="s">
        <v>319</v>
      </c>
      <c r="X2" s="93" t="s">
        <v>320</v>
      </c>
      <c r="Y2" s="93" t="s">
        <v>320</v>
      </c>
      <c r="Z2" s="93" t="s">
        <v>2516</v>
      </c>
      <c r="AA2" s="93" t="s">
        <v>2516</v>
      </c>
      <c r="AB2" s="96" t="s">
        <v>2702</v>
      </c>
      <c r="AC2" s="151" t="s">
        <v>1994</v>
      </c>
      <c r="AD2" s="96" t="s">
        <v>2703</v>
      </c>
      <c r="AE2" s="96" t="s">
        <v>2704</v>
      </c>
      <c r="AF2" s="96" t="s">
        <v>2705</v>
      </c>
      <c r="AG2" s="96" t="s">
        <v>2706</v>
      </c>
      <c r="AH2" s="93" t="s">
        <v>2707</v>
      </c>
      <c r="AI2" s="93" t="s">
        <v>12</v>
      </c>
      <c r="AJ2" s="93" t="s">
        <v>434</v>
      </c>
      <c r="AK2" s="93" t="s">
        <v>434</v>
      </c>
      <c r="AL2" s="93" t="s">
        <v>434</v>
      </c>
      <c r="AM2" s="93" t="s">
        <v>434</v>
      </c>
    </row>
    <row r="3" spans="1:77" ht="81">
      <c r="A3" s="93">
        <v>2</v>
      </c>
      <c r="B3" s="151" t="s">
        <v>5</v>
      </c>
      <c r="C3" s="177">
        <v>45812</v>
      </c>
      <c r="D3" s="177">
        <v>45825</v>
      </c>
      <c r="E3" s="146" t="s">
        <v>2708</v>
      </c>
      <c r="F3" s="93" t="s">
        <v>2251</v>
      </c>
      <c r="G3" s="93">
        <v>25253</v>
      </c>
      <c r="H3" s="96" t="s">
        <v>2709</v>
      </c>
      <c r="I3" s="151" t="s">
        <v>376</v>
      </c>
      <c r="J3" s="93">
        <v>2</v>
      </c>
      <c r="K3" s="93">
        <v>6.6</v>
      </c>
      <c r="L3" s="93">
        <v>26.5</v>
      </c>
      <c r="M3" s="93" t="s">
        <v>320</v>
      </c>
      <c r="N3" s="93" t="s">
        <v>320</v>
      </c>
      <c r="O3" s="93" t="s">
        <v>320</v>
      </c>
      <c r="P3" s="93" t="s">
        <v>320</v>
      </c>
      <c r="Q3" s="93" t="s">
        <v>320</v>
      </c>
      <c r="R3" s="93" t="s">
        <v>320</v>
      </c>
      <c r="S3" s="93" t="s">
        <v>320</v>
      </c>
      <c r="T3" s="93" t="s">
        <v>320</v>
      </c>
      <c r="U3" s="93" t="s">
        <v>320</v>
      </c>
      <c r="V3" s="93" t="s">
        <v>320</v>
      </c>
      <c r="W3" s="93" t="s">
        <v>320</v>
      </c>
      <c r="X3" s="93" t="s">
        <v>320</v>
      </c>
      <c r="Y3" s="93" t="s">
        <v>320</v>
      </c>
      <c r="Z3" s="93" t="s">
        <v>320</v>
      </c>
      <c r="AA3" s="93" t="s">
        <v>320</v>
      </c>
      <c r="AB3" s="96" t="s">
        <v>2710</v>
      </c>
      <c r="AC3" s="151" t="s">
        <v>1994</v>
      </c>
      <c r="AD3" s="96" t="s">
        <v>2711</v>
      </c>
      <c r="AE3" s="96" t="s">
        <v>2712</v>
      </c>
      <c r="AF3" s="93" t="s">
        <v>2713</v>
      </c>
      <c r="AG3" s="96" t="s">
        <v>2714</v>
      </c>
      <c r="AH3" s="96" t="s">
        <v>2715</v>
      </c>
      <c r="AI3" s="93" t="s">
        <v>12</v>
      </c>
      <c r="AJ3" s="93" t="s">
        <v>434</v>
      </c>
      <c r="AK3" s="93" t="s">
        <v>434</v>
      </c>
      <c r="AL3" s="93" t="s">
        <v>434</v>
      </c>
      <c r="AM3" s="93" t="s">
        <v>434</v>
      </c>
    </row>
    <row r="4" spans="1:77" ht="81">
      <c r="A4" s="93">
        <v>3</v>
      </c>
      <c r="B4" s="151" t="s">
        <v>5</v>
      </c>
      <c r="C4" s="177">
        <v>45812</v>
      </c>
      <c r="D4" s="177">
        <v>45825</v>
      </c>
      <c r="E4" s="146" t="s">
        <v>2708</v>
      </c>
      <c r="F4" s="93" t="s">
        <v>317</v>
      </c>
      <c r="G4" s="93">
        <v>25350</v>
      </c>
      <c r="H4" s="96" t="s">
        <v>2716</v>
      </c>
      <c r="I4" s="151" t="s">
        <v>376</v>
      </c>
      <c r="J4" s="93">
        <v>0.5</v>
      </c>
      <c r="K4" s="93">
        <v>0.75</v>
      </c>
      <c r="L4" s="93">
        <v>3</v>
      </c>
      <c r="M4" s="93" t="s">
        <v>320</v>
      </c>
      <c r="N4" s="93" t="s">
        <v>320</v>
      </c>
      <c r="O4" s="93" t="s">
        <v>320</v>
      </c>
      <c r="P4" s="93" t="s">
        <v>320</v>
      </c>
      <c r="Q4" s="93" t="s">
        <v>320</v>
      </c>
      <c r="R4" s="93" t="s">
        <v>320</v>
      </c>
      <c r="S4" s="93" t="s">
        <v>320</v>
      </c>
      <c r="T4" s="93" t="s">
        <v>320</v>
      </c>
      <c r="U4" s="93" t="s">
        <v>320</v>
      </c>
      <c r="V4" s="93" t="s">
        <v>320</v>
      </c>
      <c r="W4" s="93" t="s">
        <v>320</v>
      </c>
      <c r="X4" s="93" t="s">
        <v>320</v>
      </c>
      <c r="Y4" s="93" t="s">
        <v>320</v>
      </c>
      <c r="Z4" s="93" t="s">
        <v>320</v>
      </c>
      <c r="AA4" s="93" t="s">
        <v>320</v>
      </c>
      <c r="AB4" s="96" t="s">
        <v>2717</v>
      </c>
      <c r="AC4" s="151" t="s">
        <v>423</v>
      </c>
      <c r="AD4" s="96" t="s">
        <v>2718</v>
      </c>
      <c r="AE4" s="96" t="s">
        <v>2719</v>
      </c>
      <c r="AF4" s="96" t="s">
        <v>2720</v>
      </c>
      <c r="AG4" s="96" t="s">
        <v>2721</v>
      </c>
      <c r="AH4" s="93" t="s">
        <v>2722</v>
      </c>
      <c r="AI4" s="93" t="s">
        <v>12</v>
      </c>
      <c r="AJ4" s="93" t="s">
        <v>434</v>
      </c>
      <c r="AK4" s="93" t="s">
        <v>434</v>
      </c>
      <c r="AL4" s="93" t="s">
        <v>434</v>
      </c>
      <c r="AM4" s="93" t="s">
        <v>434</v>
      </c>
    </row>
    <row r="5" spans="1:77" ht="81">
      <c r="A5" s="93">
        <v>4</v>
      </c>
      <c r="B5" s="151" t="s">
        <v>5</v>
      </c>
      <c r="C5" s="177">
        <v>45812</v>
      </c>
      <c r="D5" s="177">
        <v>45825</v>
      </c>
      <c r="E5" s="146" t="s">
        <v>2708</v>
      </c>
      <c r="F5" s="93" t="s">
        <v>317</v>
      </c>
      <c r="G5" s="93">
        <v>47283</v>
      </c>
      <c r="H5" s="96" t="s">
        <v>2723</v>
      </c>
      <c r="I5" s="151" t="s">
        <v>306</v>
      </c>
      <c r="J5" s="93">
        <v>0.5</v>
      </c>
      <c r="K5" s="93">
        <v>0.5</v>
      </c>
      <c r="L5" s="93">
        <v>2</v>
      </c>
      <c r="M5" s="93" t="s">
        <v>320</v>
      </c>
      <c r="N5" s="93" t="s">
        <v>320</v>
      </c>
      <c r="O5" s="93" t="s">
        <v>320</v>
      </c>
      <c r="P5" s="93" t="s">
        <v>320</v>
      </c>
      <c r="Q5" s="93" t="s">
        <v>320</v>
      </c>
      <c r="R5" s="93" t="s">
        <v>320</v>
      </c>
      <c r="S5" s="93" t="s">
        <v>320</v>
      </c>
      <c r="T5" s="93" t="s">
        <v>320</v>
      </c>
      <c r="U5" s="93" t="s">
        <v>320</v>
      </c>
      <c r="V5" s="93" t="s">
        <v>320</v>
      </c>
      <c r="W5" s="93" t="s">
        <v>320</v>
      </c>
      <c r="X5" s="93" t="s">
        <v>320</v>
      </c>
      <c r="Y5" s="93" t="s">
        <v>320</v>
      </c>
      <c r="Z5" s="93" t="s">
        <v>320</v>
      </c>
      <c r="AA5" s="93" t="s">
        <v>320</v>
      </c>
      <c r="AB5" s="96" t="s">
        <v>2717</v>
      </c>
      <c r="AC5" s="151" t="s">
        <v>423</v>
      </c>
      <c r="AD5" s="96" t="s">
        <v>2718</v>
      </c>
      <c r="AE5" s="96" t="s">
        <v>2719</v>
      </c>
      <c r="AF5" s="96" t="s">
        <v>2720</v>
      </c>
      <c r="AG5" s="96" t="s">
        <v>2721</v>
      </c>
      <c r="AH5" s="93" t="s">
        <v>2722</v>
      </c>
      <c r="AI5" s="93" t="s">
        <v>12</v>
      </c>
      <c r="AJ5" s="93" t="s">
        <v>434</v>
      </c>
      <c r="AK5" s="93" t="s">
        <v>434</v>
      </c>
      <c r="AL5" s="93" t="s">
        <v>434</v>
      </c>
      <c r="AM5" s="93" t="s">
        <v>434</v>
      </c>
    </row>
    <row r="6" spans="1:77" ht="69">
      <c r="A6" s="93">
        <v>5</v>
      </c>
      <c r="B6" s="151" t="s">
        <v>5</v>
      </c>
      <c r="C6" s="177">
        <v>45812</v>
      </c>
      <c r="D6" s="177">
        <v>45825</v>
      </c>
      <c r="E6" s="146" t="s">
        <v>2724</v>
      </c>
      <c r="F6" s="93" t="s">
        <v>313</v>
      </c>
      <c r="G6" s="93">
        <v>45453</v>
      </c>
      <c r="H6" s="96" t="s">
        <v>2725</v>
      </c>
      <c r="I6" s="151" t="s">
        <v>306</v>
      </c>
      <c r="J6" s="93">
        <v>1</v>
      </c>
      <c r="K6" s="93">
        <v>1</v>
      </c>
      <c r="L6" s="93">
        <v>4</v>
      </c>
      <c r="M6" s="116" t="s">
        <v>12</v>
      </c>
      <c r="N6" s="116" t="s">
        <v>315</v>
      </c>
      <c r="O6" s="116" t="s">
        <v>316</v>
      </c>
      <c r="P6" s="116" t="s">
        <v>317</v>
      </c>
      <c r="Q6" s="93" t="s">
        <v>316</v>
      </c>
      <c r="R6" s="130" t="s">
        <v>2726</v>
      </c>
      <c r="S6" s="555">
        <v>45813</v>
      </c>
      <c r="T6" s="555">
        <v>45813</v>
      </c>
      <c r="U6" s="116" t="s">
        <v>12</v>
      </c>
      <c r="V6" s="490" t="s">
        <v>316</v>
      </c>
      <c r="W6" s="116" t="s">
        <v>319</v>
      </c>
      <c r="X6" s="197" t="s">
        <v>320</v>
      </c>
      <c r="Y6" s="197" t="s">
        <v>320</v>
      </c>
      <c r="Z6" s="76" t="s">
        <v>2516</v>
      </c>
      <c r="AA6" s="76" t="s">
        <v>2516</v>
      </c>
      <c r="AB6" s="93" t="s">
        <v>434</v>
      </c>
      <c r="AC6" s="151" t="s">
        <v>423</v>
      </c>
      <c r="AD6" s="96" t="s">
        <v>2727</v>
      </c>
      <c r="AE6" s="96" t="s">
        <v>2728</v>
      </c>
      <c r="AF6" s="96" t="s">
        <v>2729</v>
      </c>
      <c r="AG6" s="93" t="s">
        <v>434</v>
      </c>
      <c r="AH6" s="93" t="s">
        <v>434</v>
      </c>
      <c r="AI6" s="93" t="s">
        <v>12</v>
      </c>
      <c r="AJ6" s="93" t="s">
        <v>434</v>
      </c>
      <c r="AK6" s="93" t="s">
        <v>434</v>
      </c>
      <c r="AL6" s="93" t="s">
        <v>434</v>
      </c>
      <c r="AM6" s="93" t="s">
        <v>434</v>
      </c>
    </row>
    <row r="7" spans="1:77" ht="78.75" customHeight="1">
      <c r="A7" s="93">
        <v>6</v>
      </c>
      <c r="B7" s="151" t="s">
        <v>5</v>
      </c>
      <c r="C7" s="177">
        <v>45812</v>
      </c>
      <c r="D7" s="177">
        <v>45825</v>
      </c>
      <c r="E7" s="146" t="s">
        <v>2724</v>
      </c>
      <c r="F7" s="93" t="s">
        <v>315</v>
      </c>
      <c r="G7" s="93">
        <v>48584</v>
      </c>
      <c r="H7" s="96" t="s">
        <v>583</v>
      </c>
      <c r="I7" s="151" t="s">
        <v>306</v>
      </c>
      <c r="J7" s="93">
        <v>2</v>
      </c>
      <c r="K7" s="93">
        <v>1.75</v>
      </c>
      <c r="L7" s="93">
        <v>7</v>
      </c>
      <c r="M7" s="93" t="s">
        <v>320</v>
      </c>
      <c r="N7" s="93" t="s">
        <v>320</v>
      </c>
      <c r="O7" s="93" t="s">
        <v>320</v>
      </c>
      <c r="P7" s="93" t="s">
        <v>320</v>
      </c>
      <c r="Q7" s="93" t="s">
        <v>320</v>
      </c>
      <c r="R7" s="93" t="s">
        <v>320</v>
      </c>
      <c r="S7" s="93" t="s">
        <v>320</v>
      </c>
      <c r="T7" s="93" t="s">
        <v>320</v>
      </c>
      <c r="U7" s="93" t="s">
        <v>320</v>
      </c>
      <c r="V7" s="93" t="s">
        <v>320</v>
      </c>
      <c r="W7" s="93" t="s">
        <v>320</v>
      </c>
      <c r="X7" s="93" t="s">
        <v>320</v>
      </c>
      <c r="Y7" s="93" t="s">
        <v>320</v>
      </c>
      <c r="Z7" s="93" t="s">
        <v>320</v>
      </c>
      <c r="AA7" s="93" t="s">
        <v>320</v>
      </c>
      <c r="AB7" s="96" t="s">
        <v>2730</v>
      </c>
      <c r="AC7" s="151" t="s">
        <v>423</v>
      </c>
      <c r="AD7" s="93"/>
      <c r="AE7" s="93"/>
      <c r="AF7" s="93"/>
      <c r="AG7" s="93"/>
      <c r="AH7" s="93"/>
      <c r="AI7" s="96" t="s">
        <v>2731</v>
      </c>
      <c r="AJ7" s="96" t="s">
        <v>2732</v>
      </c>
      <c r="AK7" s="93" t="s">
        <v>434</v>
      </c>
      <c r="AL7" s="93" t="s">
        <v>434</v>
      </c>
      <c r="AM7" s="93" t="s">
        <v>434</v>
      </c>
    </row>
    <row r="8" spans="1:77" ht="77.25" customHeight="1">
      <c r="A8" s="93">
        <v>7</v>
      </c>
      <c r="B8" s="151" t="s">
        <v>5</v>
      </c>
      <c r="C8" s="177">
        <v>45812</v>
      </c>
      <c r="D8" s="177">
        <v>45825</v>
      </c>
      <c r="E8" s="146" t="s">
        <v>2724</v>
      </c>
      <c r="F8" s="93" t="s">
        <v>1673</v>
      </c>
      <c r="G8" s="93">
        <v>48585</v>
      </c>
      <c r="H8" s="96" t="s">
        <v>2733</v>
      </c>
      <c r="I8" s="151" t="s">
        <v>306</v>
      </c>
      <c r="J8" s="93">
        <v>5</v>
      </c>
      <c r="K8" s="93">
        <v>4.25</v>
      </c>
      <c r="L8" s="93">
        <v>17</v>
      </c>
      <c r="M8" s="93" t="s">
        <v>320</v>
      </c>
      <c r="N8" s="93" t="s">
        <v>320</v>
      </c>
      <c r="O8" s="93" t="s">
        <v>320</v>
      </c>
      <c r="P8" s="93" t="s">
        <v>320</v>
      </c>
      <c r="Q8" s="93" t="s">
        <v>320</v>
      </c>
      <c r="R8" s="93" t="s">
        <v>320</v>
      </c>
      <c r="S8" s="93" t="s">
        <v>320</v>
      </c>
      <c r="T8" s="93" t="s">
        <v>320</v>
      </c>
      <c r="U8" s="93" t="s">
        <v>320</v>
      </c>
      <c r="V8" s="93" t="s">
        <v>320</v>
      </c>
      <c r="W8" s="93" t="s">
        <v>320</v>
      </c>
      <c r="X8" s="93" t="s">
        <v>320</v>
      </c>
      <c r="Y8" s="93" t="s">
        <v>320</v>
      </c>
      <c r="Z8" s="93" t="s">
        <v>320</v>
      </c>
      <c r="AA8" s="93" t="s">
        <v>320</v>
      </c>
      <c r="AB8" s="96" t="s">
        <v>2730</v>
      </c>
      <c r="AC8" s="151" t="s">
        <v>423</v>
      </c>
      <c r="AD8" s="93"/>
      <c r="AE8" s="93"/>
      <c r="AF8" s="93"/>
      <c r="AG8" s="93"/>
      <c r="AH8" s="93"/>
      <c r="AI8" s="93"/>
      <c r="AJ8" s="96" t="s">
        <v>2734</v>
      </c>
      <c r="AK8" s="96" t="s">
        <v>2735</v>
      </c>
      <c r="AL8" s="93" t="s">
        <v>2736</v>
      </c>
      <c r="AM8" s="93" t="s">
        <v>434</v>
      </c>
    </row>
    <row r="9" spans="1:77" s="93" customFormat="1" ht="78.75" customHeight="1">
      <c r="A9" s="93">
        <v>8</v>
      </c>
      <c r="B9" s="151" t="s">
        <v>5</v>
      </c>
      <c r="C9" s="177">
        <v>45812</v>
      </c>
      <c r="D9" s="177">
        <v>45825</v>
      </c>
      <c r="E9" s="146" t="s">
        <v>2724</v>
      </c>
      <c r="F9" s="93" t="s">
        <v>317</v>
      </c>
      <c r="G9" s="93">
        <v>48583</v>
      </c>
      <c r="H9" s="96" t="s">
        <v>2737</v>
      </c>
      <c r="I9" s="151" t="s">
        <v>306</v>
      </c>
      <c r="J9" s="93">
        <v>1</v>
      </c>
      <c r="K9" s="93">
        <v>1.1299999999999999</v>
      </c>
      <c r="L9" s="93">
        <v>4.5199999999999996</v>
      </c>
      <c r="M9" s="93" t="s">
        <v>320</v>
      </c>
      <c r="N9" s="93" t="s">
        <v>320</v>
      </c>
      <c r="O9" s="93" t="s">
        <v>320</v>
      </c>
      <c r="P9" s="93" t="s">
        <v>320</v>
      </c>
      <c r="Q9" s="93" t="s">
        <v>320</v>
      </c>
      <c r="R9" s="93" t="s">
        <v>320</v>
      </c>
      <c r="S9" s="93" t="s">
        <v>320</v>
      </c>
      <c r="T9" s="93" t="s">
        <v>320</v>
      </c>
      <c r="U9" s="93" t="s">
        <v>320</v>
      </c>
      <c r="V9" s="93" t="s">
        <v>320</v>
      </c>
      <c r="W9" s="93" t="s">
        <v>320</v>
      </c>
      <c r="X9" s="93" t="s">
        <v>320</v>
      </c>
      <c r="Y9" s="93" t="s">
        <v>320</v>
      </c>
      <c r="Z9" s="93" t="s">
        <v>320</v>
      </c>
      <c r="AA9" s="93" t="s">
        <v>320</v>
      </c>
      <c r="AB9" s="96" t="s">
        <v>2730</v>
      </c>
      <c r="AC9" s="151" t="s">
        <v>423</v>
      </c>
      <c r="AJ9" s="96" t="s">
        <v>2738</v>
      </c>
      <c r="AK9" s="93" t="s">
        <v>434</v>
      </c>
      <c r="AL9" s="93" t="s">
        <v>434</v>
      </c>
      <c r="AM9" s="93" t="s">
        <v>434</v>
      </c>
      <c r="AN9"/>
      <c r="AO9"/>
      <c r="AP9"/>
      <c r="AQ9"/>
      <c r="AR9"/>
      <c r="AS9"/>
      <c r="AT9"/>
      <c r="AU9"/>
      <c r="AV9"/>
      <c r="AW9"/>
      <c r="AX9"/>
      <c r="AY9"/>
      <c r="AZ9"/>
      <c r="BA9"/>
      <c r="BB9"/>
      <c r="BC9"/>
      <c r="BD9"/>
      <c r="BE9"/>
      <c r="BF9"/>
      <c r="BG9"/>
      <c r="BH9"/>
      <c r="BI9"/>
      <c r="BJ9"/>
      <c r="BK9"/>
      <c r="BL9"/>
      <c r="BM9"/>
      <c r="BN9"/>
      <c r="BO9"/>
      <c r="BP9"/>
      <c r="BQ9"/>
      <c r="BR9"/>
      <c r="BS9"/>
      <c r="BT9"/>
      <c r="BU9"/>
      <c r="BV9"/>
      <c r="BW9"/>
      <c r="BX9"/>
      <c r="BY9" s="551"/>
    </row>
    <row r="10" spans="1:77" ht="69">
      <c r="A10" s="93">
        <v>9</v>
      </c>
      <c r="B10" s="151" t="s">
        <v>5</v>
      </c>
      <c r="C10" s="177">
        <v>45812</v>
      </c>
      <c r="D10" s="177">
        <v>45825</v>
      </c>
      <c r="E10" s="146" t="s">
        <v>2724</v>
      </c>
      <c r="F10" s="93" t="s">
        <v>2739</v>
      </c>
      <c r="G10" s="93">
        <v>48586</v>
      </c>
      <c r="H10" s="96" t="s">
        <v>2740</v>
      </c>
      <c r="I10" s="151" t="s">
        <v>306</v>
      </c>
      <c r="J10" s="93">
        <v>3</v>
      </c>
      <c r="K10" s="93">
        <v>1.5</v>
      </c>
      <c r="L10" s="93">
        <v>6</v>
      </c>
      <c r="M10" s="93" t="s">
        <v>320</v>
      </c>
      <c r="N10" s="93" t="s">
        <v>320</v>
      </c>
      <c r="O10" s="93" t="s">
        <v>320</v>
      </c>
      <c r="P10" s="93" t="s">
        <v>320</v>
      </c>
      <c r="Q10" s="93" t="s">
        <v>320</v>
      </c>
      <c r="R10" s="93" t="s">
        <v>320</v>
      </c>
      <c r="S10" s="93" t="s">
        <v>320</v>
      </c>
      <c r="T10" s="93" t="s">
        <v>320</v>
      </c>
      <c r="U10" s="93" t="s">
        <v>320</v>
      </c>
      <c r="V10" s="93" t="s">
        <v>320</v>
      </c>
      <c r="W10" s="93" t="s">
        <v>320</v>
      </c>
      <c r="X10" s="93" t="s">
        <v>320</v>
      </c>
      <c r="Y10" s="93" t="s">
        <v>320</v>
      </c>
      <c r="Z10" s="93" t="s">
        <v>320</v>
      </c>
      <c r="AA10" s="93" t="s">
        <v>320</v>
      </c>
      <c r="AB10" s="96" t="s">
        <v>2730</v>
      </c>
      <c r="AC10" s="151" t="s">
        <v>423</v>
      </c>
      <c r="AD10" s="93"/>
      <c r="AE10" s="93"/>
      <c r="AF10" s="93"/>
      <c r="AG10" s="93"/>
      <c r="AH10" s="93"/>
      <c r="AI10" s="93"/>
      <c r="AJ10" s="93"/>
      <c r="AK10" s="96" t="s">
        <v>2741</v>
      </c>
      <c r="AL10" s="93" t="s">
        <v>434</v>
      </c>
      <c r="AM10" s="93" t="s">
        <v>434</v>
      </c>
    </row>
    <row r="11" spans="1:77" ht="46.5">
      <c r="A11" s="93">
        <v>10</v>
      </c>
      <c r="B11" s="151" t="s">
        <v>5</v>
      </c>
      <c r="C11" s="177">
        <v>45812</v>
      </c>
      <c r="D11" s="177">
        <v>45825</v>
      </c>
      <c r="E11" s="146" t="s">
        <v>2724</v>
      </c>
      <c r="F11" s="93" t="s">
        <v>315</v>
      </c>
      <c r="G11" s="93">
        <v>48587</v>
      </c>
      <c r="H11" s="96" t="s">
        <v>668</v>
      </c>
      <c r="I11" s="151" t="s">
        <v>306</v>
      </c>
      <c r="J11" s="93">
        <v>2</v>
      </c>
      <c r="K11" s="93">
        <v>2</v>
      </c>
      <c r="L11" s="93">
        <v>8</v>
      </c>
      <c r="M11" s="93" t="s">
        <v>320</v>
      </c>
      <c r="N11" s="93" t="s">
        <v>320</v>
      </c>
      <c r="O11" s="93" t="s">
        <v>320</v>
      </c>
      <c r="P11" s="93" t="s">
        <v>320</v>
      </c>
      <c r="Q11" s="93" t="s">
        <v>320</v>
      </c>
      <c r="R11" s="93" t="s">
        <v>320</v>
      </c>
      <c r="S11" s="93" t="s">
        <v>320</v>
      </c>
      <c r="T11" s="93" t="s">
        <v>320</v>
      </c>
      <c r="U11" s="93" t="s">
        <v>320</v>
      </c>
      <c r="V11" s="93" t="s">
        <v>320</v>
      </c>
      <c r="W11" s="93" t="s">
        <v>320</v>
      </c>
      <c r="X11" s="93" t="s">
        <v>320</v>
      </c>
      <c r="Y11" s="93" t="s">
        <v>320</v>
      </c>
      <c r="Z11" s="93" t="s">
        <v>320</v>
      </c>
      <c r="AA11" s="93" t="s">
        <v>320</v>
      </c>
      <c r="AB11" s="96" t="s">
        <v>2730</v>
      </c>
      <c r="AC11" s="151" t="s">
        <v>423</v>
      </c>
      <c r="AD11" s="93"/>
      <c r="AE11" s="93"/>
      <c r="AF11" s="93"/>
      <c r="AG11" s="93"/>
      <c r="AH11" s="93"/>
      <c r="AI11" s="93"/>
      <c r="AJ11" s="93"/>
      <c r="AK11" s="96" t="s">
        <v>2742</v>
      </c>
      <c r="AL11" s="93" t="s">
        <v>2743</v>
      </c>
      <c r="AM11" s="93" t="s">
        <v>434</v>
      </c>
    </row>
    <row r="12" spans="1:77" ht="58.5">
      <c r="A12" s="93">
        <v>11</v>
      </c>
      <c r="B12" s="151" t="s">
        <v>5</v>
      </c>
      <c r="C12" s="177">
        <v>45812</v>
      </c>
      <c r="D12" s="177">
        <v>45825</v>
      </c>
      <c r="E12" s="146" t="s">
        <v>2724</v>
      </c>
      <c r="F12" s="93" t="s">
        <v>2038</v>
      </c>
      <c r="G12" s="93">
        <v>48581</v>
      </c>
      <c r="H12" s="96" t="s">
        <v>1666</v>
      </c>
      <c r="I12" s="151" t="s">
        <v>306</v>
      </c>
      <c r="J12" s="93">
        <v>2</v>
      </c>
      <c r="K12" s="93">
        <v>1.5</v>
      </c>
      <c r="L12" s="93">
        <v>6</v>
      </c>
      <c r="M12" s="93" t="s">
        <v>320</v>
      </c>
      <c r="N12" s="93" t="s">
        <v>320</v>
      </c>
      <c r="O12" s="93" t="s">
        <v>320</v>
      </c>
      <c r="P12" s="93" t="s">
        <v>320</v>
      </c>
      <c r="Q12" s="93" t="s">
        <v>320</v>
      </c>
      <c r="R12" s="93" t="s">
        <v>320</v>
      </c>
      <c r="S12" s="93" t="s">
        <v>320</v>
      </c>
      <c r="T12" s="93" t="s">
        <v>320</v>
      </c>
      <c r="U12" s="93" t="s">
        <v>320</v>
      </c>
      <c r="V12" s="93" t="s">
        <v>320</v>
      </c>
      <c r="W12" s="93" t="s">
        <v>320</v>
      </c>
      <c r="X12" s="93" t="s">
        <v>320</v>
      </c>
      <c r="Y12" s="93" t="s">
        <v>320</v>
      </c>
      <c r="Z12" s="93" t="s">
        <v>320</v>
      </c>
      <c r="AA12" s="93" t="s">
        <v>320</v>
      </c>
      <c r="AB12" s="96" t="s">
        <v>2730</v>
      </c>
      <c r="AC12" s="151" t="s">
        <v>423</v>
      </c>
      <c r="AD12" s="93"/>
      <c r="AE12" s="93"/>
      <c r="AF12" s="93"/>
      <c r="AG12" s="93"/>
      <c r="AH12" s="93"/>
      <c r="AI12" s="93"/>
      <c r="AJ12" s="93"/>
      <c r="AK12" s="96" t="s">
        <v>2744</v>
      </c>
      <c r="AL12" s="93" t="s">
        <v>434</v>
      </c>
      <c r="AM12" s="93" t="s">
        <v>434</v>
      </c>
    </row>
    <row r="13" spans="1:77" ht="152.25" customHeight="1">
      <c r="A13" s="93">
        <v>12</v>
      </c>
      <c r="B13" s="151" t="s">
        <v>5</v>
      </c>
      <c r="C13" s="177">
        <v>45812</v>
      </c>
      <c r="D13" s="177">
        <v>45825</v>
      </c>
      <c r="E13" s="146" t="s">
        <v>2745</v>
      </c>
      <c r="F13" s="93" t="s">
        <v>2038</v>
      </c>
      <c r="G13" s="93">
        <v>48590</v>
      </c>
      <c r="H13" s="96" t="s">
        <v>2746</v>
      </c>
      <c r="I13" s="93" t="s">
        <v>306</v>
      </c>
      <c r="J13" s="93">
        <v>5</v>
      </c>
      <c r="K13" s="93">
        <v>4.75</v>
      </c>
      <c r="L13" s="93">
        <v>19</v>
      </c>
      <c r="M13" s="93" t="s">
        <v>320</v>
      </c>
      <c r="N13" s="93" t="s">
        <v>320</v>
      </c>
      <c r="O13" s="93" t="s">
        <v>320</v>
      </c>
      <c r="P13" s="93" t="s">
        <v>320</v>
      </c>
      <c r="Q13" s="93" t="s">
        <v>320</v>
      </c>
      <c r="R13" s="93" t="s">
        <v>320</v>
      </c>
      <c r="S13" s="93" t="s">
        <v>320</v>
      </c>
      <c r="T13" s="93" t="s">
        <v>320</v>
      </c>
      <c r="U13" s="93" t="s">
        <v>320</v>
      </c>
      <c r="V13" s="93" t="s">
        <v>320</v>
      </c>
      <c r="W13" s="93" t="s">
        <v>320</v>
      </c>
      <c r="X13" s="93" t="s">
        <v>320</v>
      </c>
      <c r="Y13" s="93" t="s">
        <v>320</v>
      </c>
      <c r="Z13" s="93" t="s">
        <v>320</v>
      </c>
      <c r="AA13" s="93" t="s">
        <v>320</v>
      </c>
      <c r="AB13" s="96" t="s">
        <v>2730</v>
      </c>
      <c r="AC13" s="151" t="s">
        <v>423</v>
      </c>
      <c r="AD13" s="93"/>
      <c r="AE13" s="93"/>
      <c r="AF13" s="93"/>
      <c r="AG13" s="93"/>
      <c r="AH13" s="93"/>
      <c r="AI13" s="96" t="s">
        <v>2747</v>
      </c>
      <c r="AJ13" s="96" t="s">
        <v>2748</v>
      </c>
      <c r="AK13" s="96" t="s">
        <v>2749</v>
      </c>
      <c r="AL13" s="96" t="s">
        <v>2750</v>
      </c>
      <c r="AM13" s="93" t="s">
        <v>434</v>
      </c>
    </row>
    <row r="14" spans="1:77" ht="108.75" customHeight="1">
      <c r="A14" s="93">
        <v>13</v>
      </c>
      <c r="B14" s="151" t="s">
        <v>5</v>
      </c>
      <c r="C14" s="177">
        <v>45812</v>
      </c>
      <c r="D14" s="177">
        <v>45825</v>
      </c>
      <c r="E14" s="146" t="s">
        <v>2745</v>
      </c>
      <c r="F14" s="93" t="s">
        <v>313</v>
      </c>
      <c r="G14" s="129">
        <v>46799</v>
      </c>
      <c r="H14" s="96" t="s">
        <v>2751</v>
      </c>
      <c r="I14" s="151" t="s">
        <v>306</v>
      </c>
      <c r="J14" s="93">
        <v>3</v>
      </c>
      <c r="K14" s="93">
        <v>6.19</v>
      </c>
      <c r="L14" s="93">
        <v>24.76</v>
      </c>
      <c r="M14" s="116" t="s">
        <v>12</v>
      </c>
      <c r="N14" s="116" t="s">
        <v>315</v>
      </c>
      <c r="O14" s="116" t="s">
        <v>316</v>
      </c>
      <c r="P14" s="116" t="s">
        <v>317</v>
      </c>
      <c r="Q14" s="93" t="s">
        <v>316</v>
      </c>
      <c r="R14" s="130" t="s">
        <v>2752</v>
      </c>
      <c r="S14" s="530">
        <v>45821</v>
      </c>
      <c r="T14" s="530">
        <v>45821</v>
      </c>
      <c r="U14" s="375" t="s">
        <v>12</v>
      </c>
      <c r="V14" s="151" t="s">
        <v>316</v>
      </c>
      <c r="W14" s="375" t="s">
        <v>319</v>
      </c>
      <c r="X14" s="147" t="s">
        <v>320</v>
      </c>
      <c r="Y14" s="147" t="s">
        <v>320</v>
      </c>
      <c r="Z14" s="63" t="s">
        <v>2516</v>
      </c>
      <c r="AA14" s="63" t="s">
        <v>2753</v>
      </c>
      <c r="AB14" s="96" t="s">
        <v>2754</v>
      </c>
      <c r="AC14" s="151" t="s">
        <v>1994</v>
      </c>
      <c r="AD14" s="96" t="s">
        <v>2755</v>
      </c>
      <c r="AE14" s="96" t="s">
        <v>2756</v>
      </c>
      <c r="AF14" s="96" t="s">
        <v>2757</v>
      </c>
      <c r="AG14" s="93" t="s">
        <v>2758</v>
      </c>
      <c r="AH14" s="96" t="s">
        <v>2759</v>
      </c>
      <c r="AI14" s="96" t="s">
        <v>2760</v>
      </c>
      <c r="AJ14" s="96" t="s">
        <v>2761</v>
      </c>
      <c r="AK14" s="96" t="s">
        <v>2762</v>
      </c>
      <c r="AL14" t="s">
        <v>599</v>
      </c>
      <c r="AM14" s="96" t="s">
        <v>2763</v>
      </c>
    </row>
    <row r="15" spans="1:77" ht="46.5">
      <c r="A15" s="93">
        <v>14</v>
      </c>
      <c r="B15" s="151" t="s">
        <v>5</v>
      </c>
      <c r="C15" s="177">
        <v>45812</v>
      </c>
      <c r="D15" s="177">
        <v>45825</v>
      </c>
      <c r="E15" s="146" t="s">
        <v>2745</v>
      </c>
      <c r="F15" s="93" t="s">
        <v>2739</v>
      </c>
      <c r="G15" s="129">
        <v>47835</v>
      </c>
      <c r="H15" s="96" t="s">
        <v>2764</v>
      </c>
      <c r="I15" s="151" t="s">
        <v>306</v>
      </c>
      <c r="J15" s="93">
        <v>2</v>
      </c>
      <c r="K15" s="93">
        <v>2</v>
      </c>
      <c r="L15" s="93">
        <v>8</v>
      </c>
      <c r="M15" s="93" t="s">
        <v>320</v>
      </c>
      <c r="N15" s="93" t="s">
        <v>320</v>
      </c>
      <c r="O15" s="93" t="s">
        <v>320</v>
      </c>
      <c r="P15" s="93" t="s">
        <v>320</v>
      </c>
      <c r="Q15" s="93" t="s">
        <v>320</v>
      </c>
      <c r="R15" s="93" t="s">
        <v>320</v>
      </c>
      <c r="S15" s="93" t="s">
        <v>320</v>
      </c>
      <c r="T15" s="93" t="s">
        <v>320</v>
      </c>
      <c r="U15" s="93" t="s">
        <v>320</v>
      </c>
      <c r="V15" s="93" t="s">
        <v>320</v>
      </c>
      <c r="W15" s="93" t="s">
        <v>320</v>
      </c>
      <c r="X15" s="93" t="s">
        <v>320</v>
      </c>
      <c r="Y15" s="93" t="s">
        <v>320</v>
      </c>
      <c r="Z15" s="93" t="s">
        <v>320</v>
      </c>
      <c r="AA15" s="93" t="s">
        <v>320</v>
      </c>
      <c r="AB15" s="96" t="s">
        <v>2765</v>
      </c>
      <c r="AC15" s="151" t="s">
        <v>423</v>
      </c>
      <c r="AD15" s="96" t="s">
        <v>1493</v>
      </c>
      <c r="AE15" s="93" t="s">
        <v>12</v>
      </c>
      <c r="AF15" s="93" t="s">
        <v>434</v>
      </c>
      <c r="AG15" s="93" t="s">
        <v>434</v>
      </c>
      <c r="AH15" s="93" t="s">
        <v>434</v>
      </c>
      <c r="AI15" s="93" t="s">
        <v>12</v>
      </c>
      <c r="AJ15" s="93" t="s">
        <v>434</v>
      </c>
      <c r="AK15" s="93" t="s">
        <v>434</v>
      </c>
      <c r="AL15" s="93" t="s">
        <v>434</v>
      </c>
      <c r="AM15" s="93" t="s">
        <v>434</v>
      </c>
    </row>
    <row r="16" spans="1:77" ht="127.5">
      <c r="A16" s="118">
        <v>15</v>
      </c>
      <c r="B16" s="536" t="s">
        <v>5</v>
      </c>
      <c r="C16" s="552">
        <v>45812</v>
      </c>
      <c r="D16" s="552">
        <v>45825</v>
      </c>
      <c r="E16" s="189" t="s">
        <v>2745</v>
      </c>
      <c r="F16" s="118" t="s">
        <v>315</v>
      </c>
      <c r="G16" s="118" t="s">
        <v>2766</v>
      </c>
      <c r="H16" s="119" t="s">
        <v>2767</v>
      </c>
      <c r="I16" s="536" t="s">
        <v>399</v>
      </c>
      <c r="J16" s="118">
        <v>3</v>
      </c>
      <c r="K16" s="118">
        <v>6.19</v>
      </c>
      <c r="L16" s="118">
        <v>24.76</v>
      </c>
      <c r="M16" s="118"/>
      <c r="N16" s="118"/>
      <c r="O16" s="118"/>
      <c r="P16" s="118"/>
      <c r="Q16" s="118"/>
      <c r="R16" s="118"/>
      <c r="S16" s="118"/>
      <c r="T16" s="118"/>
      <c r="U16" s="118"/>
      <c r="V16" s="118"/>
      <c r="W16" s="118"/>
      <c r="X16" s="118"/>
      <c r="Y16" s="118"/>
      <c r="Z16" s="118"/>
      <c r="AA16" s="118"/>
      <c r="AB16" s="119" t="s">
        <v>2768</v>
      </c>
      <c r="AC16" s="151" t="s">
        <v>2068</v>
      </c>
      <c r="AD16" s="118"/>
      <c r="AE16" s="118"/>
      <c r="AF16" s="119" t="s">
        <v>2769</v>
      </c>
      <c r="AG16" s="118" t="s">
        <v>2770</v>
      </c>
      <c r="AH16" s="119" t="s">
        <v>2771</v>
      </c>
      <c r="AI16" s="119" t="s">
        <v>2772</v>
      </c>
      <c r="AJ16" s="119" t="s">
        <v>2773</v>
      </c>
      <c r="AK16" s="118" t="s">
        <v>434</v>
      </c>
      <c r="AL16" s="118" t="s">
        <v>434</v>
      </c>
      <c r="AM16" s="118"/>
    </row>
    <row r="17" spans="1:39" s="93" customFormat="1" ht="35.25">
      <c r="A17" s="96">
        <v>16</v>
      </c>
      <c r="B17" s="151" t="s">
        <v>5</v>
      </c>
      <c r="C17" s="177">
        <v>45812</v>
      </c>
      <c r="D17" s="177">
        <v>45825</v>
      </c>
      <c r="E17" s="146" t="s">
        <v>2745</v>
      </c>
      <c r="F17" s="96" t="s">
        <v>317</v>
      </c>
      <c r="G17" s="554">
        <v>25408</v>
      </c>
      <c r="H17" s="96" t="s">
        <v>2774</v>
      </c>
      <c r="I17" s="536" t="s">
        <v>399</v>
      </c>
      <c r="J17" s="96">
        <v>0</v>
      </c>
      <c r="K17" s="96"/>
      <c r="L17" s="96"/>
      <c r="M17" s="96"/>
      <c r="N17" s="96"/>
      <c r="O17" s="96"/>
      <c r="P17" s="96"/>
      <c r="Q17" s="96"/>
      <c r="R17" s="96"/>
      <c r="S17" s="96"/>
      <c r="AM17" s="93" t="s">
        <v>2775</v>
      </c>
    </row>
    <row r="18" spans="1:39">
      <c r="I18" s="553"/>
    </row>
    <row r="19" spans="1:39">
      <c r="I19" s="553"/>
    </row>
    <row r="20" spans="1:39">
      <c r="I20" s="553"/>
    </row>
    <row r="21" spans="1:39">
      <c r="I21" s="553"/>
    </row>
    <row r="22" spans="1:39">
      <c r="I22" s="553"/>
    </row>
    <row r="27" spans="1:39">
      <c r="I27" s="553"/>
    </row>
    <row r="28" spans="1:39">
      <c r="I28" s="553"/>
    </row>
    <row r="29" spans="1:39">
      <c r="I29" s="553"/>
    </row>
    <row r="30" spans="1:39">
      <c r="I30" s="553"/>
    </row>
    <row r="31" spans="1:39">
      <c r="I31" s="553"/>
    </row>
    <row r="32" spans="1:39">
      <c r="I32" s="553"/>
    </row>
    <row r="33" spans="9:9">
      <c r="I33" s="553"/>
    </row>
    <row r="34" spans="9:9">
      <c r="I34" s="553"/>
    </row>
    <row r="35" spans="9:9">
      <c r="I35" s="553"/>
    </row>
    <row r="36" spans="9:9">
      <c r="I36" s="553"/>
    </row>
  </sheetData>
  <conditionalFormatting sqref="J1 I27:I36 I2:I22">
    <cfRule type="containsText" dxfId="506" priority="4" operator="containsText" text="Closed">
      <formula>NOT(ISERROR(SEARCH("Closed",I1)))</formula>
    </cfRule>
    <cfRule type="containsText" dxfId="505" priority="5" operator="containsText" text="Open">
      <formula>NOT(ISERROR(SEARCH("Open",I1)))</formula>
    </cfRule>
    <cfRule type="containsText" dxfId="504" priority="6" operator="containsText" text="Inprogress">
      <formula>NOT(ISERROR(SEARCH("Inprogress",I1)))</formula>
    </cfRule>
  </conditionalFormatting>
  <dataValidations count="11">
    <dataValidation type="list" showErrorMessage="1" sqref="N1 N14 N6" xr:uid="{3696054F-31C1-48F1-A651-8818680B7F34}">
      <formula1>"Qadir,Rijo,Karthik,Sushmitha,None,TBD"</formula1>
    </dataValidation>
    <dataValidation type="list" showErrorMessage="1" sqref="P1 P14 P6" xr:uid="{B5EA71E9-88FA-40B5-8B5B-8B90EF29CCD4}">
      <formula1>"Qadir,Rijo,Karthik,None,TBD"</formula1>
    </dataValidation>
    <dataValidation type="list" showErrorMessage="1" sqref="O1 O14 O6" xr:uid="{17018494-B677-48BC-A3D5-9004C288DDEF}">
      <formula1>"Pass,Fail(BacktoDev),DB Script tests in QA DB,TBD"</formula1>
    </dataValidation>
    <dataValidation showErrorMessage="1" sqref="I1" xr:uid="{7C072A71-C0DA-49B6-8EE9-C0D79BC51780}"/>
    <dataValidation type="list" allowBlank="1" showErrorMessage="1" sqref="J1" xr:uid="{B0C3580C-E226-48CD-B3E6-F221F93B393A}">
      <formula1>"Open,Inprogress,Closed"</formula1>
    </dataValidation>
    <dataValidation type="list" showErrorMessage="1" sqref="AA1" xr:uid="{42950975-16EF-46FD-88EC-0D5DCAA9CA53}">
      <formula1>"Pending-Waiting for Customer confirmation, Approved-Satisified AC,Not Approved-New minor changes requested(Back to Dev),NA,TBD"</formula1>
    </dataValidation>
    <dataValidation type="list" showErrorMessage="1" sqref="Z1" xr:uid="{F13B8EEA-1A85-4C11-A521-A9F458AD8034}">
      <formula1>"Approved-Satisified AC,Not Approved(Back to Dev),NA,TBD"</formula1>
    </dataValidation>
    <dataValidation type="list" showErrorMessage="1" sqref="Q1:R1 V1 Y1" xr:uid="{4444C9B0-F2CA-481B-B5A6-CB283271C799}">
      <formula1>"No issues found,Issues observed(BacktoDev),DB Script tests in QA DB,NA,TBD"</formula1>
    </dataValidation>
    <dataValidation type="list" showErrorMessage="1" sqref="W1:X1 U1 M1 M14 M6" xr:uid="{67BD28BA-2169-48CE-9981-1811BB0CD881}">
      <formula1>"Open,Inprogress,Completed,TBD,NA"</formula1>
    </dataValidation>
    <dataValidation allowBlank="1" showInputMessage="1" showErrorMessage="1" sqref="AB1:AC1 V14 Z14:AA14 V6 Z6:AA6" xr:uid="{F5D0E4B4-77C1-46B7-BD66-6BA16505D36C}"/>
    <dataValidation type="list" allowBlank="1" showInputMessage="1" showErrorMessage="1" sqref="AC2:AC16" xr:uid="{D52C8D0F-880C-4532-A55A-B910EF8B39AD}">
      <formula1>"Exceeds Expectation,Meets Expectation,Needs improvements"</formula1>
    </dataValidation>
  </dataValidations>
  <hyperlinks>
    <hyperlink ref="R14" r:id="rId1" xr:uid="{1DECB9D9-EEF2-4178-9E82-114E58260A72}"/>
    <hyperlink ref="R6" r:id="rId2" xr:uid="{9B462E89-4CC9-4751-9430-0CC4B19C50BF}"/>
    <hyperlink ref="R2" r:id="rId3" xr:uid="{1EF06FA5-2E39-414E-9ECB-020D8845909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F6A932F-6DDB-4760-92F0-3A6FC5D1F36D}">
          <x14:formula1>
            <xm:f>Settings!$C$3:$C$20</xm:f>
          </x14:formula1>
          <xm:sqref>I2:I22 I27:I36</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F33FA-19E5-4C82-B5CD-55161DF5D640}">
  <dimension ref="A1:M10"/>
  <sheetViews>
    <sheetView workbookViewId="0">
      <selection activeCell="L5" sqref="L5"/>
    </sheetView>
  </sheetViews>
  <sheetFormatPr defaultRowHeight="12.75"/>
  <cols>
    <col min="2" max="2" width="16.42578125" customWidth="1"/>
    <col min="3" max="3" width="12" customWidth="1"/>
    <col min="7" max="7" width="46.140625" customWidth="1"/>
    <col min="11" max="11" width="15.42578125" customWidth="1"/>
    <col min="12" max="12" width="12" customWidth="1"/>
    <col min="13" max="13" width="18.5703125" style="100" customWidth="1"/>
  </cols>
  <sheetData>
    <row r="1" spans="1:13" ht="34.5" customHeight="1">
      <c r="A1" s="542" t="s">
        <v>266</v>
      </c>
      <c r="B1" s="543" t="s">
        <v>10</v>
      </c>
      <c r="C1" s="543" t="s">
        <v>267</v>
      </c>
      <c r="D1" s="543" t="s">
        <v>268</v>
      </c>
      <c r="E1" s="543" t="s">
        <v>269</v>
      </c>
      <c r="F1" s="543" t="s">
        <v>270</v>
      </c>
      <c r="G1" s="543" t="s">
        <v>271</v>
      </c>
      <c r="H1" s="543" t="s">
        <v>272</v>
      </c>
      <c r="I1" s="543" t="s">
        <v>273</v>
      </c>
      <c r="J1" s="543" t="s">
        <v>274</v>
      </c>
      <c r="K1" s="543" t="s">
        <v>275</v>
      </c>
      <c r="L1" s="544" t="s">
        <v>276</v>
      </c>
      <c r="M1" s="527" t="s">
        <v>277</v>
      </c>
    </row>
    <row r="2" spans="1:13" ht="92.25">
      <c r="A2">
        <v>1</v>
      </c>
      <c r="B2" s="13" t="s">
        <v>2708</v>
      </c>
      <c r="C2" s="157">
        <v>25350</v>
      </c>
      <c r="D2" s="387"/>
      <c r="E2" s="93" t="s">
        <v>2776</v>
      </c>
      <c r="F2" s="388" t="s">
        <v>522</v>
      </c>
      <c r="G2" s="77" t="s">
        <v>2716</v>
      </c>
      <c r="H2" s="11" t="s">
        <v>1670</v>
      </c>
      <c r="I2" s="388" t="s">
        <v>518</v>
      </c>
      <c r="J2" s="11" t="s">
        <v>519</v>
      </c>
      <c r="K2" s="388" t="s">
        <v>1674</v>
      </c>
      <c r="L2" s="513" t="s">
        <v>529</v>
      </c>
      <c r="M2" s="96" t="s">
        <v>2777</v>
      </c>
    </row>
    <row r="3" spans="1:13" ht="35.25">
      <c r="A3">
        <v>2</v>
      </c>
      <c r="B3" s="13" t="s">
        <v>2708</v>
      </c>
      <c r="C3" s="157">
        <v>25253</v>
      </c>
      <c r="D3" s="387"/>
      <c r="E3" s="93" t="s">
        <v>2241</v>
      </c>
      <c r="F3" s="388" t="s">
        <v>522</v>
      </c>
      <c r="G3" s="77" t="s">
        <v>2709</v>
      </c>
      <c r="H3" s="11" t="s">
        <v>1670</v>
      </c>
      <c r="I3" s="388" t="s">
        <v>518</v>
      </c>
      <c r="J3" s="11" t="s">
        <v>519</v>
      </c>
      <c r="K3" s="388" t="s">
        <v>1674</v>
      </c>
      <c r="L3" s="513" t="s">
        <v>526</v>
      </c>
      <c r="M3" s="96" t="s">
        <v>2698</v>
      </c>
    </row>
    <row r="4" spans="1:13" ht="49.5" customHeight="1">
      <c r="A4">
        <v>3</v>
      </c>
      <c r="B4" s="13" t="s">
        <v>2708</v>
      </c>
      <c r="C4" s="157">
        <v>25253</v>
      </c>
      <c r="D4" s="387"/>
      <c r="E4" s="93" t="s">
        <v>2241</v>
      </c>
      <c r="F4" s="388" t="s">
        <v>1668</v>
      </c>
      <c r="G4" s="77" t="s">
        <v>2778</v>
      </c>
      <c r="H4" s="11" t="s">
        <v>1670</v>
      </c>
      <c r="I4" s="388" t="s">
        <v>518</v>
      </c>
      <c r="J4" s="11" t="s">
        <v>525</v>
      </c>
      <c r="K4" s="388" t="s">
        <v>1674</v>
      </c>
      <c r="L4" s="513" t="s">
        <v>526</v>
      </c>
      <c r="M4" s="96" t="s">
        <v>2698</v>
      </c>
    </row>
    <row r="5" spans="1:13" ht="69">
      <c r="A5">
        <v>4</v>
      </c>
      <c r="B5" s="13" t="s">
        <v>2708</v>
      </c>
      <c r="C5" s="157">
        <v>48294</v>
      </c>
      <c r="D5" s="387"/>
      <c r="E5" s="93" t="s">
        <v>2776</v>
      </c>
      <c r="F5" s="388" t="s">
        <v>1668</v>
      </c>
      <c r="G5" s="77" t="s">
        <v>2779</v>
      </c>
      <c r="H5" s="11" t="s">
        <v>1670</v>
      </c>
      <c r="I5" s="388" t="s">
        <v>518</v>
      </c>
      <c r="J5" s="11" t="s">
        <v>525</v>
      </c>
      <c r="K5" s="388" t="s">
        <v>1674</v>
      </c>
      <c r="L5" s="513" t="s">
        <v>526</v>
      </c>
      <c r="M5" s="96" t="s">
        <v>2780</v>
      </c>
    </row>
    <row r="6" spans="1:13" ht="46.5">
      <c r="A6">
        <v>5</v>
      </c>
      <c r="B6" s="13" t="s">
        <v>2708</v>
      </c>
      <c r="C6" s="157">
        <v>25426</v>
      </c>
      <c r="D6" s="387"/>
      <c r="E6" s="93"/>
      <c r="F6" s="388" t="s">
        <v>522</v>
      </c>
      <c r="G6" s="77" t="s">
        <v>2781</v>
      </c>
      <c r="H6" s="11" t="s">
        <v>1670</v>
      </c>
      <c r="I6" s="388" t="s">
        <v>518</v>
      </c>
      <c r="J6" s="11" t="s">
        <v>525</v>
      </c>
      <c r="K6" s="388" t="s">
        <v>1671</v>
      </c>
      <c r="L6" s="513" t="s">
        <v>529</v>
      </c>
      <c r="M6" s="96" t="s">
        <v>2782</v>
      </c>
    </row>
    <row r="7" spans="1:13" ht="46.5">
      <c r="A7">
        <v>6</v>
      </c>
      <c r="B7" s="13" t="s">
        <v>2708</v>
      </c>
      <c r="C7" s="157">
        <v>25429</v>
      </c>
      <c r="D7" s="387"/>
      <c r="E7" s="93"/>
      <c r="F7" s="388" t="s">
        <v>522</v>
      </c>
      <c r="G7" s="77" t="s">
        <v>2783</v>
      </c>
      <c r="H7" s="11" t="s">
        <v>1670</v>
      </c>
      <c r="I7" s="388" t="s">
        <v>518</v>
      </c>
      <c r="J7" s="11" t="s">
        <v>525</v>
      </c>
      <c r="K7" s="388" t="s">
        <v>1671</v>
      </c>
      <c r="L7" s="513" t="s">
        <v>529</v>
      </c>
      <c r="M7" s="96" t="s">
        <v>2782</v>
      </c>
    </row>
    <row r="8" spans="1:13" ht="46.5">
      <c r="A8">
        <v>7</v>
      </c>
      <c r="B8" s="13" t="s">
        <v>2708</v>
      </c>
      <c r="C8" s="157">
        <v>25428</v>
      </c>
      <c r="D8" s="387"/>
      <c r="E8" s="93"/>
      <c r="F8" s="388" t="s">
        <v>522</v>
      </c>
      <c r="G8" s="77" t="s">
        <v>2784</v>
      </c>
      <c r="H8" s="11" t="s">
        <v>1670</v>
      </c>
      <c r="I8" s="388" t="s">
        <v>518</v>
      </c>
      <c r="J8" s="11" t="s">
        <v>525</v>
      </c>
      <c r="K8" s="388" t="s">
        <v>1671</v>
      </c>
      <c r="L8" s="513" t="s">
        <v>529</v>
      </c>
      <c r="M8" s="96" t="s">
        <v>2782</v>
      </c>
    </row>
    <row r="9" spans="1:13">
      <c r="B9" s="11"/>
      <c r="C9" s="157"/>
      <c r="D9" s="387"/>
      <c r="E9" s="93"/>
      <c r="F9" s="388"/>
      <c r="G9" s="77"/>
      <c r="H9" s="11"/>
      <c r="I9" s="388"/>
      <c r="J9" s="11"/>
      <c r="K9" s="388"/>
      <c r="L9" s="11"/>
      <c r="M9" s="96"/>
    </row>
    <row r="10" spans="1:13">
      <c r="B10" s="11"/>
      <c r="C10" s="157"/>
      <c r="D10" s="387"/>
      <c r="E10" s="93"/>
      <c r="F10" s="388"/>
      <c r="G10" s="77"/>
      <c r="H10" s="11"/>
      <c r="I10" s="388"/>
      <c r="J10" s="11"/>
      <c r="K10" s="388"/>
      <c r="L10" s="11"/>
      <c r="M10" s="96"/>
    </row>
  </sheetData>
  <dataValidations count="6">
    <dataValidation type="list" allowBlank="1" showErrorMessage="1" sqref="L9:L10" xr:uid="{6AACD7CB-C4D7-4707-BBC4-C0D5636C2B98}">
      <formula1>$A$2:$A$5</formula1>
    </dataValidation>
    <dataValidation type="list" allowBlank="1" showErrorMessage="1" sqref="K2:K10" xr:uid="{DCB9B08D-CA6F-4398-B772-591D44B6B7DF}">
      <formula1>"Open,Inprogress,Closed/Rejected"</formula1>
    </dataValidation>
    <dataValidation type="list" allowBlank="1" showErrorMessage="1" sqref="I2:I10" xr:uid="{3C37A0C4-B40F-46F7-A421-CE46AA0229DC}">
      <formula1>"Manual, Automation"</formula1>
    </dataValidation>
    <dataValidation type="list" allowBlank="1" showErrorMessage="1" sqref="F2:F10" xr:uid="{066CF32A-AC0F-40D7-9F38-1F6C95385EC2}">
      <formula1>"Bounceback/Sub-Defect,Defect,None"</formula1>
    </dataValidation>
    <dataValidation type="list" allowBlank="1" showErrorMessage="1" sqref="H2:H10" xr:uid="{C4F7CFA0-E56B-461A-8047-2BFA88B8BF8A}">
      <formula1>"Minor,Significant,Major"</formula1>
    </dataValidation>
    <dataValidation type="list" allowBlank="1" showErrorMessage="1" sqref="J2:J10" xr:uid="{6D63C765-C50E-4457-8261-0CC48FE253BA}">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DECCDCF-387C-47D7-9364-F67E98B630D4}">
          <x14:formula1>
            <xm:f>Details!$A$2:$A$10</xm:f>
          </x14:formula1>
          <xm:sqref>L2:L8</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3ED54-0514-436E-B6D8-FB2DE8260B1F}">
  <dimension ref="A1:DR15"/>
  <sheetViews>
    <sheetView topLeftCell="A13" workbookViewId="0">
      <selection activeCell="L18" sqref="L18"/>
    </sheetView>
  </sheetViews>
  <sheetFormatPr defaultRowHeight="12.75"/>
  <cols>
    <col min="2" max="2" width="11.5703125" customWidth="1"/>
    <col min="5" max="5" width="12.42578125" customWidth="1"/>
    <col min="7" max="7" width="11.5703125" customWidth="1"/>
    <col min="8" max="8" width="25.140625" customWidth="1"/>
    <col min="9" max="9" width="17.5703125" customWidth="1"/>
    <col min="13" max="13" width="13.42578125" customWidth="1"/>
    <col min="17" max="17" width="18" customWidth="1"/>
    <col min="18" max="18" width="17.5703125" customWidth="1"/>
    <col min="19" max="20" width="9.42578125" bestFit="1" customWidth="1"/>
    <col min="21" max="21" width="14.7109375" customWidth="1"/>
    <col min="26" max="26" width="31.85546875" customWidth="1"/>
    <col min="28" max="28" width="32.7109375" customWidth="1"/>
    <col min="29" max="29" width="14.28515625" customWidth="1"/>
    <col min="30" max="30" width="32.28515625" customWidth="1"/>
    <col min="31" max="31" width="26.7109375" customWidth="1"/>
    <col min="32" max="32" width="19.7109375" customWidth="1"/>
    <col min="33" max="33" width="26.85546875" customWidth="1"/>
    <col min="34" max="34" width="18.85546875" customWidth="1"/>
    <col min="35" max="35" width="17.42578125" customWidth="1"/>
    <col min="36" max="36" width="20.28515625" customWidth="1"/>
    <col min="37" max="37" width="13" customWidth="1"/>
    <col min="38" max="38" width="13.5703125" customWidth="1"/>
    <col min="39" max="39" width="15.28515625" customWidth="1"/>
  </cols>
  <sheetData>
    <row r="1" spans="1:122"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286</v>
      </c>
      <c r="N1" s="247" t="s">
        <v>287</v>
      </c>
      <c r="O1" s="247" t="s">
        <v>288</v>
      </c>
      <c r="P1" s="247" t="s">
        <v>289</v>
      </c>
      <c r="Q1" s="247" t="s">
        <v>290</v>
      </c>
      <c r="R1" s="247" t="s">
        <v>291</v>
      </c>
      <c r="S1" s="516" t="s">
        <v>292</v>
      </c>
      <c r="T1" s="516" t="s">
        <v>293</v>
      </c>
      <c r="U1" s="247" t="s">
        <v>294</v>
      </c>
      <c r="V1" s="247" t="s">
        <v>295</v>
      </c>
      <c r="W1" s="247" t="s">
        <v>296</v>
      </c>
      <c r="X1" s="516" t="s">
        <v>297</v>
      </c>
      <c r="Y1" s="247" t="s">
        <v>298</v>
      </c>
      <c r="Z1" s="247" t="s">
        <v>299</v>
      </c>
      <c r="AA1" s="247" t="s">
        <v>300</v>
      </c>
      <c r="AB1" s="517" t="s">
        <v>277</v>
      </c>
      <c r="AC1" s="247" t="s">
        <v>301</v>
      </c>
      <c r="AD1" s="518">
        <v>45798</v>
      </c>
      <c r="AE1" s="518">
        <v>45799</v>
      </c>
      <c r="AF1" s="518">
        <v>45800</v>
      </c>
      <c r="AG1" s="518">
        <v>45803</v>
      </c>
      <c r="AH1" s="518">
        <v>45804</v>
      </c>
      <c r="AI1" s="518">
        <v>45805</v>
      </c>
      <c r="AJ1" s="518">
        <v>45806</v>
      </c>
      <c r="AK1" s="518">
        <v>45807</v>
      </c>
      <c r="AL1" s="518">
        <v>45810</v>
      </c>
      <c r="AM1" s="518">
        <v>45811</v>
      </c>
    </row>
    <row r="2" spans="1:122" ht="77.25" customHeight="1">
      <c r="A2" s="93">
        <v>1</v>
      </c>
      <c r="B2" s="151" t="s">
        <v>5</v>
      </c>
      <c r="C2" s="177">
        <v>45798</v>
      </c>
      <c r="D2" s="177">
        <v>45811</v>
      </c>
      <c r="E2" s="146" t="s">
        <v>128</v>
      </c>
      <c r="F2" s="146" t="s">
        <v>315</v>
      </c>
      <c r="G2" s="93">
        <v>25237</v>
      </c>
      <c r="H2" s="96" t="s">
        <v>2785</v>
      </c>
      <c r="I2" s="151" t="s">
        <v>376</v>
      </c>
      <c r="J2" s="93">
        <v>5</v>
      </c>
      <c r="K2" s="93">
        <v>8.5</v>
      </c>
      <c r="L2" s="93">
        <v>34</v>
      </c>
      <c r="M2" s="375" t="s">
        <v>12</v>
      </c>
      <c r="N2" s="93" t="s">
        <v>313</v>
      </c>
      <c r="O2" s="375" t="s">
        <v>316</v>
      </c>
      <c r="P2" s="375" t="s">
        <v>317</v>
      </c>
      <c r="Q2" s="96" t="s">
        <v>2786</v>
      </c>
      <c r="R2" s="130" t="s">
        <v>2787</v>
      </c>
      <c r="S2" s="530">
        <v>45804</v>
      </c>
      <c r="T2" s="530">
        <v>45804</v>
      </c>
      <c r="U2" s="375" t="s">
        <v>12</v>
      </c>
      <c r="V2" s="151" t="s">
        <v>316</v>
      </c>
      <c r="W2" s="375" t="s">
        <v>319</v>
      </c>
      <c r="X2" s="147" t="s">
        <v>320</v>
      </c>
      <c r="Y2" s="147" t="s">
        <v>320</v>
      </c>
      <c r="Z2" s="63" t="s">
        <v>2516</v>
      </c>
      <c r="AA2" s="63" t="s">
        <v>2516</v>
      </c>
      <c r="AB2" s="93" t="s">
        <v>12</v>
      </c>
      <c r="AC2" s="151" t="s">
        <v>423</v>
      </c>
      <c r="AD2" s="96" t="s">
        <v>2788</v>
      </c>
      <c r="AE2" s="96" t="s">
        <v>2789</v>
      </c>
      <c r="AF2" s="96" t="s">
        <v>2790</v>
      </c>
      <c r="AG2" s="96" t="s">
        <v>2791</v>
      </c>
      <c r="AH2" s="93" t="s">
        <v>2792</v>
      </c>
      <c r="AI2" s="96" t="s">
        <v>2793</v>
      </c>
      <c r="AJ2" s="96" t="s">
        <v>2794</v>
      </c>
      <c r="AK2" s="96" t="s">
        <v>2795</v>
      </c>
      <c r="AL2" s="96" t="s">
        <v>2796</v>
      </c>
      <c r="AM2" s="93" t="s">
        <v>2797</v>
      </c>
    </row>
    <row r="3" spans="1:122" ht="81">
      <c r="A3" s="93">
        <v>2</v>
      </c>
      <c r="B3" s="151" t="s">
        <v>5</v>
      </c>
      <c r="C3" s="177">
        <v>45798</v>
      </c>
      <c r="D3" s="177">
        <v>45811</v>
      </c>
      <c r="E3" s="146" t="s">
        <v>128</v>
      </c>
      <c r="F3" s="93" t="s">
        <v>2038</v>
      </c>
      <c r="G3" s="93">
        <v>47842</v>
      </c>
      <c r="H3" s="96" t="s">
        <v>2798</v>
      </c>
      <c r="I3" s="151" t="s">
        <v>306</v>
      </c>
      <c r="J3" s="93">
        <v>3</v>
      </c>
      <c r="K3" s="93">
        <v>2</v>
      </c>
      <c r="L3" s="93">
        <v>8</v>
      </c>
      <c r="M3" s="375" t="s">
        <v>320</v>
      </c>
      <c r="N3" s="93" t="s">
        <v>313</v>
      </c>
      <c r="O3" s="375" t="s">
        <v>316</v>
      </c>
      <c r="P3" s="93" t="s">
        <v>1976</v>
      </c>
      <c r="Q3" s="93" t="s">
        <v>320</v>
      </c>
      <c r="R3" s="130" t="s">
        <v>2799</v>
      </c>
      <c r="S3" s="171">
        <v>45805</v>
      </c>
      <c r="T3" s="171">
        <v>45807</v>
      </c>
      <c r="U3" s="93" t="s">
        <v>12</v>
      </c>
      <c r="V3" s="151" t="s">
        <v>316</v>
      </c>
      <c r="W3" s="151" t="s">
        <v>319</v>
      </c>
      <c r="X3" s="93" t="s">
        <v>320</v>
      </c>
      <c r="Y3" s="93" t="s">
        <v>320</v>
      </c>
      <c r="Z3" s="93" t="s">
        <v>320</v>
      </c>
      <c r="AA3" s="93" t="s">
        <v>320</v>
      </c>
      <c r="AB3" s="96" t="s">
        <v>2800</v>
      </c>
      <c r="AC3" s="151" t="s">
        <v>423</v>
      </c>
      <c r="AD3" s="96" t="s">
        <v>2801</v>
      </c>
      <c r="AE3" s="93" t="s">
        <v>1601</v>
      </c>
      <c r="AF3" s="93" t="s">
        <v>1601</v>
      </c>
      <c r="AG3" s="96" t="s">
        <v>2802</v>
      </c>
      <c r="AH3" s="96" t="s">
        <v>2803</v>
      </c>
      <c r="AI3" s="96" t="s">
        <v>2804</v>
      </c>
      <c r="AJ3" s="96" t="s">
        <v>2805</v>
      </c>
      <c r="AK3" s="93" t="s">
        <v>2806</v>
      </c>
      <c r="AL3" s="93" t="s">
        <v>562</v>
      </c>
      <c r="AM3" s="93" t="s">
        <v>434</v>
      </c>
    </row>
    <row r="4" spans="1:122" ht="60" customHeight="1">
      <c r="A4" s="93">
        <v>3</v>
      </c>
      <c r="B4" s="151" t="s">
        <v>5</v>
      </c>
      <c r="C4" s="177">
        <v>45798</v>
      </c>
      <c r="D4" s="177">
        <v>45811</v>
      </c>
      <c r="E4" s="146" t="s">
        <v>128</v>
      </c>
      <c r="F4" s="93" t="s">
        <v>313</v>
      </c>
      <c r="G4" s="129">
        <v>47283</v>
      </c>
      <c r="H4" s="96" t="s">
        <v>2807</v>
      </c>
      <c r="I4" s="151" t="s">
        <v>503</v>
      </c>
      <c r="J4" s="93">
        <v>3</v>
      </c>
      <c r="K4" s="93">
        <v>2.5</v>
      </c>
      <c r="L4" s="93">
        <v>10</v>
      </c>
      <c r="M4" s="375" t="s">
        <v>12</v>
      </c>
      <c r="N4" s="375" t="s">
        <v>315</v>
      </c>
      <c r="O4" s="375" t="s">
        <v>316</v>
      </c>
      <c r="P4" s="375" t="s">
        <v>317</v>
      </c>
      <c r="Q4" s="93" t="s">
        <v>320</v>
      </c>
      <c r="R4" s="93" t="s">
        <v>320</v>
      </c>
      <c r="S4" s="93" t="s">
        <v>320</v>
      </c>
      <c r="T4" s="93" t="s">
        <v>320</v>
      </c>
      <c r="U4" s="93" t="s">
        <v>320</v>
      </c>
      <c r="V4" s="93" t="s">
        <v>320</v>
      </c>
      <c r="W4" s="93" t="s">
        <v>320</v>
      </c>
      <c r="X4" s="93" t="s">
        <v>320</v>
      </c>
      <c r="Y4" s="93" t="s">
        <v>320</v>
      </c>
      <c r="Z4" s="63" t="s">
        <v>2516</v>
      </c>
      <c r="AA4" s="63" t="s">
        <v>2516</v>
      </c>
      <c r="AB4" s="93" t="s">
        <v>2808</v>
      </c>
      <c r="AC4" s="151" t="s">
        <v>423</v>
      </c>
      <c r="AD4" s="96" t="s">
        <v>2809</v>
      </c>
      <c r="AE4" s="96" t="s">
        <v>2810</v>
      </c>
      <c r="AF4" s="96" t="s">
        <v>2811</v>
      </c>
      <c r="AG4" s="96" t="s">
        <v>2812</v>
      </c>
      <c r="AH4" s="96" t="s">
        <v>2813</v>
      </c>
      <c r="AI4" s="96" t="s">
        <v>2814</v>
      </c>
      <c r="AJ4" s="96" t="s">
        <v>2815</v>
      </c>
      <c r="AK4" s="96" t="s">
        <v>2816</v>
      </c>
      <c r="AL4" s="96" t="s">
        <v>2817</v>
      </c>
      <c r="AM4" s="96" t="s">
        <v>2808</v>
      </c>
    </row>
    <row r="5" spans="1:122" ht="92.25">
      <c r="A5" s="93">
        <v>4</v>
      </c>
      <c r="B5" s="151" t="s">
        <v>5</v>
      </c>
      <c r="C5" s="177">
        <v>45798</v>
      </c>
      <c r="D5" s="177">
        <v>45811</v>
      </c>
      <c r="E5" s="146" t="s">
        <v>128</v>
      </c>
      <c r="F5" s="93" t="s">
        <v>317</v>
      </c>
      <c r="G5" s="93" t="s">
        <v>2818</v>
      </c>
      <c r="H5" s="96" t="s">
        <v>2700</v>
      </c>
      <c r="I5" s="151" t="s">
        <v>503</v>
      </c>
      <c r="J5" s="93">
        <v>5</v>
      </c>
      <c r="K5" s="93">
        <v>3.8</v>
      </c>
      <c r="L5" s="93">
        <v>16</v>
      </c>
      <c r="M5" s="375" t="s">
        <v>12</v>
      </c>
      <c r="N5" s="375" t="s">
        <v>315</v>
      </c>
      <c r="O5" s="375" t="s">
        <v>316</v>
      </c>
      <c r="P5" s="93" t="s">
        <v>1976</v>
      </c>
      <c r="Q5" s="93" t="s">
        <v>320</v>
      </c>
      <c r="R5" s="130" t="s">
        <v>2819</v>
      </c>
      <c r="S5" s="171">
        <v>45806</v>
      </c>
      <c r="T5" s="171">
        <v>45806</v>
      </c>
      <c r="U5" s="93" t="s">
        <v>320</v>
      </c>
      <c r="V5" s="93" t="s">
        <v>320</v>
      </c>
      <c r="W5" s="375" t="s">
        <v>319</v>
      </c>
      <c r="X5" s="147" t="s">
        <v>320</v>
      </c>
      <c r="Y5" s="147" t="s">
        <v>320</v>
      </c>
      <c r="Z5" s="63" t="s">
        <v>2516</v>
      </c>
      <c r="AA5" s="63" t="s">
        <v>2516</v>
      </c>
      <c r="AB5" s="96" t="s">
        <v>2820</v>
      </c>
      <c r="AC5" s="151" t="s">
        <v>423</v>
      </c>
      <c r="AD5" s="96" t="s">
        <v>2821</v>
      </c>
      <c r="AE5" s="96" t="s">
        <v>2822</v>
      </c>
      <c r="AF5" s="96" t="s">
        <v>2823</v>
      </c>
      <c r="AG5" s="93" t="s">
        <v>326</v>
      </c>
      <c r="AH5" s="96" t="s">
        <v>2824</v>
      </c>
      <c r="AI5" s="96" t="s">
        <v>2825</v>
      </c>
      <c r="AJ5" s="96" t="s">
        <v>2826</v>
      </c>
      <c r="AK5" s="96" t="s">
        <v>2827</v>
      </c>
      <c r="AL5" s="96" t="s">
        <v>2828</v>
      </c>
      <c r="AM5" s="96" t="s">
        <v>2829</v>
      </c>
    </row>
    <row r="6" spans="1:122" ht="99.75" customHeight="1">
      <c r="A6" s="93">
        <v>5</v>
      </c>
      <c r="B6" s="151" t="s">
        <v>5</v>
      </c>
      <c r="C6" s="177">
        <v>45798</v>
      </c>
      <c r="D6" s="177">
        <v>45811</v>
      </c>
      <c r="E6" s="146" t="s">
        <v>128</v>
      </c>
      <c r="F6" s="93" t="s">
        <v>313</v>
      </c>
      <c r="G6" s="93" t="s">
        <v>2830</v>
      </c>
      <c r="H6" s="96" t="s">
        <v>2831</v>
      </c>
      <c r="I6" s="151" t="s">
        <v>306</v>
      </c>
      <c r="J6" s="93">
        <v>3</v>
      </c>
      <c r="K6" s="93">
        <v>2.56</v>
      </c>
      <c r="L6" s="93">
        <v>10.25</v>
      </c>
      <c r="M6" s="375" t="s">
        <v>12</v>
      </c>
      <c r="N6" s="375" t="s">
        <v>315</v>
      </c>
      <c r="O6" s="375" t="s">
        <v>316</v>
      </c>
      <c r="P6" s="375" t="s">
        <v>317</v>
      </c>
      <c r="Q6" s="151" t="s">
        <v>2832</v>
      </c>
      <c r="R6" s="480" t="s">
        <v>2833</v>
      </c>
      <c r="S6" s="530">
        <v>45785</v>
      </c>
      <c r="T6" s="530">
        <v>45785</v>
      </c>
      <c r="U6" s="375" t="s">
        <v>12</v>
      </c>
      <c r="V6" s="151" t="s">
        <v>316</v>
      </c>
      <c r="W6" s="375" t="s">
        <v>319</v>
      </c>
      <c r="X6" s="147" t="s">
        <v>320</v>
      </c>
      <c r="Y6" s="147" t="s">
        <v>320</v>
      </c>
      <c r="Z6" s="63" t="s">
        <v>2516</v>
      </c>
      <c r="AA6" s="63" t="s">
        <v>2516</v>
      </c>
      <c r="AB6" s="93" t="s">
        <v>1689</v>
      </c>
      <c r="AC6" s="151" t="s">
        <v>423</v>
      </c>
      <c r="AD6" s="96" t="s">
        <v>2834</v>
      </c>
      <c r="AE6" s="96" t="s">
        <v>2835</v>
      </c>
      <c r="AF6" s="96" t="s">
        <v>2836</v>
      </c>
      <c r="AG6" s="96" t="s">
        <v>2837</v>
      </c>
      <c r="AH6" s="96" t="s">
        <v>2838</v>
      </c>
      <c r="AI6" s="96" t="s">
        <v>2839</v>
      </c>
      <c r="AJ6" s="96" t="s">
        <v>2840</v>
      </c>
      <c r="AK6" s="96" t="s">
        <v>2840</v>
      </c>
      <c r="AL6" s="96" t="s">
        <v>2840</v>
      </c>
      <c r="AM6" s="96" t="s">
        <v>2841</v>
      </c>
    </row>
    <row r="7" spans="1:122" s="118" customFormat="1" ht="84" customHeight="1">
      <c r="A7" s="93">
        <v>6</v>
      </c>
      <c r="B7" s="151" t="s">
        <v>5</v>
      </c>
      <c r="C7" s="177">
        <v>45798</v>
      </c>
      <c r="D7" s="177">
        <v>45811</v>
      </c>
      <c r="E7" s="146" t="s">
        <v>128</v>
      </c>
      <c r="F7" s="146" t="s">
        <v>2251</v>
      </c>
      <c r="G7" s="93">
        <v>48087</v>
      </c>
      <c r="H7" s="96" t="s">
        <v>2842</v>
      </c>
      <c r="I7" s="151" t="s">
        <v>306</v>
      </c>
      <c r="J7" s="93">
        <v>3</v>
      </c>
      <c r="K7" s="93">
        <v>2</v>
      </c>
      <c r="L7" s="93">
        <v>8</v>
      </c>
      <c r="M7" s="93" t="s">
        <v>320</v>
      </c>
      <c r="N7" s="93" t="s">
        <v>320</v>
      </c>
      <c r="O7" s="93" t="s">
        <v>320</v>
      </c>
      <c r="P7" s="93" t="s">
        <v>320</v>
      </c>
      <c r="Q7" s="93" t="s">
        <v>320</v>
      </c>
      <c r="R7" s="93" t="s">
        <v>320</v>
      </c>
      <c r="S7" s="93" t="s">
        <v>320</v>
      </c>
      <c r="T7" s="93" t="s">
        <v>320</v>
      </c>
      <c r="U7" s="93" t="s">
        <v>320</v>
      </c>
      <c r="V7" s="93" t="s">
        <v>320</v>
      </c>
      <c r="W7" s="93" t="s">
        <v>320</v>
      </c>
      <c r="X7" s="93" t="s">
        <v>320</v>
      </c>
      <c r="Y7" s="93" t="s">
        <v>320</v>
      </c>
      <c r="Z7" s="93" t="s">
        <v>320</v>
      </c>
      <c r="AA7" s="93" t="s">
        <v>320</v>
      </c>
      <c r="AB7" s="93" t="s">
        <v>1689</v>
      </c>
      <c r="AC7" s="151" t="s">
        <v>423</v>
      </c>
      <c r="AD7" s="93"/>
      <c r="AE7" s="93"/>
      <c r="AF7" s="96" t="s">
        <v>2843</v>
      </c>
      <c r="AG7" s="96" t="s">
        <v>2844</v>
      </c>
      <c r="AH7" s="96" t="s">
        <v>2845</v>
      </c>
      <c r="AI7" s="93" t="s">
        <v>434</v>
      </c>
      <c r="AJ7" s="93" t="s">
        <v>434</v>
      </c>
      <c r="AK7" s="93"/>
      <c r="AL7" s="93"/>
      <c r="AM7" s="93"/>
      <c r="AN7" s="550"/>
    </row>
    <row r="8" spans="1:122" s="93" customFormat="1" ht="35.25">
      <c r="A8" s="93">
        <v>7</v>
      </c>
      <c r="B8" s="151" t="s">
        <v>5</v>
      </c>
      <c r="C8" s="177">
        <v>45798</v>
      </c>
      <c r="D8" s="177">
        <v>45811</v>
      </c>
      <c r="E8" s="146" t="s">
        <v>128</v>
      </c>
      <c r="F8" s="146" t="s">
        <v>2846</v>
      </c>
      <c r="G8" s="93">
        <v>48293</v>
      </c>
      <c r="H8" s="96" t="s">
        <v>2847</v>
      </c>
      <c r="I8" s="151" t="s">
        <v>306</v>
      </c>
      <c r="J8" s="93">
        <v>2</v>
      </c>
      <c r="K8" s="93">
        <v>1.25</v>
      </c>
      <c r="L8" s="93">
        <v>5</v>
      </c>
      <c r="AB8" s="93" t="s">
        <v>1689</v>
      </c>
      <c r="AC8" s="151" t="s">
        <v>423</v>
      </c>
      <c r="AG8" s="96" t="s">
        <v>2848</v>
      </c>
      <c r="AH8" s="93" t="s">
        <v>2849</v>
      </c>
      <c r="AI8" s="93" t="s">
        <v>434</v>
      </c>
      <c r="AJ8" s="93" t="s">
        <v>434</v>
      </c>
      <c r="AL8" s="93" t="s">
        <v>434</v>
      </c>
      <c r="AN8" s="550"/>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row>
    <row r="9" spans="1:122" ht="81">
      <c r="A9" s="93">
        <v>8</v>
      </c>
      <c r="B9" s="151" t="s">
        <v>5</v>
      </c>
      <c r="C9" s="177">
        <v>45798</v>
      </c>
      <c r="D9" s="177">
        <v>45811</v>
      </c>
      <c r="E9" s="146" t="s">
        <v>128</v>
      </c>
      <c r="F9" s="93" t="s">
        <v>317</v>
      </c>
      <c r="G9" s="93" t="s">
        <v>2850</v>
      </c>
      <c r="H9" s="96" t="s">
        <v>2851</v>
      </c>
      <c r="I9" s="151" t="s">
        <v>306</v>
      </c>
      <c r="J9" s="93">
        <v>0</v>
      </c>
      <c r="K9" s="93">
        <v>1.56</v>
      </c>
      <c r="L9" s="93">
        <v>6.25</v>
      </c>
      <c r="M9" s="375" t="s">
        <v>12</v>
      </c>
      <c r="N9" s="93" t="s">
        <v>320</v>
      </c>
      <c r="O9" s="93" t="s">
        <v>320</v>
      </c>
      <c r="P9" s="93" t="s">
        <v>320</v>
      </c>
      <c r="Q9" s="93" t="s">
        <v>320</v>
      </c>
      <c r="R9" s="93" t="s">
        <v>320</v>
      </c>
      <c r="S9" s="93" t="s">
        <v>320</v>
      </c>
      <c r="T9" s="93" t="s">
        <v>320</v>
      </c>
      <c r="U9" s="93" t="s">
        <v>320</v>
      </c>
      <c r="V9" s="93" t="s">
        <v>320</v>
      </c>
      <c r="W9" s="93" t="s">
        <v>320</v>
      </c>
      <c r="X9" s="93" t="s">
        <v>320</v>
      </c>
      <c r="Y9" s="93" t="s">
        <v>320</v>
      </c>
      <c r="Z9" s="93" t="s">
        <v>320</v>
      </c>
      <c r="AA9" s="93" t="s">
        <v>320</v>
      </c>
      <c r="AB9" s="93" t="s">
        <v>2852</v>
      </c>
      <c r="AC9" s="151" t="s">
        <v>423</v>
      </c>
      <c r="AD9" s="96" t="s">
        <v>2853</v>
      </c>
      <c r="AE9" s="96" t="s">
        <v>2854</v>
      </c>
      <c r="AF9" s="96" t="s">
        <v>2855</v>
      </c>
      <c r="AG9" s="93" t="s">
        <v>434</v>
      </c>
      <c r="AH9" s="96" t="s">
        <v>2856</v>
      </c>
      <c r="AI9" s="96" t="s">
        <v>2857</v>
      </c>
      <c r="AJ9" s="93" t="s">
        <v>12</v>
      </c>
      <c r="AK9" s="96" t="s">
        <v>2858</v>
      </c>
      <c r="AL9" s="96" t="s">
        <v>2858</v>
      </c>
      <c r="AM9" s="93"/>
      <c r="AN9" s="551"/>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c r="DA9" s="93"/>
      <c r="DB9" s="93"/>
      <c r="DC9" s="93"/>
      <c r="DD9" s="93"/>
      <c r="DE9" s="93"/>
      <c r="DF9" s="93"/>
      <c r="DG9" s="93"/>
      <c r="DH9" s="93"/>
      <c r="DI9" s="93"/>
      <c r="DJ9" s="93"/>
      <c r="DK9" s="93"/>
      <c r="DL9" s="93"/>
      <c r="DM9" s="93"/>
      <c r="DN9" s="93"/>
      <c r="DO9" s="93"/>
      <c r="DP9" s="93"/>
      <c r="DQ9" s="93"/>
      <c r="DR9" s="93"/>
    </row>
    <row r="10" spans="1:122" ht="58.5">
      <c r="A10" s="93">
        <v>9</v>
      </c>
      <c r="B10" s="151" t="s">
        <v>5</v>
      </c>
      <c r="C10" s="177">
        <v>45798</v>
      </c>
      <c r="D10" s="177">
        <v>45811</v>
      </c>
      <c r="E10" s="146" t="s">
        <v>128</v>
      </c>
      <c r="F10" s="93" t="s">
        <v>313</v>
      </c>
      <c r="G10" s="93" t="s">
        <v>2859</v>
      </c>
      <c r="H10" s="96" t="s">
        <v>2716</v>
      </c>
      <c r="I10" s="151" t="s">
        <v>306</v>
      </c>
      <c r="J10" s="93">
        <v>0</v>
      </c>
      <c r="K10" s="93">
        <v>2.5</v>
      </c>
      <c r="L10" s="93">
        <v>10</v>
      </c>
      <c r="M10" s="375" t="s">
        <v>12</v>
      </c>
      <c r="N10" s="375" t="s">
        <v>315</v>
      </c>
      <c r="O10" s="375" t="s">
        <v>316</v>
      </c>
      <c r="P10" s="375" t="s">
        <v>317</v>
      </c>
      <c r="Q10" s="93" t="s">
        <v>320</v>
      </c>
      <c r="R10" s="93" t="s">
        <v>320</v>
      </c>
      <c r="S10" s="93" t="s">
        <v>320</v>
      </c>
      <c r="T10" s="93" t="s">
        <v>320</v>
      </c>
      <c r="U10" s="93" t="s">
        <v>320</v>
      </c>
      <c r="V10" s="93" t="s">
        <v>320</v>
      </c>
      <c r="W10" s="93" t="s">
        <v>320</v>
      </c>
      <c r="X10" s="93" t="s">
        <v>320</v>
      </c>
      <c r="Y10" s="93" t="s">
        <v>320</v>
      </c>
      <c r="Z10" s="63" t="s">
        <v>2516</v>
      </c>
      <c r="AA10" s="63" t="s">
        <v>2516</v>
      </c>
      <c r="AB10" s="93" t="s">
        <v>2852</v>
      </c>
      <c r="AC10" s="151" t="s">
        <v>423</v>
      </c>
      <c r="AD10" s="93"/>
      <c r="AE10" s="96" t="s">
        <v>2860</v>
      </c>
      <c r="AF10" s="96" t="s">
        <v>2861</v>
      </c>
      <c r="AG10" s="96" t="s">
        <v>2812</v>
      </c>
      <c r="AH10" s="96" t="s">
        <v>2862</v>
      </c>
      <c r="AI10" s="96" t="s">
        <v>2863</v>
      </c>
      <c r="AJ10" s="96" t="s">
        <v>2864</v>
      </c>
      <c r="AK10" s="96" t="s">
        <v>2865</v>
      </c>
      <c r="AL10" s="96" t="s">
        <v>2865</v>
      </c>
      <c r="AM10" s="96" t="s">
        <v>2808</v>
      </c>
      <c r="AN10" s="550"/>
      <c r="AO10" s="118"/>
      <c r="AP10" s="118"/>
      <c r="AQ10" s="118"/>
      <c r="AR10" s="118"/>
      <c r="AS10" s="118"/>
      <c r="AT10" s="118"/>
      <c r="AU10" s="118"/>
      <c r="AV10" s="118"/>
      <c r="AW10" s="118"/>
      <c r="AX10" s="93"/>
      <c r="AY10" s="93"/>
      <c r="AZ10" s="93"/>
      <c r="BA10" s="93"/>
      <c r="BB10" s="93"/>
      <c r="BC10" s="93"/>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c r="DA10" s="93"/>
      <c r="DB10" s="93"/>
      <c r="DC10" s="93"/>
      <c r="DD10" s="93"/>
      <c r="DE10" s="93"/>
      <c r="DF10" s="93"/>
      <c r="DG10" s="93"/>
      <c r="DH10" s="93"/>
      <c r="DI10" s="93"/>
      <c r="DJ10" s="93"/>
      <c r="DK10" s="93"/>
      <c r="DL10" s="93"/>
      <c r="DM10" s="93"/>
      <c r="DN10" s="93"/>
      <c r="DO10" s="93"/>
      <c r="DP10" s="93"/>
      <c r="DQ10" s="93"/>
      <c r="DR10" s="93"/>
    </row>
    <row r="11" spans="1:122" ht="69">
      <c r="A11" s="93">
        <v>10</v>
      </c>
      <c r="B11" s="151" t="s">
        <v>5</v>
      </c>
      <c r="C11" s="177">
        <v>45798</v>
      </c>
      <c r="D11" s="177">
        <v>45811</v>
      </c>
      <c r="E11" s="146" t="s">
        <v>128</v>
      </c>
      <c r="F11" s="93" t="s">
        <v>315</v>
      </c>
      <c r="G11" s="93" t="s">
        <v>2866</v>
      </c>
      <c r="H11" s="96" t="s">
        <v>2867</v>
      </c>
      <c r="I11" s="151" t="s">
        <v>306</v>
      </c>
      <c r="J11" s="93">
        <v>0</v>
      </c>
      <c r="K11" s="93">
        <v>2.87</v>
      </c>
      <c r="L11" s="93">
        <v>11.5</v>
      </c>
      <c r="M11" s="375" t="s">
        <v>12</v>
      </c>
      <c r="N11" s="93" t="s">
        <v>320</v>
      </c>
      <c r="O11" s="93" t="s">
        <v>320</v>
      </c>
      <c r="P11" s="93" t="s">
        <v>320</v>
      </c>
      <c r="Q11" s="93" t="s">
        <v>320</v>
      </c>
      <c r="R11" s="93" t="s">
        <v>320</v>
      </c>
      <c r="S11" s="93" t="s">
        <v>320</v>
      </c>
      <c r="T11" s="93" t="s">
        <v>320</v>
      </c>
      <c r="U11" s="93" t="s">
        <v>320</v>
      </c>
      <c r="V11" s="93" t="s">
        <v>320</v>
      </c>
      <c r="W11" s="93" t="s">
        <v>320</v>
      </c>
      <c r="X11" s="93" t="s">
        <v>320</v>
      </c>
      <c r="Y11" s="93" t="s">
        <v>320</v>
      </c>
      <c r="Z11" s="93" t="s">
        <v>320</v>
      </c>
      <c r="AA11" s="93" t="s">
        <v>320</v>
      </c>
      <c r="AB11" s="93" t="s">
        <v>2852</v>
      </c>
      <c r="AC11" s="151" t="s">
        <v>423</v>
      </c>
      <c r="AD11" s="93"/>
      <c r="AE11" s="93"/>
      <c r="AF11" s="93"/>
      <c r="AG11" s="93"/>
      <c r="AH11" s="96" t="s">
        <v>2868</v>
      </c>
      <c r="AI11" s="96" t="s">
        <v>2869</v>
      </c>
      <c r="AJ11" s="93"/>
      <c r="AK11" s="96" t="s">
        <v>2870</v>
      </c>
      <c r="AL11" s="93" t="s">
        <v>434</v>
      </c>
      <c r="AM11" s="93"/>
      <c r="AN11" s="550"/>
      <c r="AO11" s="118"/>
      <c r="AP11" s="118"/>
      <c r="AQ11" s="118"/>
      <c r="AR11" s="118"/>
      <c r="AS11" s="118"/>
      <c r="AT11" s="118"/>
      <c r="AU11" s="118"/>
      <c r="AV11" s="118"/>
      <c r="AW11" s="118"/>
    </row>
    <row r="12" spans="1:122" s="93" customFormat="1" ht="112.5" customHeight="1">
      <c r="A12" s="93">
        <v>11</v>
      </c>
      <c r="B12" s="151" t="s">
        <v>5</v>
      </c>
      <c r="C12" s="177">
        <v>45798</v>
      </c>
      <c r="D12" s="177">
        <v>45811</v>
      </c>
      <c r="E12" s="146" t="s">
        <v>2871</v>
      </c>
      <c r="F12" s="93" t="s">
        <v>315</v>
      </c>
      <c r="G12" s="93" t="s">
        <v>2872</v>
      </c>
      <c r="H12" s="96" t="s">
        <v>2873</v>
      </c>
      <c r="I12" s="151" t="s">
        <v>306</v>
      </c>
      <c r="J12" s="93">
        <v>2</v>
      </c>
      <c r="K12" s="93">
        <v>9.75</v>
      </c>
      <c r="L12" s="93">
        <v>19.5</v>
      </c>
      <c r="M12" s="93" t="s">
        <v>320</v>
      </c>
      <c r="N12" s="93" t="s">
        <v>320</v>
      </c>
      <c r="O12" s="93" t="s">
        <v>320</v>
      </c>
      <c r="P12" s="93" t="s">
        <v>320</v>
      </c>
      <c r="Q12" s="93" t="s">
        <v>320</v>
      </c>
      <c r="R12" s="93" t="s">
        <v>320</v>
      </c>
      <c r="S12" s="93" t="s">
        <v>320</v>
      </c>
      <c r="T12" s="93" t="s">
        <v>320</v>
      </c>
      <c r="U12" s="93" t="s">
        <v>320</v>
      </c>
      <c r="V12" s="93" t="s">
        <v>320</v>
      </c>
      <c r="W12" s="93" t="s">
        <v>320</v>
      </c>
      <c r="X12" s="93" t="s">
        <v>320</v>
      </c>
      <c r="Y12" s="93" t="s">
        <v>320</v>
      </c>
      <c r="Z12" s="93" t="s">
        <v>320</v>
      </c>
      <c r="AA12" s="93" t="s">
        <v>320</v>
      </c>
      <c r="AB12" s="93" t="s">
        <v>1689</v>
      </c>
      <c r="AC12" s="151" t="s">
        <v>423</v>
      </c>
      <c r="AG12" s="96" t="s">
        <v>2874</v>
      </c>
      <c r="AH12" s="96" t="s">
        <v>2875</v>
      </c>
      <c r="AI12" s="93" t="s">
        <v>599</v>
      </c>
      <c r="AJ12" s="96" t="s">
        <v>2876</v>
      </c>
      <c r="AK12" s="96" t="s">
        <v>2877</v>
      </c>
      <c r="AL12" s="96" t="s">
        <v>2878</v>
      </c>
      <c r="AN12" s="551"/>
    </row>
    <row r="13" spans="1:122" ht="114" customHeight="1">
      <c r="A13" s="118">
        <v>12</v>
      </c>
      <c r="B13" s="536" t="s">
        <v>5</v>
      </c>
      <c r="C13" s="552">
        <v>45798</v>
      </c>
      <c r="D13" s="552">
        <v>45811</v>
      </c>
      <c r="E13" s="189" t="s">
        <v>2871</v>
      </c>
      <c r="F13" s="118" t="s">
        <v>313</v>
      </c>
      <c r="G13" s="134">
        <v>47835</v>
      </c>
      <c r="H13" s="119" t="s">
        <v>2879</v>
      </c>
      <c r="I13" s="536" t="s">
        <v>338</v>
      </c>
      <c r="J13" s="118">
        <v>5</v>
      </c>
      <c r="K13" s="118">
        <v>4.5</v>
      </c>
      <c r="L13" s="118">
        <v>18.5</v>
      </c>
      <c r="M13" s="116" t="s">
        <v>12</v>
      </c>
      <c r="N13" s="116" t="s">
        <v>315</v>
      </c>
      <c r="O13" s="116" t="s">
        <v>316</v>
      </c>
      <c r="P13" s="116" t="s">
        <v>317</v>
      </c>
      <c r="Q13" s="93" t="s">
        <v>320</v>
      </c>
      <c r="R13" s="170" t="s">
        <v>2880</v>
      </c>
      <c r="S13" s="530">
        <v>45811</v>
      </c>
      <c r="T13" s="530">
        <v>45811</v>
      </c>
      <c r="U13" s="375" t="s">
        <v>12</v>
      </c>
      <c r="V13" s="151" t="s">
        <v>316</v>
      </c>
      <c r="W13" s="375" t="s">
        <v>319</v>
      </c>
      <c r="X13" s="147" t="s">
        <v>320</v>
      </c>
      <c r="Y13" s="147" t="s">
        <v>320</v>
      </c>
      <c r="Z13" s="119" t="s">
        <v>2881</v>
      </c>
      <c r="AA13" s="63" t="s">
        <v>2516</v>
      </c>
      <c r="AB13" s="118" t="s">
        <v>2882</v>
      </c>
      <c r="AC13" s="118"/>
      <c r="AD13" s="118"/>
      <c r="AE13" s="118"/>
      <c r="AF13" s="118"/>
      <c r="AG13" s="118" t="s">
        <v>2883</v>
      </c>
      <c r="AH13" s="119" t="s">
        <v>2884</v>
      </c>
      <c r="AI13" s="119" t="s">
        <v>2885</v>
      </c>
      <c r="AJ13" s="119" t="s">
        <v>2886</v>
      </c>
      <c r="AK13" s="119" t="s">
        <v>2887</v>
      </c>
      <c r="AL13" s="119" t="s">
        <v>2888</v>
      </c>
      <c r="AM13" s="119" t="s">
        <v>2882</v>
      </c>
    </row>
    <row r="14" spans="1:122" ht="69">
      <c r="A14" s="118">
        <v>13</v>
      </c>
      <c r="B14" s="536" t="s">
        <v>5</v>
      </c>
      <c r="C14" s="552">
        <v>45798</v>
      </c>
      <c r="D14" s="552">
        <v>45811</v>
      </c>
      <c r="E14" s="189" t="s">
        <v>2871</v>
      </c>
      <c r="F14" s="118" t="s">
        <v>315</v>
      </c>
      <c r="G14" s="118" t="s">
        <v>2766</v>
      </c>
      <c r="H14" s="119" t="s">
        <v>2767</v>
      </c>
      <c r="I14" s="536" t="s">
        <v>399</v>
      </c>
      <c r="J14" s="118">
        <v>5</v>
      </c>
      <c r="K14" s="118">
        <v>1.8</v>
      </c>
      <c r="L14" s="118">
        <v>7.5</v>
      </c>
      <c r="M14" s="118"/>
      <c r="N14" s="118"/>
      <c r="O14" s="118"/>
      <c r="P14" s="118"/>
      <c r="Q14" s="118"/>
      <c r="R14" s="118"/>
      <c r="S14" s="118"/>
      <c r="T14" s="118"/>
      <c r="U14" s="118"/>
      <c r="V14" s="118"/>
      <c r="W14" s="118"/>
      <c r="X14" s="118"/>
      <c r="Y14" s="118"/>
      <c r="Z14" s="118"/>
      <c r="AA14" s="118"/>
      <c r="AB14" s="119" t="s">
        <v>2889</v>
      </c>
      <c r="AC14" s="118"/>
      <c r="AD14" s="118"/>
      <c r="AE14" s="118"/>
      <c r="AF14" s="118"/>
      <c r="AG14" s="118"/>
      <c r="AH14" s="118"/>
      <c r="AI14" s="118"/>
      <c r="AJ14" s="118"/>
      <c r="AK14" s="119" t="s">
        <v>2890</v>
      </c>
      <c r="AL14" s="119" t="s">
        <v>2891</v>
      </c>
      <c r="AM14" s="119" t="s">
        <v>2889</v>
      </c>
    </row>
    <row r="15" spans="1:122" s="93" customFormat="1" ht="54" customHeight="1">
      <c r="A15" s="93">
        <v>14</v>
      </c>
      <c r="B15" s="151" t="s">
        <v>5</v>
      </c>
      <c r="C15" s="177">
        <v>45798</v>
      </c>
      <c r="D15" s="177">
        <v>45811</v>
      </c>
      <c r="E15" s="146" t="s">
        <v>2871</v>
      </c>
      <c r="F15" s="93" t="s">
        <v>313</v>
      </c>
      <c r="G15" s="93">
        <v>45453</v>
      </c>
      <c r="H15" s="96" t="s">
        <v>2725</v>
      </c>
      <c r="I15" s="151" t="s">
        <v>380</v>
      </c>
      <c r="J15" s="93">
        <v>3</v>
      </c>
      <c r="K15" s="93">
        <v>2</v>
      </c>
      <c r="L15" s="93">
        <v>8</v>
      </c>
      <c r="M15" s="116" t="s">
        <v>12</v>
      </c>
      <c r="Z15" s="63" t="s">
        <v>2516</v>
      </c>
      <c r="AB15" s="93" t="s">
        <v>2526</v>
      </c>
      <c r="AL15" s="96" t="s">
        <v>2892</v>
      </c>
      <c r="AM15" s="96" t="s">
        <v>2526</v>
      </c>
    </row>
  </sheetData>
  <conditionalFormatting sqref="J1 I2:I15">
    <cfRule type="containsText" dxfId="503" priority="7" operator="containsText" text="Closed">
      <formula>NOT(ISERROR(SEARCH("Closed",I1)))</formula>
    </cfRule>
    <cfRule type="containsText" dxfId="502" priority="8" operator="containsText" text="Open">
      <formula>NOT(ISERROR(SEARCH("Open",I1)))</formula>
    </cfRule>
    <cfRule type="containsText" dxfId="501" priority="9" operator="containsText" text="Inprogress">
      <formula>NOT(ISERROR(SEARCH("Inprogress",I1)))</formula>
    </cfRule>
  </conditionalFormatting>
  <dataValidations count="11">
    <dataValidation allowBlank="1" showInputMessage="1" showErrorMessage="1" sqref="AB1:AC1 Q6 V6 V2:V3 Z2:AA2 Z4:AA6 Z10:AA10 W3 V13 AA13 Z15" xr:uid="{DDAF03E6-4A09-44BA-B75B-78151B2E8F4E}"/>
    <dataValidation type="list" showErrorMessage="1" sqref="W1:X1 U1 M1:M6 M9:M11 M13 M15" xr:uid="{A2FB55B8-5D6B-4935-8D5A-463C113F0A42}">
      <formula1>"Open,Inprogress,Completed,TBD,NA"</formula1>
    </dataValidation>
    <dataValidation type="list" showErrorMessage="1" sqref="Q1:R1 V1 Y1" xr:uid="{E8934084-02F0-45AE-93E0-C04C054950D6}">
      <formula1>"No issues found,Issues observed(BacktoDev),DB Script tests in QA DB,NA,TBD"</formula1>
    </dataValidation>
    <dataValidation type="list" showErrorMessage="1" sqref="Z1" xr:uid="{7C7B8106-D239-44B3-8D47-B766DD167699}">
      <formula1>"Approved-Satisified AC,Not Approved(Back to Dev),NA,TBD"</formula1>
    </dataValidation>
    <dataValidation type="list" showErrorMessage="1" sqref="AA1" xr:uid="{0319663F-9F58-42E8-990B-E334ADF75F96}">
      <formula1>"Pending-Waiting for Customer confirmation, Approved-Satisified AC,Not Approved-New minor changes requested(Back to Dev),NA,TBD"</formula1>
    </dataValidation>
    <dataValidation type="list" allowBlank="1" showErrorMessage="1" sqref="J1" xr:uid="{F65E359C-B892-4CFC-8CCA-4494E82C2523}">
      <formula1>"Open,Inprogress,Closed"</formula1>
    </dataValidation>
    <dataValidation showErrorMessage="1" sqref="I1" xr:uid="{C2D7E4E6-01E7-4336-B98A-AE02989E09B1}"/>
    <dataValidation type="list" showErrorMessage="1" sqref="O1:O6 O10 O13" xr:uid="{7073BE43-E446-4D68-907A-04C230A0119C}">
      <formula1>"Pass,Fail(BacktoDev),DB Script tests in QA DB,TBD"</formula1>
    </dataValidation>
    <dataValidation type="list" showErrorMessage="1" sqref="P1:P2 P6 P4 P10 P13" xr:uid="{A40E80AE-12C9-4173-ABA4-F2DFA282D8DB}">
      <formula1>"Qadir,Rijo,Karthik,None,TBD"</formula1>
    </dataValidation>
    <dataValidation type="list" showErrorMessage="1" sqref="N1 N4:N6 N10 N13" xr:uid="{CD9C9CC4-8A7A-4418-B3E3-BEB5392BB73C}">
      <formula1>"Qadir,Rijo,Karthik,Sushmitha,None,TBD"</formula1>
    </dataValidation>
    <dataValidation type="list" allowBlank="1" showInputMessage="1" showErrorMessage="1" sqref="AC2:AC12" xr:uid="{4EFBF968-8166-4D07-B0EF-916897EB519D}">
      <formula1>"Exceeds Expectation,Meets Expectation,Needs improvements"</formula1>
    </dataValidation>
  </dataValidations>
  <hyperlinks>
    <hyperlink ref="R6" r:id="rId1" xr:uid="{19F1A62A-B1BD-4E2F-BE00-9E1B7A25DE90}"/>
    <hyperlink ref="R2" r:id="rId2" xr:uid="{63B2AC57-A066-472C-B2F4-B90837B1A1C3}"/>
    <hyperlink ref="R3" r:id="rId3" xr:uid="{F5FF3007-B2A9-4E49-A936-436D656741AF}"/>
    <hyperlink ref="R5" r:id="rId4" xr:uid="{BA71BD6C-EC1D-4DC1-B7BF-C989ED3A098A}"/>
    <hyperlink ref="R13" r:id="rId5" xr:uid="{87DFD44F-C18D-43D7-95BD-D8C728F3063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726BAD9-FC01-425D-8B0C-2DC4CE51FFEB}">
          <x14:formula1>
            <xm:f>Settings!$C$3:$C$20</xm:f>
          </x14:formula1>
          <xm:sqref>I2:I15</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95F8-9DDE-4CCF-B19C-AC53BD203738}">
  <dimension ref="A1:M9"/>
  <sheetViews>
    <sheetView topLeftCell="C2" workbookViewId="0">
      <selection activeCell="M4" sqref="M4"/>
    </sheetView>
  </sheetViews>
  <sheetFormatPr defaultRowHeight="12.75"/>
  <cols>
    <col min="3" max="3" width="12.5703125" customWidth="1"/>
    <col min="7" max="7" width="38" customWidth="1"/>
    <col min="11" max="11" width="15" customWidth="1"/>
    <col min="12" max="12" width="17" customWidth="1"/>
    <col min="13" max="13" width="51.140625" customWidth="1"/>
  </cols>
  <sheetData>
    <row r="1" spans="1:13" ht="40.5">
      <c r="A1" s="542" t="s">
        <v>266</v>
      </c>
      <c r="B1" s="543" t="s">
        <v>10</v>
      </c>
      <c r="C1" s="543" t="s">
        <v>267</v>
      </c>
      <c r="D1" s="543" t="s">
        <v>268</v>
      </c>
      <c r="E1" s="543" t="s">
        <v>269</v>
      </c>
      <c r="F1" s="543" t="s">
        <v>270</v>
      </c>
      <c r="G1" s="543" t="s">
        <v>271</v>
      </c>
      <c r="H1" s="543" t="s">
        <v>272</v>
      </c>
      <c r="I1" s="543" t="s">
        <v>273</v>
      </c>
      <c r="J1" s="543" t="s">
        <v>274</v>
      </c>
      <c r="K1" s="543" t="s">
        <v>275</v>
      </c>
      <c r="L1" s="544" t="s">
        <v>276</v>
      </c>
      <c r="M1" s="527" t="s">
        <v>277</v>
      </c>
    </row>
    <row r="2" spans="1:13" ht="74.25" customHeight="1">
      <c r="A2">
        <v>1</v>
      </c>
      <c r="B2" s="146" t="s">
        <v>128</v>
      </c>
      <c r="C2" s="157">
        <v>25237</v>
      </c>
      <c r="D2" s="387"/>
      <c r="E2" s="93" t="s">
        <v>2893</v>
      </c>
      <c r="F2" s="388" t="s">
        <v>522</v>
      </c>
      <c r="G2" s="77" t="s">
        <v>2785</v>
      </c>
      <c r="H2" s="11" t="s">
        <v>1670</v>
      </c>
      <c r="I2" s="388" t="s">
        <v>518</v>
      </c>
      <c r="J2" s="11" t="s">
        <v>525</v>
      </c>
      <c r="K2" s="388" t="s">
        <v>1674</v>
      </c>
      <c r="L2" s="513" t="s">
        <v>2894</v>
      </c>
      <c r="M2" s="96" t="s">
        <v>2895</v>
      </c>
    </row>
    <row r="3" spans="1:13" ht="23.25">
      <c r="A3">
        <v>2</v>
      </c>
      <c r="B3" s="146" t="s">
        <v>128</v>
      </c>
      <c r="C3" s="157">
        <v>25253</v>
      </c>
      <c r="D3" s="387"/>
      <c r="E3" s="93" t="s">
        <v>2241</v>
      </c>
      <c r="F3" s="388" t="s">
        <v>522</v>
      </c>
      <c r="G3" s="77" t="s">
        <v>2709</v>
      </c>
      <c r="H3" s="11" t="s">
        <v>1670</v>
      </c>
      <c r="I3" s="388" t="s">
        <v>518</v>
      </c>
      <c r="J3" s="11" t="s">
        <v>525</v>
      </c>
      <c r="K3" s="388" t="s">
        <v>1205</v>
      </c>
      <c r="L3" s="513" t="s">
        <v>526</v>
      </c>
      <c r="M3" s="93" t="s">
        <v>2698</v>
      </c>
    </row>
    <row r="4" spans="1:13" ht="46.5">
      <c r="A4">
        <v>3</v>
      </c>
      <c r="B4" s="146" t="s">
        <v>128</v>
      </c>
      <c r="C4" s="157" t="s">
        <v>2896</v>
      </c>
      <c r="D4" s="387"/>
      <c r="E4" s="93"/>
      <c r="F4" s="388" t="s">
        <v>522</v>
      </c>
      <c r="G4" s="77" t="s">
        <v>2851</v>
      </c>
      <c r="H4" s="11" t="s">
        <v>1670</v>
      </c>
      <c r="I4" s="388" t="s">
        <v>518</v>
      </c>
      <c r="J4" s="11" t="s">
        <v>519</v>
      </c>
      <c r="K4" s="388" t="s">
        <v>1674</v>
      </c>
      <c r="L4" s="513" t="s">
        <v>526</v>
      </c>
      <c r="M4" s="96" t="s">
        <v>2897</v>
      </c>
    </row>
    <row r="5" spans="1:13" ht="108.75" customHeight="1">
      <c r="A5">
        <v>4</v>
      </c>
      <c r="B5" s="146" t="s">
        <v>128</v>
      </c>
      <c r="C5" s="157" t="s">
        <v>2859</v>
      </c>
      <c r="D5" s="387"/>
      <c r="E5" s="93"/>
      <c r="F5" s="388" t="s">
        <v>522</v>
      </c>
      <c r="G5" s="77" t="s">
        <v>2716</v>
      </c>
      <c r="H5" s="11" t="s">
        <v>1670</v>
      </c>
      <c r="I5" s="388" t="s">
        <v>518</v>
      </c>
      <c r="J5" s="11" t="s">
        <v>519</v>
      </c>
      <c r="K5" s="388" t="s">
        <v>1674</v>
      </c>
      <c r="L5" s="513" t="s">
        <v>529</v>
      </c>
      <c r="M5" s="96" t="s">
        <v>2898</v>
      </c>
    </row>
    <row r="6" spans="1:13" ht="76.5" customHeight="1">
      <c r="A6">
        <v>5</v>
      </c>
      <c r="B6" s="146" t="s">
        <v>128</v>
      </c>
      <c r="C6" s="157" t="s">
        <v>2866</v>
      </c>
      <c r="D6" s="387"/>
      <c r="E6" s="93"/>
      <c r="F6" s="388" t="s">
        <v>522</v>
      </c>
      <c r="G6" s="77" t="s">
        <v>2867</v>
      </c>
      <c r="H6" s="11" t="s">
        <v>1670</v>
      </c>
      <c r="I6" s="388" t="s">
        <v>518</v>
      </c>
      <c r="J6" s="11" t="s">
        <v>519</v>
      </c>
      <c r="K6" s="388" t="s">
        <v>1674</v>
      </c>
      <c r="L6" s="513" t="s">
        <v>1325</v>
      </c>
      <c r="M6" s="96" t="s">
        <v>2899</v>
      </c>
    </row>
    <row r="7" spans="1:13" ht="35.25">
      <c r="A7">
        <v>6</v>
      </c>
      <c r="B7" s="146" t="s">
        <v>128</v>
      </c>
      <c r="C7" s="157">
        <v>25237</v>
      </c>
      <c r="D7" s="387"/>
      <c r="E7" s="93" t="s">
        <v>2893</v>
      </c>
      <c r="F7" s="388" t="s">
        <v>1668</v>
      </c>
      <c r="G7" s="77" t="s">
        <v>2900</v>
      </c>
      <c r="H7" s="11" t="s">
        <v>1670</v>
      </c>
      <c r="I7" s="388" t="s">
        <v>518</v>
      </c>
      <c r="J7" s="11" t="s">
        <v>519</v>
      </c>
      <c r="K7" s="388" t="s">
        <v>1674</v>
      </c>
      <c r="L7" s="513" t="s">
        <v>526</v>
      </c>
      <c r="M7" s="96" t="s">
        <v>2901</v>
      </c>
    </row>
    <row r="8" spans="1:13">
      <c r="B8" s="11"/>
      <c r="C8" s="157"/>
      <c r="D8" s="387"/>
      <c r="E8" s="93"/>
      <c r="F8" s="388"/>
      <c r="G8" s="77"/>
      <c r="H8" s="11"/>
      <c r="I8" s="388"/>
      <c r="J8" s="11"/>
      <c r="K8" s="388"/>
      <c r="L8" s="11"/>
      <c r="M8" s="93"/>
    </row>
    <row r="9" spans="1:13">
      <c r="B9" s="11"/>
      <c r="C9" s="157"/>
      <c r="D9" s="387"/>
      <c r="E9" s="93"/>
      <c r="F9" s="388"/>
      <c r="G9" s="77"/>
      <c r="H9" s="11"/>
      <c r="I9" s="388"/>
      <c r="J9" s="11"/>
      <c r="K9" s="388"/>
      <c r="L9" s="11"/>
      <c r="M9" s="93"/>
    </row>
  </sheetData>
  <dataValidations count="6">
    <dataValidation type="list" allowBlank="1" showErrorMessage="1" sqref="L8:L9" xr:uid="{934B2793-7696-4E53-AFD4-F5D09CCE2A41}">
      <formula1>$A$2:$A$10</formula1>
    </dataValidation>
    <dataValidation type="list" allowBlank="1" showErrorMessage="1" sqref="K2:K9" xr:uid="{6E4E5D70-0EA4-4C83-BCAB-AEAC2D36583D}">
      <formula1>"Open,Inprogress,Closed/Rejected"</formula1>
    </dataValidation>
    <dataValidation type="list" allowBlank="1" showErrorMessage="1" sqref="I2:I9" xr:uid="{E18D4CF6-AF6D-4BF9-A750-368276E52314}">
      <formula1>"Manual, Automation"</formula1>
    </dataValidation>
    <dataValidation type="list" allowBlank="1" showErrorMessage="1" sqref="F2:F9" xr:uid="{BBA496F2-4EC5-414D-A15B-B6D3640F7B75}">
      <formula1>"Bounceback/Sub-Defect,Defect,None"</formula1>
    </dataValidation>
    <dataValidation type="list" allowBlank="1" showErrorMessage="1" sqref="H2:H9" xr:uid="{AE075479-457A-4B66-891E-F2517BBEBE74}">
      <formula1>"Minor,Significant,Major"</formula1>
    </dataValidation>
    <dataValidation type="list" allowBlank="1" showErrorMessage="1" sqref="J2:J9" xr:uid="{D0F19C33-BFAA-476C-863F-D80B6B032F9F}">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096D04C-DC96-458E-A1CA-FDC620296EAD}">
          <x14:formula1>
            <xm:f>Details!$A$2:$A$10</xm:f>
          </x14:formula1>
          <xm:sqref>L2:L7</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43D08-C8E1-4D74-86C4-E0FFB7CB9DC6}">
  <dimension ref="A1:AN30"/>
  <sheetViews>
    <sheetView workbookViewId="0">
      <pane xSplit="9" topLeftCell="Z10" activePane="topRight" state="frozen"/>
      <selection pane="topRight" activeCell="AC2" sqref="AC2:AC10"/>
    </sheetView>
  </sheetViews>
  <sheetFormatPr defaultRowHeight="12.75"/>
  <cols>
    <col min="2" max="2" width="12.5703125" customWidth="1"/>
    <col min="4" max="4" width="9.42578125" bestFit="1" customWidth="1"/>
    <col min="5" max="5" width="11.28515625" customWidth="1"/>
    <col min="6" max="6" width="10.140625" customWidth="1"/>
    <col min="7" max="7" width="9" customWidth="1"/>
    <col min="8" max="8" width="41.85546875" customWidth="1"/>
    <col min="9" max="9" width="21" customWidth="1"/>
    <col min="10" max="10" width="11.7109375" customWidth="1"/>
    <col min="12" max="13" width="10.7109375" customWidth="1"/>
    <col min="15" max="15" width="14.42578125" customWidth="1"/>
    <col min="16" max="16" width="11.5703125" customWidth="1"/>
    <col min="17" max="17" width="16" customWidth="1"/>
    <col min="18" max="18" width="18.140625" customWidth="1"/>
    <col min="19" max="20" width="11.42578125" customWidth="1"/>
    <col min="21" max="21" width="14" customWidth="1"/>
    <col min="22" max="22" width="23" customWidth="1"/>
    <col min="23" max="23" width="12.5703125" customWidth="1"/>
    <col min="24" max="24" width="19.7109375" customWidth="1"/>
    <col min="25" max="25" width="15.5703125" customWidth="1"/>
    <col min="26" max="26" width="20" customWidth="1"/>
    <col min="27" max="27" width="13.85546875" customWidth="1"/>
    <col min="28" max="28" width="31.140625" customWidth="1"/>
    <col min="29" max="29" width="16" customWidth="1"/>
    <col min="30" max="30" width="35.85546875" customWidth="1"/>
    <col min="31" max="31" width="13.140625" customWidth="1"/>
    <col min="32" max="32" width="20.85546875" customWidth="1"/>
    <col min="33" max="33" width="25.140625" customWidth="1"/>
    <col min="34" max="34" width="36" customWidth="1"/>
    <col min="35" max="35" width="34.28515625" customWidth="1"/>
    <col min="36" max="36" width="26.7109375" customWidth="1"/>
    <col min="37" max="37" width="15" customWidth="1"/>
    <col min="38" max="38" width="19.42578125" customWidth="1"/>
    <col min="39" max="39" width="15" customWidth="1"/>
  </cols>
  <sheetData>
    <row r="1" spans="1:40" ht="39" customHeight="1">
      <c r="A1" s="247" t="s">
        <v>266</v>
      </c>
      <c r="B1" s="247" t="s">
        <v>4</v>
      </c>
      <c r="C1" s="247" t="s">
        <v>2</v>
      </c>
      <c r="D1" s="247" t="s">
        <v>3</v>
      </c>
      <c r="E1" s="247" t="s">
        <v>278</v>
      </c>
      <c r="F1" s="247" t="s">
        <v>269</v>
      </c>
      <c r="G1" s="247" t="s">
        <v>279</v>
      </c>
      <c r="H1" s="247" t="s">
        <v>280</v>
      </c>
      <c r="I1" s="247" t="s">
        <v>275</v>
      </c>
      <c r="J1" s="247" t="s">
        <v>281</v>
      </c>
      <c r="K1" s="247" t="s">
        <v>282</v>
      </c>
      <c r="L1" s="247" t="s">
        <v>283</v>
      </c>
      <c r="M1" s="247" t="s">
        <v>286</v>
      </c>
      <c r="N1" s="247" t="s">
        <v>287</v>
      </c>
      <c r="O1" s="247" t="s">
        <v>288</v>
      </c>
      <c r="P1" s="247" t="s">
        <v>289</v>
      </c>
      <c r="Q1" s="247" t="s">
        <v>290</v>
      </c>
      <c r="R1" s="247" t="s">
        <v>291</v>
      </c>
      <c r="S1" s="516" t="s">
        <v>292</v>
      </c>
      <c r="T1" s="516" t="s">
        <v>293</v>
      </c>
      <c r="U1" s="247" t="s">
        <v>294</v>
      </c>
      <c r="V1" s="247" t="s">
        <v>295</v>
      </c>
      <c r="W1" s="247" t="s">
        <v>296</v>
      </c>
      <c r="X1" s="516" t="s">
        <v>297</v>
      </c>
      <c r="Y1" s="247" t="s">
        <v>298</v>
      </c>
      <c r="Z1" s="247" t="s">
        <v>299</v>
      </c>
      <c r="AA1" s="247" t="s">
        <v>300</v>
      </c>
      <c r="AB1" s="517" t="s">
        <v>277</v>
      </c>
      <c r="AC1" s="247" t="s">
        <v>301</v>
      </c>
      <c r="AD1" s="518">
        <v>45784</v>
      </c>
      <c r="AE1" s="518">
        <v>45785</v>
      </c>
      <c r="AF1" s="518">
        <v>45786</v>
      </c>
      <c r="AG1" s="518">
        <v>45789</v>
      </c>
      <c r="AH1" s="518">
        <v>45790</v>
      </c>
      <c r="AI1" s="518">
        <v>45791</v>
      </c>
      <c r="AJ1" s="518">
        <v>45792</v>
      </c>
      <c r="AK1" s="518">
        <v>45793</v>
      </c>
      <c r="AL1" s="518">
        <v>45796</v>
      </c>
      <c r="AM1" s="518">
        <v>45797</v>
      </c>
      <c r="AN1" s="519"/>
    </row>
    <row r="2" spans="1:40" s="375" customFormat="1" ht="96.75" customHeight="1">
      <c r="A2" s="375">
        <v>1</v>
      </c>
      <c r="B2" s="151" t="s">
        <v>5</v>
      </c>
      <c r="C2" s="530">
        <v>45784</v>
      </c>
      <c r="D2" s="530">
        <v>45797</v>
      </c>
      <c r="E2" s="375" t="s">
        <v>124</v>
      </c>
      <c r="F2" s="375" t="s">
        <v>315</v>
      </c>
      <c r="G2" s="375" t="s">
        <v>2902</v>
      </c>
      <c r="H2" s="375" t="s">
        <v>2903</v>
      </c>
      <c r="I2" s="151" t="s">
        <v>306</v>
      </c>
      <c r="J2" s="151">
        <v>3</v>
      </c>
      <c r="K2" s="151">
        <v>8.25</v>
      </c>
      <c r="L2" s="523">
        <v>33</v>
      </c>
      <c r="M2" s="375" t="s">
        <v>12</v>
      </c>
      <c r="N2" s="375" t="s">
        <v>313</v>
      </c>
      <c r="O2" s="375" t="s">
        <v>316</v>
      </c>
      <c r="P2" s="375" t="s">
        <v>317</v>
      </c>
      <c r="Q2" s="151" t="s">
        <v>2904</v>
      </c>
      <c r="R2" s="480" t="s">
        <v>2905</v>
      </c>
      <c r="S2" s="530">
        <v>45786</v>
      </c>
      <c r="T2" s="530">
        <v>45786</v>
      </c>
      <c r="U2" s="375" t="s">
        <v>12</v>
      </c>
      <c r="V2" s="151" t="s">
        <v>316</v>
      </c>
      <c r="W2" s="375" t="s">
        <v>319</v>
      </c>
      <c r="X2" s="522" t="s">
        <v>320</v>
      </c>
      <c r="Y2" s="522" t="s">
        <v>320</v>
      </c>
      <c r="Z2" s="151" t="s">
        <v>2516</v>
      </c>
      <c r="AA2" s="151" t="s">
        <v>2516</v>
      </c>
      <c r="AB2" s="151" t="s">
        <v>2906</v>
      </c>
      <c r="AC2" s="151" t="s">
        <v>423</v>
      </c>
      <c r="AD2" s="375" t="s">
        <v>2907</v>
      </c>
      <c r="AE2" s="151" t="s">
        <v>2908</v>
      </c>
      <c r="AF2" s="151" t="s">
        <v>2909</v>
      </c>
      <c r="AG2" s="375" t="s">
        <v>2910</v>
      </c>
      <c r="AH2" s="151" t="s">
        <v>2911</v>
      </c>
      <c r="AI2" s="151" t="s">
        <v>2912</v>
      </c>
      <c r="AJ2" s="151" t="s">
        <v>2913</v>
      </c>
      <c r="AK2" s="151" t="s">
        <v>2914</v>
      </c>
      <c r="AL2" s="151" t="s">
        <v>2906</v>
      </c>
      <c r="AM2" s="151" t="s">
        <v>434</v>
      </c>
      <c r="AN2" s="151"/>
    </row>
    <row r="3" spans="1:40" s="146" customFormat="1" ht="72.75" customHeight="1">
      <c r="A3" s="146">
        <v>2</v>
      </c>
      <c r="B3" s="151" t="s">
        <v>5</v>
      </c>
      <c r="C3" s="177">
        <v>45784</v>
      </c>
      <c r="D3" s="177">
        <v>45797</v>
      </c>
      <c r="E3" s="146" t="s">
        <v>124</v>
      </c>
      <c r="F3" s="146" t="s">
        <v>2251</v>
      </c>
      <c r="G3" s="146">
        <v>47836</v>
      </c>
      <c r="H3" s="146" t="s">
        <v>2915</v>
      </c>
      <c r="I3" s="151" t="s">
        <v>306</v>
      </c>
      <c r="J3" s="151">
        <v>1</v>
      </c>
      <c r="K3" s="151">
        <v>4</v>
      </c>
      <c r="L3" s="151">
        <v>16</v>
      </c>
      <c r="M3" s="375" t="s">
        <v>320</v>
      </c>
      <c r="N3" s="375" t="s">
        <v>320</v>
      </c>
      <c r="O3" s="375" t="s">
        <v>320</v>
      </c>
      <c r="P3" s="375" t="s">
        <v>320</v>
      </c>
      <c r="Q3" s="375" t="s">
        <v>320</v>
      </c>
      <c r="R3" s="375" t="s">
        <v>320</v>
      </c>
      <c r="S3" s="375" t="s">
        <v>320</v>
      </c>
      <c r="T3" s="375" t="s">
        <v>320</v>
      </c>
      <c r="U3" s="375" t="s">
        <v>320</v>
      </c>
      <c r="V3" s="375" t="s">
        <v>320</v>
      </c>
      <c r="W3" s="375" t="s">
        <v>320</v>
      </c>
      <c r="X3" s="375" t="s">
        <v>320</v>
      </c>
      <c r="Y3" s="375" t="s">
        <v>320</v>
      </c>
      <c r="Z3" s="375" t="s">
        <v>320</v>
      </c>
      <c r="AA3" s="375" t="s">
        <v>320</v>
      </c>
      <c r="AB3" s="375" t="s">
        <v>2916</v>
      </c>
      <c r="AC3" s="151" t="s">
        <v>423</v>
      </c>
      <c r="AD3" s="151" t="s">
        <v>2917</v>
      </c>
      <c r="AE3" s="151" t="s">
        <v>2918</v>
      </c>
      <c r="AF3" s="151" t="s">
        <v>2919</v>
      </c>
      <c r="AG3" s="375" t="s">
        <v>2920</v>
      </c>
      <c r="AH3" s="151" t="s">
        <v>2921</v>
      </c>
      <c r="AI3" s="151" t="s">
        <v>2922</v>
      </c>
      <c r="AJ3" s="151" t="s">
        <v>434</v>
      </c>
      <c r="AK3" s="375" t="s">
        <v>434</v>
      </c>
      <c r="AL3" s="151" t="s">
        <v>434</v>
      </c>
      <c r="AM3" s="151" t="s">
        <v>434</v>
      </c>
      <c r="AN3" s="375"/>
    </row>
    <row r="4" spans="1:40" s="146" customFormat="1" ht="35.25">
      <c r="A4" s="146">
        <v>3</v>
      </c>
      <c r="B4" s="151" t="s">
        <v>5</v>
      </c>
      <c r="C4" s="177">
        <v>45784</v>
      </c>
      <c r="D4" s="177">
        <v>45797</v>
      </c>
      <c r="E4" s="146" t="s">
        <v>124</v>
      </c>
      <c r="F4" s="146" t="s">
        <v>317</v>
      </c>
      <c r="G4" s="146">
        <v>48023</v>
      </c>
      <c r="H4" s="146" t="s">
        <v>2923</v>
      </c>
      <c r="I4" s="151" t="s">
        <v>306</v>
      </c>
      <c r="J4" s="151">
        <v>1</v>
      </c>
      <c r="K4" s="151">
        <v>5.625</v>
      </c>
      <c r="L4" s="151">
        <v>22.5</v>
      </c>
      <c r="M4" s="375" t="s">
        <v>320</v>
      </c>
      <c r="N4" s="375" t="s">
        <v>320</v>
      </c>
      <c r="O4" s="375" t="s">
        <v>320</v>
      </c>
      <c r="P4" s="375" t="s">
        <v>320</v>
      </c>
      <c r="Q4" s="375" t="s">
        <v>320</v>
      </c>
      <c r="R4" s="375" t="s">
        <v>320</v>
      </c>
      <c r="S4" s="375" t="s">
        <v>320</v>
      </c>
      <c r="T4" s="375" t="s">
        <v>320</v>
      </c>
      <c r="U4" s="375" t="s">
        <v>320</v>
      </c>
      <c r="V4" s="375" t="s">
        <v>320</v>
      </c>
      <c r="W4" s="375" t="s">
        <v>320</v>
      </c>
      <c r="X4" s="375" t="s">
        <v>320</v>
      </c>
      <c r="Y4" s="375" t="s">
        <v>320</v>
      </c>
      <c r="Z4" s="375" t="s">
        <v>320</v>
      </c>
      <c r="AA4" s="375" t="s">
        <v>320</v>
      </c>
      <c r="AB4" s="375" t="s">
        <v>2924</v>
      </c>
      <c r="AC4" s="375" t="s">
        <v>423</v>
      </c>
      <c r="AD4" s="375" t="s">
        <v>2925</v>
      </c>
      <c r="AE4" s="151" t="s">
        <v>2926</v>
      </c>
      <c r="AF4" s="151" t="s">
        <v>2927</v>
      </c>
      <c r="AG4" s="375" t="s">
        <v>2520</v>
      </c>
      <c r="AH4" s="151" t="s">
        <v>326</v>
      </c>
      <c r="AI4" s="151" t="s">
        <v>434</v>
      </c>
      <c r="AJ4" s="151" t="s">
        <v>434</v>
      </c>
      <c r="AK4" s="375" t="s">
        <v>434</v>
      </c>
      <c r="AL4" s="151" t="s">
        <v>434</v>
      </c>
      <c r="AM4" s="151" t="s">
        <v>434</v>
      </c>
      <c r="AN4" s="375"/>
    </row>
    <row r="5" spans="1:40" s="146" customFormat="1" ht="74.25" customHeight="1">
      <c r="A5" s="146">
        <v>4</v>
      </c>
      <c r="B5" s="151" t="s">
        <v>5</v>
      </c>
      <c r="C5" s="177">
        <v>45784</v>
      </c>
      <c r="D5" s="177">
        <v>45797</v>
      </c>
      <c r="E5" s="146" t="s">
        <v>124</v>
      </c>
      <c r="F5" s="146" t="s">
        <v>313</v>
      </c>
      <c r="G5" s="146">
        <v>24567</v>
      </c>
      <c r="H5" s="146" t="s">
        <v>2928</v>
      </c>
      <c r="I5" s="151" t="s">
        <v>306</v>
      </c>
      <c r="J5" s="151">
        <v>5</v>
      </c>
      <c r="K5" s="151">
        <v>4.5</v>
      </c>
      <c r="L5" s="151">
        <v>18</v>
      </c>
      <c r="M5" s="375" t="s">
        <v>12</v>
      </c>
      <c r="N5" s="375" t="s">
        <v>315</v>
      </c>
      <c r="O5" s="375" t="s">
        <v>316</v>
      </c>
      <c r="P5" s="375" t="s">
        <v>317</v>
      </c>
      <c r="Q5" s="151" t="s">
        <v>316</v>
      </c>
      <c r="R5" s="480" t="s">
        <v>2929</v>
      </c>
      <c r="S5" s="530">
        <v>45786</v>
      </c>
      <c r="T5" s="530">
        <v>45786</v>
      </c>
      <c r="U5" s="375" t="s">
        <v>12</v>
      </c>
      <c r="V5" s="151" t="s">
        <v>316</v>
      </c>
      <c r="W5" s="375" t="s">
        <v>319</v>
      </c>
      <c r="X5" s="150" t="s">
        <v>320</v>
      </c>
      <c r="Y5" s="150" t="s">
        <v>320</v>
      </c>
      <c r="Z5" s="63" t="s">
        <v>2516</v>
      </c>
      <c r="AA5" s="63" t="s">
        <v>2516</v>
      </c>
      <c r="AB5" s="375" t="s">
        <v>864</v>
      </c>
      <c r="AC5" s="375" t="s">
        <v>423</v>
      </c>
      <c r="AD5" s="375" t="s">
        <v>2930</v>
      </c>
      <c r="AE5" s="375" t="s">
        <v>2931</v>
      </c>
      <c r="AF5" s="375" t="s">
        <v>2932</v>
      </c>
      <c r="AG5" s="375" t="s">
        <v>2933</v>
      </c>
      <c r="AH5" s="375" t="s">
        <v>326</v>
      </c>
      <c r="AI5" s="375" t="s">
        <v>434</v>
      </c>
      <c r="AJ5" s="375" t="s">
        <v>434</v>
      </c>
      <c r="AK5" s="375" t="s">
        <v>434</v>
      </c>
      <c r="AL5" s="375" t="s">
        <v>434</v>
      </c>
      <c r="AM5" s="375" t="s">
        <v>434</v>
      </c>
      <c r="AN5" s="375"/>
    </row>
    <row r="6" spans="1:40" s="375" customFormat="1" ht="81">
      <c r="A6" s="375">
        <v>5</v>
      </c>
      <c r="B6" s="151" t="s">
        <v>5</v>
      </c>
      <c r="C6" s="530">
        <v>45784</v>
      </c>
      <c r="D6" s="530">
        <v>45797</v>
      </c>
      <c r="E6" s="146" t="s">
        <v>2934</v>
      </c>
      <c r="F6" s="375" t="s">
        <v>2038</v>
      </c>
      <c r="G6" s="375">
        <v>47842</v>
      </c>
      <c r="H6" s="375" t="s">
        <v>2798</v>
      </c>
      <c r="I6" s="151" t="s">
        <v>553</v>
      </c>
      <c r="J6" s="151">
        <v>3</v>
      </c>
      <c r="K6" s="151"/>
      <c r="L6" s="151"/>
      <c r="AB6" s="375" t="s">
        <v>2935</v>
      </c>
      <c r="AD6" s="375" t="s">
        <v>2936</v>
      </c>
      <c r="AE6" s="375" t="s">
        <v>599</v>
      </c>
      <c r="AF6" s="375" t="s">
        <v>2937</v>
      </c>
      <c r="AG6" s="375" t="s">
        <v>2938</v>
      </c>
      <c r="AH6" s="375" t="s">
        <v>599</v>
      </c>
      <c r="AI6" s="375" t="s">
        <v>599</v>
      </c>
      <c r="AJ6" s="375" t="s">
        <v>2939</v>
      </c>
      <c r="AK6" s="375" t="s">
        <v>2939</v>
      </c>
      <c r="AL6" s="375" t="s">
        <v>599</v>
      </c>
      <c r="AM6" s="375" t="s">
        <v>599</v>
      </c>
    </row>
    <row r="7" spans="1:40" s="146" customFormat="1" ht="86.25" customHeight="1">
      <c r="A7" s="146">
        <v>6</v>
      </c>
      <c r="B7" s="151" t="s">
        <v>5</v>
      </c>
      <c r="C7" s="177">
        <v>45784</v>
      </c>
      <c r="D7" s="177">
        <v>45797</v>
      </c>
      <c r="E7" s="146" t="s">
        <v>124</v>
      </c>
      <c r="F7" s="146" t="s">
        <v>317</v>
      </c>
      <c r="G7" s="146">
        <v>25134</v>
      </c>
      <c r="H7" s="146" t="s">
        <v>2940</v>
      </c>
      <c r="I7" s="151" t="s">
        <v>376</v>
      </c>
      <c r="J7" s="151">
        <v>3</v>
      </c>
      <c r="K7" s="151">
        <v>4.62</v>
      </c>
      <c r="L7" s="151">
        <v>18.5</v>
      </c>
      <c r="M7" s="375" t="s">
        <v>12</v>
      </c>
      <c r="N7" s="146" t="s">
        <v>313</v>
      </c>
      <c r="O7" s="375" t="s">
        <v>316</v>
      </c>
      <c r="P7" s="375" t="s">
        <v>320</v>
      </c>
      <c r="Q7" s="375" t="s">
        <v>320</v>
      </c>
      <c r="R7" s="375" t="s">
        <v>320</v>
      </c>
      <c r="S7" s="375" t="s">
        <v>320</v>
      </c>
      <c r="T7" s="375" t="s">
        <v>320</v>
      </c>
      <c r="U7" s="375" t="s">
        <v>320</v>
      </c>
      <c r="V7" s="375" t="s">
        <v>320</v>
      </c>
      <c r="W7" s="375" t="s">
        <v>320</v>
      </c>
      <c r="X7" s="375" t="s">
        <v>320</v>
      </c>
      <c r="Y7" s="375" t="s">
        <v>320</v>
      </c>
      <c r="Z7" s="375" t="s">
        <v>320</v>
      </c>
      <c r="AA7" s="375" t="s">
        <v>320</v>
      </c>
      <c r="AB7" s="375" t="s">
        <v>2941</v>
      </c>
      <c r="AC7" s="375"/>
      <c r="AD7" s="375" t="s">
        <v>2942</v>
      </c>
      <c r="AE7" s="375" t="s">
        <v>2943</v>
      </c>
      <c r="AF7" s="375" t="s">
        <v>2944</v>
      </c>
      <c r="AG7" s="375" t="s">
        <v>2945</v>
      </c>
      <c r="AH7" s="375" t="s">
        <v>2946</v>
      </c>
      <c r="AI7" s="375" t="s">
        <v>2947</v>
      </c>
      <c r="AJ7" s="375" t="s">
        <v>2948</v>
      </c>
      <c r="AK7" s="375" t="s">
        <v>2949</v>
      </c>
      <c r="AL7" s="375" t="s">
        <v>2950</v>
      </c>
      <c r="AM7" s="375" t="s">
        <v>2951</v>
      </c>
      <c r="AN7" s="375"/>
    </row>
    <row r="8" spans="1:40" s="146" customFormat="1" ht="58.5">
      <c r="A8" s="146">
        <v>7</v>
      </c>
      <c r="B8" s="151" t="s">
        <v>5</v>
      </c>
      <c r="C8" s="177">
        <v>45784</v>
      </c>
      <c r="D8" s="177">
        <v>45797</v>
      </c>
      <c r="E8" s="146" t="s">
        <v>124</v>
      </c>
      <c r="F8" s="146" t="s">
        <v>315</v>
      </c>
      <c r="G8" s="146">
        <v>47276</v>
      </c>
      <c r="H8" s="146" t="s">
        <v>2952</v>
      </c>
      <c r="I8" s="151" t="s">
        <v>306</v>
      </c>
      <c r="J8" s="151">
        <v>2</v>
      </c>
      <c r="K8" s="151">
        <v>1.25</v>
      </c>
      <c r="L8" s="151">
        <v>5</v>
      </c>
      <c r="M8" s="375" t="s">
        <v>320</v>
      </c>
      <c r="N8" s="375" t="s">
        <v>320</v>
      </c>
      <c r="O8" s="375" t="s">
        <v>320</v>
      </c>
      <c r="P8" s="375" t="s">
        <v>320</v>
      </c>
      <c r="Q8" s="375" t="s">
        <v>320</v>
      </c>
      <c r="R8" s="375" t="s">
        <v>320</v>
      </c>
      <c r="S8" s="375" t="s">
        <v>320</v>
      </c>
      <c r="T8" s="375" t="s">
        <v>320</v>
      </c>
      <c r="U8" s="375" t="s">
        <v>320</v>
      </c>
      <c r="V8" s="375" t="s">
        <v>320</v>
      </c>
      <c r="W8" s="375" t="s">
        <v>320</v>
      </c>
      <c r="X8" s="375" t="s">
        <v>320</v>
      </c>
      <c r="Y8" s="375" t="s">
        <v>320</v>
      </c>
      <c r="Z8" s="375" t="s">
        <v>320</v>
      </c>
      <c r="AA8" s="375" t="s">
        <v>320</v>
      </c>
      <c r="AB8" s="375" t="s">
        <v>2953</v>
      </c>
      <c r="AC8" s="375" t="s">
        <v>423</v>
      </c>
      <c r="AD8" s="375"/>
      <c r="AE8" s="375" t="s">
        <v>2954</v>
      </c>
      <c r="AF8" s="375" t="s">
        <v>1438</v>
      </c>
      <c r="AG8" s="375" t="s">
        <v>460</v>
      </c>
      <c r="AH8" s="375" t="s">
        <v>326</v>
      </c>
      <c r="AI8" s="375" t="s">
        <v>434</v>
      </c>
      <c r="AJ8" s="375" t="s">
        <v>434</v>
      </c>
      <c r="AK8" s="375" t="s">
        <v>434</v>
      </c>
      <c r="AL8" s="375" t="s">
        <v>434</v>
      </c>
      <c r="AM8" s="375" t="s">
        <v>434</v>
      </c>
      <c r="AN8" s="375"/>
    </row>
    <row r="9" spans="1:40" s="146" customFormat="1" ht="81">
      <c r="A9" s="146">
        <v>8</v>
      </c>
      <c r="B9" s="151" t="s">
        <v>5</v>
      </c>
      <c r="C9" s="177">
        <v>45784</v>
      </c>
      <c r="D9" s="177">
        <v>45797</v>
      </c>
      <c r="E9" s="146" t="s">
        <v>124</v>
      </c>
      <c r="F9" s="146" t="s">
        <v>315</v>
      </c>
      <c r="G9" s="146" t="s">
        <v>2955</v>
      </c>
      <c r="H9" s="146" t="s">
        <v>2956</v>
      </c>
      <c r="I9" s="151" t="s">
        <v>376</v>
      </c>
      <c r="J9" s="151">
        <v>5</v>
      </c>
      <c r="K9" s="151">
        <v>5.25</v>
      </c>
      <c r="L9" s="151">
        <v>21</v>
      </c>
      <c r="M9" s="375" t="s">
        <v>12</v>
      </c>
      <c r="N9" s="146" t="s">
        <v>313</v>
      </c>
      <c r="O9" s="375" t="s">
        <v>316</v>
      </c>
      <c r="P9" s="375" t="s">
        <v>317</v>
      </c>
      <c r="Q9" s="375" t="s">
        <v>316</v>
      </c>
      <c r="R9" s="480" t="s">
        <v>2957</v>
      </c>
      <c r="S9" s="530">
        <v>45791</v>
      </c>
      <c r="T9" s="530">
        <v>45791</v>
      </c>
      <c r="U9" s="375" t="s">
        <v>12</v>
      </c>
      <c r="V9" s="151" t="s">
        <v>316</v>
      </c>
      <c r="W9" s="375" t="s">
        <v>319</v>
      </c>
      <c r="X9" s="150" t="s">
        <v>320</v>
      </c>
      <c r="Y9" s="150" t="s">
        <v>320</v>
      </c>
      <c r="Z9" s="63" t="s">
        <v>2516</v>
      </c>
      <c r="AA9" s="63" t="s">
        <v>2516</v>
      </c>
      <c r="AB9" s="375" t="s">
        <v>2958</v>
      </c>
      <c r="AC9" s="375" t="s">
        <v>423</v>
      </c>
      <c r="AD9" s="375"/>
      <c r="AE9" s="375"/>
      <c r="AF9" s="375" t="s">
        <v>2959</v>
      </c>
      <c r="AG9" s="375" t="s">
        <v>2960</v>
      </c>
      <c r="AH9" s="375" t="s">
        <v>2961</v>
      </c>
      <c r="AI9" s="375" t="s">
        <v>2962</v>
      </c>
      <c r="AJ9" s="375" t="s">
        <v>2963</v>
      </c>
      <c r="AK9" s="375" t="s">
        <v>434</v>
      </c>
      <c r="AL9" s="375" t="s">
        <v>434</v>
      </c>
      <c r="AM9" s="375" t="s">
        <v>434</v>
      </c>
      <c r="AN9" s="375"/>
    </row>
    <row r="10" spans="1:40" s="146" customFormat="1" ht="72.75" customHeight="1">
      <c r="A10" s="146">
        <v>9</v>
      </c>
      <c r="B10" s="151" t="s">
        <v>5</v>
      </c>
      <c r="C10" s="177">
        <v>45784</v>
      </c>
      <c r="D10" s="177">
        <v>45797</v>
      </c>
      <c r="E10" s="146" t="s">
        <v>124</v>
      </c>
      <c r="F10" s="146" t="s">
        <v>313</v>
      </c>
      <c r="G10" s="135">
        <v>47057</v>
      </c>
      <c r="H10" s="146" t="s">
        <v>2964</v>
      </c>
      <c r="I10" s="151" t="s">
        <v>306</v>
      </c>
      <c r="J10" s="146">
        <v>3</v>
      </c>
      <c r="K10" s="146">
        <v>5.75</v>
      </c>
      <c r="L10" s="146">
        <v>23</v>
      </c>
      <c r="M10" s="375" t="s">
        <v>12</v>
      </c>
      <c r="N10" s="375" t="s">
        <v>315</v>
      </c>
      <c r="O10" s="375" t="s">
        <v>316</v>
      </c>
      <c r="P10" s="375" t="s">
        <v>317</v>
      </c>
      <c r="Q10" s="151" t="s">
        <v>316</v>
      </c>
      <c r="R10" s="480" t="s">
        <v>2965</v>
      </c>
      <c r="S10" s="530">
        <v>45791</v>
      </c>
      <c r="T10" s="530">
        <v>45791</v>
      </c>
      <c r="U10" s="375" t="s">
        <v>12</v>
      </c>
      <c r="V10" s="151" t="s">
        <v>316</v>
      </c>
      <c r="W10" s="375" t="s">
        <v>319</v>
      </c>
      <c r="X10" s="150" t="s">
        <v>320</v>
      </c>
      <c r="Y10" s="150" t="s">
        <v>320</v>
      </c>
      <c r="Z10" s="63" t="s">
        <v>2966</v>
      </c>
      <c r="AA10" s="63" t="s">
        <v>2516</v>
      </c>
      <c r="AB10" s="375" t="s">
        <v>864</v>
      </c>
      <c r="AC10" s="146" t="s">
        <v>423</v>
      </c>
      <c r="AF10" s="146" t="s">
        <v>2967</v>
      </c>
      <c r="AG10" s="146" t="s">
        <v>2968</v>
      </c>
      <c r="AH10" s="146" t="s">
        <v>2969</v>
      </c>
      <c r="AI10" s="146" t="s">
        <v>2970</v>
      </c>
      <c r="AJ10" s="146" t="s">
        <v>2971</v>
      </c>
      <c r="AK10" s="146" t="s">
        <v>12</v>
      </c>
      <c r="AL10" s="146" t="s">
        <v>434</v>
      </c>
      <c r="AM10" s="146" t="s">
        <v>434</v>
      </c>
    </row>
    <row r="11" spans="1:40" s="146" customFormat="1" ht="69">
      <c r="A11" s="146">
        <v>10</v>
      </c>
      <c r="B11" s="151" t="s">
        <v>5</v>
      </c>
      <c r="C11" s="177">
        <v>45784</v>
      </c>
      <c r="D11" s="177">
        <v>45797</v>
      </c>
      <c r="E11" s="146" t="s">
        <v>2934</v>
      </c>
      <c r="F11" s="146" t="s">
        <v>313</v>
      </c>
      <c r="G11" s="135">
        <v>48220</v>
      </c>
      <c r="H11" s="146" t="s">
        <v>2831</v>
      </c>
      <c r="I11" s="151" t="s">
        <v>380</v>
      </c>
      <c r="J11" s="146">
        <v>5</v>
      </c>
      <c r="M11" s="375" t="s">
        <v>12</v>
      </c>
      <c r="AB11" s="146" t="s">
        <v>2972</v>
      </c>
      <c r="AI11" s="146" t="s">
        <v>2973</v>
      </c>
      <c r="AJ11" s="146" t="s">
        <v>2974</v>
      </c>
      <c r="AK11" s="146" t="s">
        <v>2975</v>
      </c>
      <c r="AL11" s="146" t="s">
        <v>2976</v>
      </c>
      <c r="AM11" s="146" t="s">
        <v>2972</v>
      </c>
    </row>
    <row r="12" spans="1:40" s="146" customFormat="1" ht="46.5">
      <c r="A12" s="146">
        <v>11</v>
      </c>
      <c r="B12" s="151" t="s">
        <v>5</v>
      </c>
      <c r="C12" s="177">
        <v>45784</v>
      </c>
      <c r="D12" s="177">
        <v>45797</v>
      </c>
      <c r="E12" s="146" t="s">
        <v>124</v>
      </c>
      <c r="F12" s="146" t="s">
        <v>2241</v>
      </c>
      <c r="G12" s="146">
        <v>48087</v>
      </c>
      <c r="H12" s="146" t="s">
        <v>2842</v>
      </c>
      <c r="I12" s="151" t="s">
        <v>1068</v>
      </c>
      <c r="AB12" s="146" t="s">
        <v>2977</v>
      </c>
      <c r="AK12" s="146" t="s">
        <v>2978</v>
      </c>
      <c r="AL12" s="146" t="s">
        <v>2977</v>
      </c>
      <c r="AM12" s="146" t="s">
        <v>2979</v>
      </c>
    </row>
    <row r="13" spans="1:40" s="146" customFormat="1" ht="65.25" customHeight="1">
      <c r="A13" s="146">
        <v>12</v>
      </c>
      <c r="B13" s="151" t="s">
        <v>5</v>
      </c>
      <c r="C13" s="177">
        <v>45784</v>
      </c>
      <c r="D13" s="177">
        <v>45797</v>
      </c>
      <c r="E13" s="146" t="s">
        <v>2934</v>
      </c>
      <c r="F13" s="146" t="s">
        <v>315</v>
      </c>
      <c r="G13" s="146" t="s">
        <v>2980</v>
      </c>
      <c r="H13" s="146" t="s">
        <v>2785</v>
      </c>
      <c r="I13" s="146" t="s">
        <v>2981</v>
      </c>
      <c r="J13" s="146">
        <v>0</v>
      </c>
      <c r="AB13" s="146" t="s">
        <v>2982</v>
      </c>
      <c r="AL13" s="146" t="s">
        <v>2983</v>
      </c>
      <c r="AM13" s="146" t="s">
        <v>2983</v>
      </c>
    </row>
    <row r="14" spans="1:40" s="146" customFormat="1" ht="69">
      <c r="A14" s="146">
        <v>13</v>
      </c>
      <c r="B14" s="151" t="s">
        <v>5</v>
      </c>
      <c r="C14" s="177">
        <v>45784</v>
      </c>
      <c r="D14" s="177">
        <v>45797</v>
      </c>
      <c r="E14" s="146" t="s">
        <v>2934</v>
      </c>
      <c r="F14" s="146" t="s">
        <v>317</v>
      </c>
      <c r="G14" s="146">
        <v>48294</v>
      </c>
      <c r="H14" s="146" t="s">
        <v>2984</v>
      </c>
      <c r="I14" s="151" t="s">
        <v>399</v>
      </c>
      <c r="J14" s="146">
        <v>5</v>
      </c>
      <c r="AM14" s="146" t="s">
        <v>2985</v>
      </c>
    </row>
    <row r="15" spans="1:40" s="146" customFormat="1"/>
    <row r="16" spans="1:40" s="146" customFormat="1"/>
    <row r="17" s="146" customFormat="1"/>
    <row r="18" s="146" customFormat="1"/>
    <row r="19" s="146" customFormat="1"/>
    <row r="20" s="64" customFormat="1"/>
    <row r="21" s="64" customFormat="1"/>
    <row r="22" s="64" customFormat="1"/>
    <row r="23" s="64" customFormat="1"/>
    <row r="24" s="64" customFormat="1"/>
    <row r="25" s="64" customFormat="1"/>
    <row r="26" s="64" customFormat="1"/>
    <row r="27" s="100" customFormat="1"/>
    <row r="28" s="100" customFormat="1"/>
    <row r="29" s="100" customFormat="1"/>
    <row r="30" s="100" customFormat="1"/>
  </sheetData>
  <conditionalFormatting sqref="J1">
    <cfRule type="containsText" dxfId="500" priority="43" operator="containsText" text="Closed">
      <formula>NOT(ISERROR(SEARCH("Closed",J1)))</formula>
    </cfRule>
    <cfRule type="containsText" dxfId="499" priority="44" operator="containsText" text="Open">
      <formula>NOT(ISERROR(SEARCH("Open",J1)))</formula>
    </cfRule>
    <cfRule type="containsText" dxfId="498" priority="45" operator="containsText" text="Inprogress">
      <formula>NOT(ISERROR(SEARCH("Inprogress",J1)))</formula>
    </cfRule>
  </conditionalFormatting>
  <conditionalFormatting sqref="I2">
    <cfRule type="containsText" dxfId="497" priority="40" operator="containsText" text="Closed">
      <formula>NOT(ISERROR(SEARCH("Closed",I2)))</formula>
    </cfRule>
    <cfRule type="containsText" dxfId="496" priority="41" operator="containsText" text="Open">
      <formula>NOT(ISERROR(SEARCH("Open",I2)))</formula>
    </cfRule>
    <cfRule type="containsText" dxfId="495" priority="42" operator="containsText" text="Inprogress">
      <formula>NOT(ISERROR(SEARCH("Inprogress",I2)))</formula>
    </cfRule>
  </conditionalFormatting>
  <conditionalFormatting sqref="I3">
    <cfRule type="containsText" dxfId="494" priority="37" operator="containsText" text="Closed">
      <formula>NOT(ISERROR(SEARCH("Closed",I3)))</formula>
    </cfRule>
    <cfRule type="containsText" dxfId="493" priority="38" operator="containsText" text="Open">
      <formula>NOT(ISERROR(SEARCH("Open",I3)))</formula>
    </cfRule>
    <cfRule type="containsText" dxfId="492" priority="39" operator="containsText" text="Inprogress">
      <formula>NOT(ISERROR(SEARCH("Inprogress",I3)))</formula>
    </cfRule>
  </conditionalFormatting>
  <conditionalFormatting sqref="I4">
    <cfRule type="containsText" dxfId="491" priority="34" operator="containsText" text="Closed">
      <formula>NOT(ISERROR(SEARCH("Closed",I4)))</formula>
    </cfRule>
    <cfRule type="containsText" dxfId="490" priority="35" operator="containsText" text="Open">
      <formula>NOT(ISERROR(SEARCH("Open",I4)))</formula>
    </cfRule>
    <cfRule type="containsText" dxfId="489" priority="36" operator="containsText" text="Inprogress">
      <formula>NOT(ISERROR(SEARCH("Inprogress",I4)))</formula>
    </cfRule>
  </conditionalFormatting>
  <conditionalFormatting sqref="I5">
    <cfRule type="containsText" dxfId="488" priority="31" operator="containsText" text="Closed">
      <formula>NOT(ISERROR(SEARCH("Closed",I5)))</formula>
    </cfRule>
    <cfRule type="containsText" dxfId="487" priority="32" operator="containsText" text="Open">
      <formula>NOT(ISERROR(SEARCH("Open",I5)))</formula>
    </cfRule>
    <cfRule type="containsText" dxfId="486" priority="33" operator="containsText" text="Inprogress">
      <formula>NOT(ISERROR(SEARCH("Inprogress",I5)))</formula>
    </cfRule>
  </conditionalFormatting>
  <conditionalFormatting sqref="I6">
    <cfRule type="containsText" dxfId="485" priority="28" operator="containsText" text="Closed">
      <formula>NOT(ISERROR(SEARCH("Closed",I6)))</formula>
    </cfRule>
    <cfRule type="containsText" dxfId="484" priority="29" operator="containsText" text="Open">
      <formula>NOT(ISERROR(SEARCH("Open",I6)))</formula>
    </cfRule>
    <cfRule type="containsText" dxfId="483" priority="30" operator="containsText" text="Inprogress">
      <formula>NOT(ISERROR(SEARCH("Inprogress",I6)))</formula>
    </cfRule>
  </conditionalFormatting>
  <conditionalFormatting sqref="I8">
    <cfRule type="containsText" dxfId="482" priority="25" operator="containsText" text="Closed">
      <formula>NOT(ISERROR(SEARCH("Closed",I8)))</formula>
    </cfRule>
    <cfRule type="containsText" dxfId="481" priority="26" operator="containsText" text="Open">
      <formula>NOT(ISERROR(SEARCH("Open",I8)))</formula>
    </cfRule>
    <cfRule type="containsText" dxfId="480" priority="27" operator="containsText" text="Inprogress">
      <formula>NOT(ISERROR(SEARCH("Inprogress",I8)))</formula>
    </cfRule>
  </conditionalFormatting>
  <conditionalFormatting sqref="I9:I12">
    <cfRule type="containsText" dxfId="479" priority="16" operator="containsText" text="Closed">
      <formula>NOT(ISERROR(SEARCH("Closed",I9)))</formula>
    </cfRule>
    <cfRule type="containsText" dxfId="478" priority="17" operator="containsText" text="Open">
      <formula>NOT(ISERROR(SEARCH("Open",I9)))</formula>
    </cfRule>
    <cfRule type="containsText" dxfId="477" priority="18" operator="containsText" text="Inprogress">
      <formula>NOT(ISERROR(SEARCH("Inprogress",I9)))</formula>
    </cfRule>
  </conditionalFormatting>
  <conditionalFormatting sqref="I14">
    <cfRule type="containsText" dxfId="476" priority="4" operator="containsText" text="Closed">
      <formula>NOT(ISERROR(SEARCH("Closed",I14)))</formula>
    </cfRule>
    <cfRule type="containsText" dxfId="475" priority="5" operator="containsText" text="Open">
      <formula>NOT(ISERROR(SEARCH("Open",I14)))</formula>
    </cfRule>
    <cfRule type="containsText" dxfId="474" priority="6" operator="containsText" text="Inprogress">
      <formula>NOT(ISERROR(SEARCH("Inprogress",I14)))</formula>
    </cfRule>
  </conditionalFormatting>
  <conditionalFormatting sqref="I7">
    <cfRule type="containsText" dxfId="473" priority="1" operator="containsText" text="Closed">
      <formula>NOT(ISERROR(SEARCH("Closed",I7)))</formula>
    </cfRule>
    <cfRule type="containsText" dxfId="472" priority="2" operator="containsText" text="Open">
      <formula>NOT(ISERROR(SEARCH("Open",I7)))</formula>
    </cfRule>
    <cfRule type="containsText" dxfId="471" priority="3" operator="containsText" text="Inprogress">
      <formula>NOT(ISERROR(SEARCH("Inprogress",I7)))</formula>
    </cfRule>
  </conditionalFormatting>
  <dataValidations count="11">
    <dataValidation type="list" showErrorMessage="1" sqref="N5 N10 N1" xr:uid="{0BF77CD0-22B4-4221-B1A3-C1FF4E145FE2}">
      <formula1>"Qadir,Rijo,Karthik,Sushmitha,None,TBD"</formula1>
    </dataValidation>
    <dataValidation type="list" showErrorMessage="1" sqref="P5 P9:P10 P1:P2" xr:uid="{2254BA60-C84F-47E3-8240-3F4368F3B615}">
      <formula1>"Qadir,Rijo,Karthik,None,TBD"</formula1>
    </dataValidation>
    <dataValidation type="list" showErrorMessage="1" sqref="O5 O9:O10 Q9 O1:O2 O7" xr:uid="{45E256A2-850E-41E3-94A3-72BCDC22A310}">
      <formula1>"Pass,Fail(BacktoDev),DB Script tests in QA DB,TBD"</formula1>
    </dataValidation>
    <dataValidation showErrorMessage="1" sqref="I1" xr:uid="{1F13A4AD-38B4-4431-9C87-F27BB0150F68}"/>
    <dataValidation type="list" allowBlank="1" showErrorMessage="1" sqref="J1" xr:uid="{A9AF44E3-4645-4729-AE23-D51C7895E4A9}">
      <formula1>"Open,Inprogress,Closed"</formula1>
    </dataValidation>
    <dataValidation type="list" showErrorMessage="1" sqref="AA1" xr:uid="{36624133-80C8-4163-B39E-5F3E3CDB332F}">
      <formula1>"Pending-Waiting for Customer confirmation, Approved-Satisified AC,Not Approved-New minor changes requested(Back to Dev),NA,TBD"</formula1>
    </dataValidation>
    <dataValidation type="list" showErrorMessage="1" sqref="Z1" xr:uid="{7B638E44-D9F8-4032-8ECC-394E35E39504}">
      <formula1>"Approved-Satisified AC,Not Approved(Back to Dev),NA,TBD"</formula1>
    </dataValidation>
    <dataValidation type="list" showErrorMessage="1" sqref="Q1:R1 V1 Y1" xr:uid="{928F38D0-27F2-4BFB-9BC8-C1BA56FE2737}">
      <formula1>"No issues found,Issues observed(BacktoDev),DB Script tests in QA DB,NA,TBD"</formula1>
    </dataValidation>
    <dataValidation type="list" showErrorMessage="1" sqref="W1:X1 U1 P7:AA7 N3:AA4 N8:AA8 R9 M1:M11 N6:AA6" xr:uid="{2D76E0C1-303B-494F-8AE6-076A8E9B4CDB}">
      <formula1>"Open,Inprogress,Completed,TBD,NA"</formula1>
    </dataValidation>
    <dataValidation allowBlank="1" showInputMessage="1" showErrorMessage="1" sqref="Q5 Z2:AA2 Z9:AA10 V5 V2 Q2 Z5:AA5 AB1:AC1 Q10 V9:V10" xr:uid="{0D459069-6533-4F16-96E0-EA54FED908EC}"/>
    <dataValidation type="list" allowBlank="1" showInputMessage="1" showErrorMessage="1" sqref="AC2:AC10" xr:uid="{2FDD0842-2A16-4063-9DF9-3335A7404B2E}">
      <formula1>"Exceeds Expectation,Meets Expectation,Needs improvements"</formula1>
    </dataValidation>
  </dataValidations>
  <hyperlinks>
    <hyperlink ref="R2" r:id="rId1" xr:uid="{0EC8ACEA-9CE7-4A0D-88C7-576FAF3AB83C}"/>
    <hyperlink ref="R5" r:id="rId2" xr:uid="{A2F6C460-1B43-47EB-8607-AEF2386E6D65}"/>
    <hyperlink ref="R9" r:id="rId3" xr:uid="{BA6BDE27-2E1C-44FF-A158-83D1DB049B4E}"/>
    <hyperlink ref="R10" r:id="rId4" xr:uid="{39B63820-4FCC-4590-BE13-25EF8950A6D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9B668FD-201C-4AFA-B793-0C6E63C0AF4F}">
          <x14:formula1>
            <xm:f>Settings!$C$3:$C$20</xm:f>
          </x14:formula1>
          <xm:sqref>I14 I2:I12</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0AD1C-6CD4-4B46-9073-0B684A285CC6}">
  <dimension ref="A1:M8"/>
  <sheetViews>
    <sheetView workbookViewId="0">
      <selection activeCell="L2" sqref="L2"/>
    </sheetView>
  </sheetViews>
  <sheetFormatPr defaultRowHeight="12.75"/>
  <cols>
    <col min="2" max="2" width="20.140625" customWidth="1"/>
    <col min="7" max="7" width="54.85546875" customWidth="1"/>
    <col min="12" max="12" width="14.7109375" customWidth="1"/>
    <col min="13" max="13" width="32.42578125" customWidth="1"/>
  </cols>
  <sheetData>
    <row r="1" spans="1:13" ht="40.5">
      <c r="A1" s="542" t="s">
        <v>266</v>
      </c>
      <c r="B1" s="543" t="s">
        <v>10</v>
      </c>
      <c r="C1" s="543" t="s">
        <v>267</v>
      </c>
      <c r="D1" s="543" t="s">
        <v>268</v>
      </c>
      <c r="E1" s="543" t="s">
        <v>269</v>
      </c>
      <c r="F1" s="543" t="s">
        <v>270</v>
      </c>
      <c r="G1" s="543" t="s">
        <v>271</v>
      </c>
      <c r="H1" s="543" t="s">
        <v>272</v>
      </c>
      <c r="I1" s="543" t="s">
        <v>273</v>
      </c>
      <c r="J1" s="543" t="s">
        <v>274</v>
      </c>
      <c r="K1" s="543" t="s">
        <v>275</v>
      </c>
      <c r="L1" s="544" t="s">
        <v>276</v>
      </c>
      <c r="M1" s="527" t="s">
        <v>277</v>
      </c>
    </row>
    <row r="2" spans="1:13" s="150" customFormat="1" ht="35.25">
      <c r="A2" s="147">
        <v>1</v>
      </c>
      <c r="B2" s="151" t="s">
        <v>5</v>
      </c>
      <c r="C2" s="112">
        <v>47861</v>
      </c>
      <c r="D2" s="511"/>
      <c r="E2" s="147" t="s">
        <v>2893</v>
      </c>
      <c r="F2" s="548" t="s">
        <v>1668</v>
      </c>
      <c r="G2" s="146" t="s">
        <v>2986</v>
      </c>
      <c r="H2" s="165" t="s">
        <v>1670</v>
      </c>
      <c r="I2" s="512" t="s">
        <v>518</v>
      </c>
      <c r="J2" s="165" t="s">
        <v>525</v>
      </c>
      <c r="K2" s="545" t="s">
        <v>576</v>
      </c>
      <c r="L2" s="513" t="s">
        <v>2894</v>
      </c>
      <c r="M2" s="146" t="s">
        <v>2987</v>
      </c>
    </row>
    <row r="3" spans="1:13" s="150" customFormat="1" ht="49.5" customHeight="1">
      <c r="A3" s="147">
        <v>2</v>
      </c>
      <c r="B3" s="151" t="s">
        <v>5</v>
      </c>
      <c r="C3" s="510">
        <v>24575</v>
      </c>
      <c r="D3" s="511"/>
      <c r="E3" s="147" t="s">
        <v>2893</v>
      </c>
      <c r="F3" s="147" t="s">
        <v>522</v>
      </c>
      <c r="G3" s="146" t="s">
        <v>2956</v>
      </c>
      <c r="H3" s="165" t="s">
        <v>1670</v>
      </c>
      <c r="I3" s="512" t="s">
        <v>518</v>
      </c>
      <c r="J3" s="165" t="s">
        <v>525</v>
      </c>
      <c r="K3" s="545" t="s">
        <v>576</v>
      </c>
      <c r="L3" s="513" t="s">
        <v>529</v>
      </c>
      <c r="M3" s="146" t="s">
        <v>2988</v>
      </c>
    </row>
    <row r="4" spans="1:13" s="150" customFormat="1" ht="120.75" customHeight="1">
      <c r="A4" s="147">
        <v>3</v>
      </c>
      <c r="B4" s="151" t="s">
        <v>5</v>
      </c>
      <c r="C4" s="510">
        <v>24567</v>
      </c>
      <c r="D4" s="511"/>
      <c r="E4" s="147" t="s">
        <v>313</v>
      </c>
      <c r="F4" s="147" t="s">
        <v>522</v>
      </c>
      <c r="G4" s="146" t="s">
        <v>2928</v>
      </c>
      <c r="H4" s="165" t="s">
        <v>1670</v>
      </c>
      <c r="I4" s="512" t="s">
        <v>518</v>
      </c>
      <c r="J4" s="165" t="s">
        <v>525</v>
      </c>
      <c r="K4" s="545" t="s">
        <v>576</v>
      </c>
      <c r="L4" s="513" t="s">
        <v>529</v>
      </c>
      <c r="M4" s="549" t="s">
        <v>2989</v>
      </c>
    </row>
    <row r="5" spans="1:13" s="150" customFormat="1" ht="81">
      <c r="A5" s="147">
        <v>4</v>
      </c>
      <c r="B5" s="151" t="s">
        <v>5</v>
      </c>
      <c r="C5" s="510">
        <v>25134</v>
      </c>
      <c r="D5" s="511"/>
      <c r="E5" s="147" t="s">
        <v>317</v>
      </c>
      <c r="F5" s="147" t="s">
        <v>522</v>
      </c>
      <c r="G5" s="146" t="s">
        <v>2990</v>
      </c>
      <c r="H5" s="165" t="s">
        <v>1670</v>
      </c>
      <c r="I5" s="512" t="s">
        <v>518</v>
      </c>
      <c r="J5" s="165" t="s">
        <v>519</v>
      </c>
      <c r="K5" s="545" t="s">
        <v>576</v>
      </c>
      <c r="L5" s="513" t="s">
        <v>1325</v>
      </c>
      <c r="M5" s="146" t="s">
        <v>2991</v>
      </c>
    </row>
    <row r="6" spans="1:13" s="150" customFormat="1">
      <c r="A6" s="147"/>
      <c r="B6" s="165"/>
      <c r="C6" s="510"/>
      <c r="D6" s="511"/>
      <c r="E6" s="147"/>
      <c r="F6" s="147"/>
      <c r="G6" s="146"/>
      <c r="H6" s="165"/>
      <c r="I6" s="512"/>
      <c r="J6" s="165"/>
      <c r="K6" s="547"/>
      <c r="L6" s="513"/>
      <c r="M6" s="146"/>
    </row>
    <row r="7" spans="1:13" s="150" customFormat="1">
      <c r="A7" s="147"/>
      <c r="B7" s="165"/>
      <c r="C7" s="510"/>
      <c r="D7" s="511"/>
      <c r="E7" s="147"/>
      <c r="F7" s="147"/>
      <c r="G7" s="146"/>
      <c r="H7" s="165"/>
      <c r="I7" s="512"/>
      <c r="J7" s="165"/>
      <c r="K7" s="547"/>
      <c r="L7" s="513"/>
      <c r="M7" s="146"/>
    </row>
    <row r="8" spans="1:13" s="150" customFormat="1">
      <c r="A8" s="147"/>
      <c r="B8" s="165"/>
      <c r="C8" s="510"/>
      <c r="D8" s="511"/>
      <c r="E8" s="147"/>
      <c r="F8" s="147"/>
      <c r="G8" s="146"/>
      <c r="H8" s="165"/>
      <c r="I8" s="512"/>
      <c r="J8" s="165"/>
      <c r="K8" s="547"/>
      <c r="L8" s="513"/>
      <c r="M8" s="146"/>
    </row>
  </sheetData>
  <dataValidations count="5">
    <dataValidation type="list" allowBlank="1" showErrorMessage="1" sqref="K2:K8" xr:uid="{99266732-ACAB-494C-8BA3-97840847F476}">
      <formula1>"Open,Inprogress,Closed"</formula1>
    </dataValidation>
    <dataValidation type="list" allowBlank="1" showErrorMessage="1" sqref="F2:F8" xr:uid="{1EC88D3D-B0FC-46D1-8AF5-12F52932DBF6}">
      <formula1>"Bounceback/Sub-Defect,Defect,None"</formula1>
    </dataValidation>
    <dataValidation type="list" allowBlank="1" showErrorMessage="1" sqref="J2:J8" xr:uid="{1542FA13-64DA-4CC4-B209-C17256404C67}">
      <formula1>"Internal,External"</formula1>
    </dataValidation>
    <dataValidation type="list" allowBlank="1" showErrorMessage="1" sqref="H2:H8" xr:uid="{43263415-FC8C-46F1-A553-CD569494B900}">
      <formula1>"Minor,Significant,Major"</formula1>
    </dataValidation>
    <dataValidation type="list" allowBlank="1" showErrorMessage="1" sqref="I2:I8" xr:uid="{B3649319-8B9F-4DCD-B2A3-A3F3B1A81726}">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F6D557F-DBAD-4C98-A048-D592D53FA3E3}">
          <x14:formula1>
            <xm:f>Details!$A$2:$A$10</xm:f>
          </x14:formula1>
          <xm:sqref>L2:L8</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A5B3-0909-48CD-850B-2BA1B50F44BC}">
  <dimension ref="A1:AM24"/>
  <sheetViews>
    <sheetView workbookViewId="0">
      <pane xSplit="9" topLeftCell="AB13" activePane="topRight" state="frozen"/>
      <selection pane="topRight" activeCell="AB14" sqref="AB14"/>
    </sheetView>
  </sheetViews>
  <sheetFormatPr defaultRowHeight="12.75"/>
  <cols>
    <col min="2" max="2" width="18.140625" customWidth="1"/>
    <col min="5" max="5" width="13.140625" customWidth="1"/>
    <col min="8" max="8" width="32.7109375" customWidth="1"/>
    <col min="9" max="9" width="21.7109375" customWidth="1"/>
    <col min="13" max="13" width="11.28515625" customWidth="1"/>
    <col min="14" max="14" width="19.5703125" customWidth="1"/>
    <col min="15" max="15" width="19" customWidth="1"/>
    <col min="18" max="18" width="27.85546875" customWidth="1"/>
    <col min="26" max="26" width="18.7109375" customWidth="1"/>
    <col min="28" max="28" width="27.28515625" customWidth="1"/>
    <col min="29" max="29" width="12.7109375" customWidth="1"/>
    <col min="30" max="30" width="11" customWidth="1"/>
    <col min="31" max="31" width="12.85546875" customWidth="1"/>
    <col min="32" max="32" width="14.42578125" customWidth="1"/>
    <col min="33" max="33" width="13" customWidth="1"/>
    <col min="34" max="34" width="12.140625" customWidth="1"/>
    <col min="35" max="35" width="13" customWidth="1"/>
    <col min="36" max="36" width="26.5703125" customWidth="1"/>
    <col min="37" max="37" width="13.85546875" customWidth="1"/>
    <col min="38" max="38" width="18.5703125" customWidth="1"/>
  </cols>
  <sheetData>
    <row r="1" spans="1:39"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286</v>
      </c>
      <c r="N1" s="247" t="s">
        <v>287</v>
      </c>
      <c r="O1" s="247" t="s">
        <v>288</v>
      </c>
      <c r="P1" s="247" t="s">
        <v>289</v>
      </c>
      <c r="Q1" s="247" t="s">
        <v>290</v>
      </c>
      <c r="R1" s="247" t="s">
        <v>291</v>
      </c>
      <c r="S1" s="516" t="s">
        <v>292</v>
      </c>
      <c r="T1" s="516" t="s">
        <v>293</v>
      </c>
      <c r="U1" s="247" t="s">
        <v>294</v>
      </c>
      <c r="V1" s="247" t="s">
        <v>295</v>
      </c>
      <c r="W1" s="247" t="s">
        <v>296</v>
      </c>
      <c r="X1" s="516" t="s">
        <v>297</v>
      </c>
      <c r="Y1" s="247" t="s">
        <v>298</v>
      </c>
      <c r="Z1" s="247" t="s">
        <v>299</v>
      </c>
      <c r="AA1" s="247" t="s">
        <v>300</v>
      </c>
      <c r="AB1" s="517" t="s">
        <v>277</v>
      </c>
      <c r="AC1" s="518">
        <v>45770</v>
      </c>
      <c r="AD1" s="518">
        <v>45771</v>
      </c>
      <c r="AE1" s="518">
        <v>45772</v>
      </c>
      <c r="AF1" s="518">
        <v>45775</v>
      </c>
      <c r="AG1" s="518">
        <v>45776</v>
      </c>
      <c r="AH1" s="518">
        <v>45777</v>
      </c>
      <c r="AI1" s="518" t="s">
        <v>2992</v>
      </c>
      <c r="AJ1" s="518">
        <v>45779</v>
      </c>
      <c r="AK1" s="518">
        <v>45782</v>
      </c>
      <c r="AL1" s="518">
        <v>45783</v>
      </c>
      <c r="AM1" s="519"/>
    </row>
    <row r="2" spans="1:39" s="201" customFormat="1" ht="174">
      <c r="A2" s="151">
        <v>1</v>
      </c>
      <c r="B2" s="151" t="s">
        <v>5</v>
      </c>
      <c r="C2" s="481">
        <v>45770</v>
      </c>
      <c r="D2" s="520">
        <v>45783</v>
      </c>
      <c r="E2" s="146" t="s">
        <v>119</v>
      </c>
      <c r="F2" s="146" t="s">
        <v>315</v>
      </c>
      <c r="G2" s="146">
        <v>47936</v>
      </c>
      <c r="H2" s="146" t="s">
        <v>2993</v>
      </c>
      <c r="I2" s="485" t="s">
        <v>306</v>
      </c>
      <c r="J2" s="479">
        <v>5</v>
      </c>
      <c r="K2" s="151">
        <v>8.43</v>
      </c>
      <c r="L2" s="148">
        <v>33.75</v>
      </c>
      <c r="M2" s="375" t="s">
        <v>12</v>
      </c>
      <c r="N2" s="375" t="s">
        <v>313</v>
      </c>
      <c r="O2" s="375" t="s">
        <v>316</v>
      </c>
      <c r="P2" s="375" t="s">
        <v>317</v>
      </c>
      <c r="Q2" s="151" t="s">
        <v>316</v>
      </c>
      <c r="R2" s="480" t="s">
        <v>2994</v>
      </c>
      <c r="S2" s="530">
        <v>45775</v>
      </c>
      <c r="T2" s="530">
        <v>45775</v>
      </c>
      <c r="U2" s="375" t="s">
        <v>12</v>
      </c>
      <c r="V2" s="151" t="s">
        <v>316</v>
      </c>
      <c r="W2" s="375" t="s">
        <v>319</v>
      </c>
      <c r="X2" s="150" t="s">
        <v>320</v>
      </c>
      <c r="Y2" s="150" t="s">
        <v>320</v>
      </c>
      <c r="Z2" s="76" t="s">
        <v>2516</v>
      </c>
      <c r="AA2" s="76" t="s">
        <v>2516</v>
      </c>
      <c r="AB2" s="151" t="s">
        <v>2995</v>
      </c>
      <c r="AC2" s="375" t="s">
        <v>2996</v>
      </c>
      <c r="AD2" s="151" t="s">
        <v>2997</v>
      </c>
      <c r="AE2" s="151" t="s">
        <v>2998</v>
      </c>
      <c r="AF2" s="375" t="s">
        <v>2999</v>
      </c>
      <c r="AG2" s="151" t="s">
        <v>3000</v>
      </c>
      <c r="AH2" s="151" t="s">
        <v>3001</v>
      </c>
      <c r="AI2" s="151" t="s">
        <v>434</v>
      </c>
      <c r="AJ2" s="151" t="s">
        <v>3002</v>
      </c>
      <c r="AK2" s="151" t="s">
        <v>434</v>
      </c>
      <c r="AL2" s="151" t="s">
        <v>434</v>
      </c>
      <c r="AM2" s="151"/>
    </row>
    <row r="3" spans="1:39" s="201" customFormat="1" ht="58.5">
      <c r="A3" s="151">
        <v>2</v>
      </c>
      <c r="B3" s="151" t="s">
        <v>5</v>
      </c>
      <c r="C3" s="481">
        <v>45770</v>
      </c>
      <c r="D3" s="520">
        <v>45783</v>
      </c>
      <c r="E3" s="146" t="s">
        <v>119</v>
      </c>
      <c r="F3" s="146" t="s">
        <v>313</v>
      </c>
      <c r="G3" s="146">
        <v>47068</v>
      </c>
      <c r="H3" s="146" t="s">
        <v>3003</v>
      </c>
      <c r="I3" s="485" t="s">
        <v>306</v>
      </c>
      <c r="J3" s="479">
        <v>1</v>
      </c>
      <c r="K3" s="151">
        <v>0.625</v>
      </c>
      <c r="L3" s="151">
        <v>2.5</v>
      </c>
      <c r="M3" s="375" t="s">
        <v>12</v>
      </c>
      <c r="N3" s="375" t="s">
        <v>315</v>
      </c>
      <c r="O3" s="375" t="s">
        <v>316</v>
      </c>
      <c r="P3" s="375" t="s">
        <v>317</v>
      </c>
      <c r="Q3" s="151" t="s">
        <v>316</v>
      </c>
      <c r="R3" s="480" t="s">
        <v>3004</v>
      </c>
      <c r="S3" s="530">
        <v>45770</v>
      </c>
      <c r="T3" s="530">
        <v>45770</v>
      </c>
      <c r="U3" s="375" t="s">
        <v>12</v>
      </c>
      <c r="V3" s="151" t="s">
        <v>316</v>
      </c>
      <c r="W3" s="375" t="s">
        <v>319</v>
      </c>
      <c r="X3" s="150" t="s">
        <v>320</v>
      </c>
      <c r="Y3" s="150" t="s">
        <v>320</v>
      </c>
      <c r="Z3" s="76" t="s">
        <v>2516</v>
      </c>
      <c r="AA3" s="76" t="s">
        <v>2516</v>
      </c>
      <c r="AB3" s="151" t="s">
        <v>3005</v>
      </c>
      <c r="AC3" s="151" t="s">
        <v>3006</v>
      </c>
      <c r="AD3" s="151" t="s">
        <v>3007</v>
      </c>
      <c r="AE3" s="151" t="s">
        <v>3008</v>
      </c>
      <c r="AF3" s="375" t="s">
        <v>411</v>
      </c>
      <c r="AG3" s="151" t="s">
        <v>3005</v>
      </c>
      <c r="AH3" s="151" t="s">
        <v>434</v>
      </c>
      <c r="AI3" s="151" t="s">
        <v>434</v>
      </c>
      <c r="AJ3" s="375" t="s">
        <v>434</v>
      </c>
      <c r="AK3" s="151" t="s">
        <v>434</v>
      </c>
      <c r="AL3" s="151" t="s">
        <v>434</v>
      </c>
      <c r="AM3" s="375"/>
    </row>
    <row r="4" spans="1:39" s="201" customFormat="1" ht="81">
      <c r="A4" s="151">
        <v>3</v>
      </c>
      <c r="B4" s="151" t="s">
        <v>5</v>
      </c>
      <c r="C4" s="481">
        <v>45770</v>
      </c>
      <c r="D4" s="520">
        <v>45783</v>
      </c>
      <c r="E4" s="146" t="s">
        <v>119</v>
      </c>
      <c r="F4" s="534" t="s">
        <v>317</v>
      </c>
      <c r="G4" s="129">
        <v>86157</v>
      </c>
      <c r="H4" s="535" t="s">
        <v>3009</v>
      </c>
      <c r="I4" s="485" t="s">
        <v>306</v>
      </c>
      <c r="J4" s="479">
        <v>0</v>
      </c>
      <c r="K4" s="151">
        <v>0.25</v>
      </c>
      <c r="L4" s="151">
        <v>1</v>
      </c>
      <c r="M4" s="375" t="s">
        <v>12</v>
      </c>
      <c r="N4" s="375"/>
      <c r="O4" s="375"/>
      <c r="P4" s="375"/>
      <c r="Q4" s="151"/>
      <c r="R4" s="480"/>
      <c r="S4" s="480"/>
      <c r="T4" s="480"/>
      <c r="U4" s="375"/>
      <c r="V4" s="151"/>
      <c r="W4" s="151"/>
      <c r="X4" s="151"/>
      <c r="Y4" s="151"/>
      <c r="Z4" s="151"/>
      <c r="AA4" s="151"/>
      <c r="AB4" s="375" t="s">
        <v>3010</v>
      </c>
      <c r="AC4" s="375" t="s">
        <v>3011</v>
      </c>
      <c r="AD4" s="151" t="s">
        <v>3012</v>
      </c>
      <c r="AE4" s="151" t="s">
        <v>3013</v>
      </c>
      <c r="AF4" s="375" t="s">
        <v>434</v>
      </c>
      <c r="AG4" s="151" t="s">
        <v>434</v>
      </c>
      <c r="AH4" s="151" t="s">
        <v>434</v>
      </c>
      <c r="AI4" s="151" t="s">
        <v>434</v>
      </c>
      <c r="AJ4" s="375" t="s">
        <v>434</v>
      </c>
      <c r="AK4" s="151" t="s">
        <v>434</v>
      </c>
      <c r="AL4" s="151" t="s">
        <v>434</v>
      </c>
      <c r="AM4" s="375"/>
    </row>
    <row r="5" spans="1:39" s="201" customFormat="1" ht="81">
      <c r="A5" s="151">
        <v>4</v>
      </c>
      <c r="B5" s="151" t="s">
        <v>5</v>
      </c>
      <c r="C5" s="481">
        <v>45770</v>
      </c>
      <c r="D5" s="520">
        <v>45783</v>
      </c>
      <c r="E5" s="146" t="s">
        <v>119</v>
      </c>
      <c r="F5" s="533" t="s">
        <v>1216</v>
      </c>
      <c r="G5" s="533">
        <v>48047</v>
      </c>
      <c r="H5" s="533" t="s">
        <v>3014</v>
      </c>
      <c r="I5" s="485" t="s">
        <v>306</v>
      </c>
      <c r="J5" s="490">
        <v>3</v>
      </c>
      <c r="K5" s="490">
        <v>3</v>
      </c>
      <c r="L5" s="490">
        <v>12</v>
      </c>
      <c r="M5" s="375"/>
      <c r="N5" s="375"/>
      <c r="O5" s="375"/>
      <c r="P5" s="375"/>
      <c r="Q5" s="490"/>
      <c r="R5" s="480"/>
      <c r="S5" s="480"/>
      <c r="T5" s="480"/>
      <c r="U5" s="375"/>
      <c r="V5" s="151"/>
      <c r="W5" s="151"/>
      <c r="X5" s="151"/>
      <c r="Y5" s="151"/>
      <c r="Z5" s="151"/>
      <c r="AA5" s="151"/>
      <c r="AB5" s="375" t="s">
        <v>12</v>
      </c>
      <c r="AC5" s="375" t="s">
        <v>3015</v>
      </c>
      <c r="AD5" s="375"/>
      <c r="AE5" s="375"/>
      <c r="AF5" s="375"/>
      <c r="AG5" s="375" t="s">
        <v>3016</v>
      </c>
      <c r="AH5" s="375" t="s">
        <v>3017</v>
      </c>
      <c r="AI5" s="375"/>
      <c r="AJ5" s="375" t="s">
        <v>3018</v>
      </c>
      <c r="AK5" s="375" t="s">
        <v>3019</v>
      </c>
      <c r="AL5" s="375" t="s">
        <v>434</v>
      </c>
      <c r="AM5" s="375"/>
    </row>
    <row r="6" spans="1:39" s="201" customFormat="1" ht="46.5">
      <c r="A6" s="151">
        <v>5</v>
      </c>
      <c r="B6" s="151" t="s">
        <v>5</v>
      </c>
      <c r="C6" s="481">
        <v>45770</v>
      </c>
      <c r="D6" s="520">
        <v>45783</v>
      </c>
      <c r="E6" s="146" t="s">
        <v>119</v>
      </c>
      <c r="F6" s="375" t="s">
        <v>313</v>
      </c>
      <c r="G6" s="375">
        <v>48045</v>
      </c>
      <c r="H6" s="375" t="s">
        <v>627</v>
      </c>
      <c r="I6" s="485" t="s">
        <v>306</v>
      </c>
      <c r="J6" s="151">
        <v>2</v>
      </c>
      <c r="K6" s="151">
        <v>1.5</v>
      </c>
      <c r="L6" s="151">
        <v>6</v>
      </c>
      <c r="M6" s="375" t="s">
        <v>320</v>
      </c>
      <c r="N6" s="375" t="s">
        <v>320</v>
      </c>
      <c r="O6" s="375" t="s">
        <v>320</v>
      </c>
      <c r="P6" s="375" t="s">
        <v>320</v>
      </c>
      <c r="Q6" s="375" t="s">
        <v>320</v>
      </c>
      <c r="R6" s="375" t="s">
        <v>320</v>
      </c>
      <c r="S6" s="375" t="s">
        <v>320</v>
      </c>
      <c r="T6" s="375" t="s">
        <v>320</v>
      </c>
      <c r="U6" s="375" t="s">
        <v>320</v>
      </c>
      <c r="V6" s="375" t="s">
        <v>320</v>
      </c>
      <c r="W6" s="375" t="s">
        <v>320</v>
      </c>
      <c r="X6" s="375" t="s">
        <v>320</v>
      </c>
      <c r="Y6" s="375" t="s">
        <v>320</v>
      </c>
      <c r="Z6" s="375" t="s">
        <v>320</v>
      </c>
      <c r="AA6" s="375" t="s">
        <v>320</v>
      </c>
      <c r="AB6" s="375" t="s">
        <v>12</v>
      </c>
      <c r="AC6" s="375"/>
      <c r="AD6" s="375"/>
      <c r="AE6" s="375"/>
      <c r="AF6" s="375"/>
      <c r="AG6" s="375" t="s">
        <v>12</v>
      </c>
      <c r="AH6" s="375" t="s">
        <v>3020</v>
      </c>
      <c r="AI6" s="375"/>
      <c r="AJ6" s="375" t="s">
        <v>434</v>
      </c>
      <c r="AK6" s="375" t="s">
        <v>434</v>
      </c>
      <c r="AL6" s="375" t="s">
        <v>434</v>
      </c>
      <c r="AM6" s="375"/>
    </row>
    <row r="7" spans="1:39" s="201" customFormat="1" ht="92.25">
      <c r="A7" s="151">
        <v>6</v>
      </c>
      <c r="B7" s="151" t="s">
        <v>5</v>
      </c>
      <c r="C7" s="481">
        <v>45770</v>
      </c>
      <c r="D7" s="520">
        <v>45783</v>
      </c>
      <c r="E7" s="146" t="s">
        <v>119</v>
      </c>
      <c r="F7" s="533" t="s">
        <v>1216</v>
      </c>
      <c r="G7" s="523">
        <v>48037</v>
      </c>
      <c r="H7" s="375" t="s">
        <v>1666</v>
      </c>
      <c r="I7" s="485" t="s">
        <v>306</v>
      </c>
      <c r="J7" s="151">
        <v>2</v>
      </c>
      <c r="K7" s="151">
        <v>2.75</v>
      </c>
      <c r="L7" s="151">
        <v>11</v>
      </c>
      <c r="M7" s="375"/>
      <c r="N7" s="375"/>
      <c r="O7" s="375"/>
      <c r="P7" s="375"/>
      <c r="Q7" s="151"/>
      <c r="R7" s="480"/>
      <c r="S7" s="481"/>
      <c r="T7" s="481"/>
      <c r="U7" s="375"/>
      <c r="V7" s="151"/>
      <c r="W7" s="151"/>
      <c r="X7" s="481"/>
      <c r="Y7" s="151"/>
      <c r="Z7" s="151"/>
      <c r="AA7" s="151"/>
      <c r="AB7" s="375" t="s">
        <v>12</v>
      </c>
      <c r="AC7" s="375"/>
      <c r="AD7" s="375"/>
      <c r="AE7" s="375"/>
      <c r="AF7" s="375"/>
      <c r="AG7" s="375"/>
      <c r="AH7" s="375"/>
      <c r="AI7" s="375"/>
      <c r="AJ7" s="375" t="s">
        <v>3021</v>
      </c>
      <c r="AK7" s="375" t="s">
        <v>3022</v>
      </c>
      <c r="AL7" s="375" t="s">
        <v>3023</v>
      </c>
      <c r="AM7" s="375"/>
    </row>
    <row r="8" spans="1:39" s="201" customFormat="1" ht="35.25">
      <c r="A8" s="151">
        <v>7</v>
      </c>
      <c r="B8" s="151" t="s">
        <v>5</v>
      </c>
      <c r="C8" s="481">
        <v>45770</v>
      </c>
      <c r="D8" s="520">
        <v>45783</v>
      </c>
      <c r="E8" s="146" t="s">
        <v>119</v>
      </c>
      <c r="F8" s="375" t="s">
        <v>313</v>
      </c>
      <c r="G8" s="523">
        <v>48040</v>
      </c>
      <c r="H8" s="375" t="s">
        <v>3024</v>
      </c>
      <c r="I8" s="485" t="s">
        <v>306</v>
      </c>
      <c r="J8" s="151">
        <v>1</v>
      </c>
      <c r="K8" s="151">
        <v>0.5</v>
      </c>
      <c r="L8" s="151">
        <v>2</v>
      </c>
      <c r="M8" s="375" t="s">
        <v>320</v>
      </c>
      <c r="N8" s="375" t="s">
        <v>320</v>
      </c>
      <c r="O8" s="375" t="s">
        <v>320</v>
      </c>
      <c r="P8" s="375" t="s">
        <v>320</v>
      </c>
      <c r="Q8" s="375" t="s">
        <v>320</v>
      </c>
      <c r="R8" s="375" t="s">
        <v>320</v>
      </c>
      <c r="S8" s="375" t="s">
        <v>320</v>
      </c>
      <c r="T8" s="375" t="s">
        <v>320</v>
      </c>
      <c r="U8" s="375" t="s">
        <v>320</v>
      </c>
      <c r="V8" s="375" t="s">
        <v>320</v>
      </c>
      <c r="W8" s="375" t="s">
        <v>320</v>
      </c>
      <c r="X8" s="375" t="s">
        <v>320</v>
      </c>
      <c r="Y8" s="375" t="s">
        <v>320</v>
      </c>
      <c r="Z8" s="375" t="s">
        <v>320</v>
      </c>
      <c r="AA8" s="375" t="s">
        <v>320</v>
      </c>
      <c r="AB8" s="375" t="s">
        <v>12</v>
      </c>
      <c r="AC8" s="375"/>
      <c r="AD8" s="375"/>
      <c r="AE8" s="375"/>
      <c r="AF8" s="375"/>
      <c r="AG8" s="375" t="s">
        <v>12</v>
      </c>
      <c r="AH8" s="375"/>
      <c r="AI8" s="375"/>
      <c r="AJ8" s="375" t="s">
        <v>434</v>
      </c>
      <c r="AK8" s="375" t="s">
        <v>434</v>
      </c>
      <c r="AL8" s="375" t="s">
        <v>434</v>
      </c>
      <c r="AM8" s="375"/>
    </row>
    <row r="9" spans="1:39" s="201" customFormat="1" ht="58.5">
      <c r="A9" s="151">
        <v>8</v>
      </c>
      <c r="B9" s="151" t="s">
        <v>5</v>
      </c>
      <c r="C9" s="481">
        <v>45770</v>
      </c>
      <c r="D9" s="520">
        <v>45783</v>
      </c>
      <c r="E9" s="146" t="s">
        <v>119</v>
      </c>
      <c r="F9" s="375" t="s">
        <v>315</v>
      </c>
      <c r="G9" s="494">
        <v>48041</v>
      </c>
      <c r="H9" s="375" t="s">
        <v>583</v>
      </c>
      <c r="I9" s="485" t="s">
        <v>306</v>
      </c>
      <c r="J9" s="151">
        <v>2</v>
      </c>
      <c r="K9" s="151">
        <v>2.25</v>
      </c>
      <c r="L9" s="151">
        <v>9</v>
      </c>
      <c r="M9" s="375" t="s">
        <v>320</v>
      </c>
      <c r="N9" s="375" t="s">
        <v>320</v>
      </c>
      <c r="O9" s="375" t="s">
        <v>320</v>
      </c>
      <c r="P9" s="375" t="s">
        <v>320</v>
      </c>
      <c r="Q9" s="375" t="s">
        <v>320</v>
      </c>
      <c r="R9" s="375" t="s">
        <v>320</v>
      </c>
      <c r="S9" s="375" t="s">
        <v>320</v>
      </c>
      <c r="T9" s="375" t="s">
        <v>320</v>
      </c>
      <c r="U9" s="375" t="s">
        <v>320</v>
      </c>
      <c r="V9" s="375" t="s">
        <v>320</v>
      </c>
      <c r="W9" s="375" t="s">
        <v>320</v>
      </c>
      <c r="X9" s="375" t="s">
        <v>320</v>
      </c>
      <c r="Y9" s="375" t="s">
        <v>320</v>
      </c>
      <c r="Z9" s="375" t="s">
        <v>320</v>
      </c>
      <c r="AA9" s="375" t="s">
        <v>320</v>
      </c>
      <c r="AB9" s="375" t="s">
        <v>12</v>
      </c>
      <c r="AC9" s="375"/>
      <c r="AD9" s="375"/>
      <c r="AE9" s="375"/>
      <c r="AF9" s="375"/>
      <c r="AG9" s="375" t="s">
        <v>3025</v>
      </c>
      <c r="AH9" s="375" t="s">
        <v>460</v>
      </c>
      <c r="AI9" s="375"/>
      <c r="AJ9" s="375" t="s">
        <v>434</v>
      </c>
      <c r="AK9" s="375" t="s">
        <v>434</v>
      </c>
      <c r="AL9" s="375" t="s">
        <v>434</v>
      </c>
      <c r="AM9" s="375"/>
    </row>
    <row r="10" spans="1:39" s="201" customFormat="1" ht="23.25">
      <c r="A10" s="151">
        <v>9</v>
      </c>
      <c r="B10" s="151" t="s">
        <v>5</v>
      </c>
      <c r="C10" s="481">
        <v>45770</v>
      </c>
      <c r="D10" s="520">
        <v>45783</v>
      </c>
      <c r="E10" s="146" t="s">
        <v>119</v>
      </c>
      <c r="F10" s="146" t="s">
        <v>317</v>
      </c>
      <c r="G10" s="504">
        <v>48042</v>
      </c>
      <c r="H10" s="375" t="s">
        <v>596</v>
      </c>
      <c r="I10" s="485" t="s">
        <v>306</v>
      </c>
      <c r="J10" s="151">
        <v>3</v>
      </c>
      <c r="K10" s="201">
        <v>5.75</v>
      </c>
      <c r="L10" s="151">
        <v>23</v>
      </c>
      <c r="M10" s="375"/>
      <c r="N10" s="375"/>
      <c r="O10" s="375"/>
      <c r="P10" s="375"/>
      <c r="Q10" s="151"/>
      <c r="R10" s="480"/>
      <c r="S10" s="481"/>
      <c r="T10" s="481"/>
      <c r="U10" s="375"/>
      <c r="V10" s="151"/>
      <c r="W10" s="151"/>
      <c r="X10" s="481"/>
      <c r="Y10" s="151"/>
      <c r="Z10" s="151"/>
      <c r="AA10" s="151"/>
      <c r="AB10" s="375" t="s">
        <v>12</v>
      </c>
      <c r="AC10" s="482"/>
      <c r="AD10" s="482"/>
      <c r="AE10" s="482"/>
      <c r="AF10" s="482"/>
      <c r="AG10" s="482"/>
      <c r="AH10" s="482" t="s">
        <v>3026</v>
      </c>
      <c r="AI10" s="482" t="s">
        <v>3027</v>
      </c>
      <c r="AJ10" s="482"/>
      <c r="AK10" s="375" t="s">
        <v>434</v>
      </c>
      <c r="AL10" s="375" t="s">
        <v>434</v>
      </c>
      <c r="AM10" s="482"/>
    </row>
    <row r="11" spans="1:39" s="201" customFormat="1" ht="58.5">
      <c r="A11" s="151">
        <v>10</v>
      </c>
      <c r="B11" s="536" t="s">
        <v>5</v>
      </c>
      <c r="C11" s="537">
        <v>45770</v>
      </c>
      <c r="D11" s="538">
        <v>45783</v>
      </c>
      <c r="E11" s="189" t="s">
        <v>119</v>
      </c>
      <c r="F11" s="500" t="s">
        <v>1148</v>
      </c>
      <c r="G11" s="501">
        <v>48043</v>
      </c>
      <c r="H11" s="501" t="s">
        <v>1149</v>
      </c>
      <c r="I11" s="485" t="s">
        <v>306</v>
      </c>
      <c r="J11" s="501">
        <v>2</v>
      </c>
      <c r="K11" s="501">
        <v>3</v>
      </c>
      <c r="L11" s="501">
        <v>12</v>
      </c>
      <c r="M11" s="375" t="s">
        <v>320</v>
      </c>
      <c r="N11" s="375" t="s">
        <v>320</v>
      </c>
      <c r="O11" s="375" t="s">
        <v>320</v>
      </c>
      <c r="P11" s="375" t="s">
        <v>320</v>
      </c>
      <c r="Q11" s="375" t="s">
        <v>320</v>
      </c>
      <c r="R11" s="375" t="s">
        <v>320</v>
      </c>
      <c r="S11" s="375" t="s">
        <v>320</v>
      </c>
      <c r="T11" s="375" t="s">
        <v>320</v>
      </c>
      <c r="U11" s="375" t="s">
        <v>320</v>
      </c>
      <c r="V11" s="375" t="s">
        <v>320</v>
      </c>
      <c r="W11" s="375" t="s">
        <v>320</v>
      </c>
      <c r="X11" s="375" t="s">
        <v>320</v>
      </c>
      <c r="Y11" s="375" t="s">
        <v>320</v>
      </c>
      <c r="Z11" s="375" t="s">
        <v>320</v>
      </c>
      <c r="AA11" s="375" t="s">
        <v>320</v>
      </c>
      <c r="AB11" s="375" t="s">
        <v>12</v>
      </c>
      <c r="AC11" s="500"/>
      <c r="AD11" s="500"/>
      <c r="AE11" s="500"/>
      <c r="AF11" s="500"/>
      <c r="AG11" s="500"/>
      <c r="AH11" s="500" t="s">
        <v>3028</v>
      </c>
      <c r="AI11" s="500" t="s">
        <v>434</v>
      </c>
      <c r="AJ11" s="500" t="s">
        <v>3029</v>
      </c>
      <c r="AK11" s="500" t="s">
        <v>3030</v>
      </c>
      <c r="AL11" s="500" t="s">
        <v>434</v>
      </c>
      <c r="AM11" s="500"/>
    </row>
    <row r="12" spans="1:39" s="201" customFormat="1" ht="35.25">
      <c r="A12" s="151">
        <v>11</v>
      </c>
      <c r="B12" s="151" t="s">
        <v>5</v>
      </c>
      <c r="C12" s="481">
        <v>45770</v>
      </c>
      <c r="D12" s="481">
        <v>45783</v>
      </c>
      <c r="E12" s="146" t="s">
        <v>119</v>
      </c>
      <c r="F12" s="147" t="s">
        <v>313</v>
      </c>
      <c r="G12" s="147">
        <v>48044</v>
      </c>
      <c r="H12" s="146" t="s">
        <v>2491</v>
      </c>
      <c r="I12" s="485" t="s">
        <v>306</v>
      </c>
      <c r="J12" s="147">
        <v>2</v>
      </c>
      <c r="K12" s="147">
        <v>1</v>
      </c>
      <c r="L12" s="147">
        <v>4</v>
      </c>
      <c r="M12" s="375" t="s">
        <v>320</v>
      </c>
      <c r="N12" s="375" t="s">
        <v>320</v>
      </c>
      <c r="O12" s="375" t="s">
        <v>320</v>
      </c>
      <c r="P12" s="375" t="s">
        <v>320</v>
      </c>
      <c r="Q12" s="375" t="s">
        <v>320</v>
      </c>
      <c r="R12" s="375" t="s">
        <v>320</v>
      </c>
      <c r="S12" s="375" t="s">
        <v>320</v>
      </c>
      <c r="T12" s="375" t="s">
        <v>320</v>
      </c>
      <c r="U12" s="375" t="s">
        <v>320</v>
      </c>
      <c r="V12" s="375" t="s">
        <v>320</v>
      </c>
      <c r="W12" s="375" t="s">
        <v>320</v>
      </c>
      <c r="X12" s="375" t="s">
        <v>320</v>
      </c>
      <c r="Y12" s="375" t="s">
        <v>320</v>
      </c>
      <c r="Z12" s="375" t="s">
        <v>320</v>
      </c>
      <c r="AA12" s="375" t="s">
        <v>320</v>
      </c>
      <c r="AB12" s="375" t="s">
        <v>12</v>
      </c>
      <c r="AC12" s="147"/>
      <c r="AD12" s="197"/>
      <c r="AE12" s="197"/>
      <c r="AF12" s="147"/>
      <c r="AG12" s="147"/>
      <c r="AH12" s="147" t="s">
        <v>12</v>
      </c>
      <c r="AI12" s="147" t="s">
        <v>434</v>
      </c>
      <c r="AJ12" s="147" t="s">
        <v>434</v>
      </c>
      <c r="AK12" s="147" t="s">
        <v>434</v>
      </c>
      <c r="AL12" s="482" t="s">
        <v>434</v>
      </c>
      <c r="AM12" s="482"/>
    </row>
    <row r="13" spans="1:39" s="201" customFormat="1" ht="92.25">
      <c r="A13" s="151">
        <v>12</v>
      </c>
      <c r="B13" s="151" t="s">
        <v>5</v>
      </c>
      <c r="C13" s="481">
        <v>45770</v>
      </c>
      <c r="D13" s="520">
        <v>45783</v>
      </c>
      <c r="E13" s="146" t="s">
        <v>3031</v>
      </c>
      <c r="F13" s="146" t="s">
        <v>317</v>
      </c>
      <c r="G13" s="189">
        <v>48023</v>
      </c>
      <c r="H13" s="146" t="s">
        <v>3032</v>
      </c>
      <c r="I13" s="536" t="s">
        <v>399</v>
      </c>
      <c r="J13" s="479">
        <v>3</v>
      </c>
      <c r="K13" s="151"/>
      <c r="L13" s="151"/>
      <c r="M13" s="375" t="s">
        <v>12</v>
      </c>
      <c r="N13" s="375" t="s">
        <v>313</v>
      </c>
      <c r="O13" s="151" t="s">
        <v>3033</v>
      </c>
      <c r="P13" s="375"/>
      <c r="Q13" s="151"/>
      <c r="R13" s="480" t="s">
        <v>3034</v>
      </c>
      <c r="S13" s="530">
        <v>45775</v>
      </c>
      <c r="T13" s="530">
        <v>45775</v>
      </c>
      <c r="U13" s="375" t="s">
        <v>12</v>
      </c>
      <c r="V13" s="151" t="s">
        <v>316</v>
      </c>
      <c r="W13" s="151"/>
      <c r="X13" s="151"/>
      <c r="Y13" s="151"/>
      <c r="Z13" s="151" t="s">
        <v>3035</v>
      </c>
      <c r="AA13" s="151"/>
      <c r="AB13" s="151" t="s">
        <v>3036</v>
      </c>
      <c r="AC13" s="375" t="s">
        <v>3037</v>
      </c>
      <c r="AD13" s="375" t="s">
        <v>3037</v>
      </c>
      <c r="AE13" s="151" t="s">
        <v>3038</v>
      </c>
      <c r="AF13" s="375" t="s">
        <v>3039</v>
      </c>
      <c r="AG13" s="151" t="s">
        <v>3036</v>
      </c>
      <c r="AH13" s="151" t="s">
        <v>3040</v>
      </c>
      <c r="AI13" s="151" t="s">
        <v>434</v>
      </c>
      <c r="AJ13" s="375" t="s">
        <v>3041</v>
      </c>
      <c r="AK13" s="151" t="s">
        <v>3042</v>
      </c>
      <c r="AL13" s="151" t="s">
        <v>3043</v>
      </c>
      <c r="AM13" s="375"/>
    </row>
    <row r="14" spans="1:39" s="201" customFormat="1" ht="92.25">
      <c r="A14" s="151">
        <v>13</v>
      </c>
      <c r="B14" s="536" t="s">
        <v>5</v>
      </c>
      <c r="C14" s="537">
        <v>45770</v>
      </c>
      <c r="D14" s="537">
        <v>45783</v>
      </c>
      <c r="E14" s="189" t="s">
        <v>3044</v>
      </c>
      <c r="F14" s="190" t="s">
        <v>313</v>
      </c>
      <c r="G14" s="190">
        <v>24567</v>
      </c>
      <c r="H14" s="189" t="s">
        <v>3045</v>
      </c>
      <c r="I14" s="536" t="s">
        <v>399</v>
      </c>
      <c r="J14" s="190">
        <v>5</v>
      </c>
      <c r="K14" s="190"/>
      <c r="L14" s="190">
        <v>8</v>
      </c>
      <c r="M14" s="190"/>
      <c r="N14" s="190"/>
      <c r="O14" s="190"/>
      <c r="P14" s="190"/>
      <c r="Q14" s="190"/>
      <c r="R14" s="190"/>
      <c r="S14" s="190"/>
      <c r="T14" s="190"/>
      <c r="U14" s="190"/>
      <c r="V14" s="190"/>
      <c r="W14" s="190"/>
      <c r="X14" s="190"/>
      <c r="Y14" s="190"/>
      <c r="Z14" s="190"/>
      <c r="AA14" s="190"/>
      <c r="AB14" s="189" t="s">
        <v>3046</v>
      </c>
      <c r="AC14" s="190"/>
      <c r="AD14" s="189" t="s">
        <v>3047</v>
      </c>
      <c r="AE14" s="189" t="s">
        <v>3048</v>
      </c>
      <c r="AF14" s="189" t="s">
        <v>3049</v>
      </c>
      <c r="AG14" s="189" t="s">
        <v>3046</v>
      </c>
      <c r="AH14" s="190"/>
      <c r="AI14" s="190"/>
      <c r="AJ14" s="190" t="s">
        <v>3042</v>
      </c>
      <c r="AK14" s="190" t="s">
        <v>3042</v>
      </c>
      <c r="AL14" s="500" t="s">
        <v>3050</v>
      </c>
      <c r="AM14" s="501"/>
    </row>
    <row r="15" spans="1:39" s="201" customFormat="1" ht="23.25">
      <c r="A15" s="536">
        <v>14</v>
      </c>
      <c r="B15" s="536" t="s">
        <v>5</v>
      </c>
      <c r="C15" s="537">
        <v>45770</v>
      </c>
      <c r="D15" s="537">
        <v>45783</v>
      </c>
      <c r="E15" s="189" t="s">
        <v>119</v>
      </c>
      <c r="F15" s="190" t="s">
        <v>317</v>
      </c>
      <c r="G15" s="190">
        <v>86171</v>
      </c>
      <c r="H15" s="189" t="s">
        <v>3051</v>
      </c>
      <c r="I15" s="546" t="s">
        <v>306</v>
      </c>
      <c r="J15" s="190">
        <v>0</v>
      </c>
      <c r="K15" s="201">
        <v>2.25</v>
      </c>
      <c r="L15" s="190">
        <v>9</v>
      </c>
      <c r="M15" s="500" t="s">
        <v>320</v>
      </c>
      <c r="N15" s="500" t="s">
        <v>320</v>
      </c>
      <c r="O15" s="500" t="s">
        <v>320</v>
      </c>
      <c r="P15" s="500" t="s">
        <v>320</v>
      </c>
      <c r="Q15" s="500" t="s">
        <v>320</v>
      </c>
      <c r="R15" s="500" t="s">
        <v>320</v>
      </c>
      <c r="S15" s="500" t="s">
        <v>320</v>
      </c>
      <c r="T15" s="500" t="s">
        <v>320</v>
      </c>
      <c r="U15" s="500" t="s">
        <v>320</v>
      </c>
      <c r="V15" s="500" t="s">
        <v>320</v>
      </c>
      <c r="W15" s="500" t="s">
        <v>320</v>
      </c>
      <c r="X15" s="500" t="s">
        <v>320</v>
      </c>
      <c r="Y15" s="500" t="s">
        <v>320</v>
      </c>
      <c r="Z15" s="500" t="s">
        <v>320</v>
      </c>
      <c r="AA15" s="500" t="s">
        <v>320</v>
      </c>
      <c r="AB15" s="189" t="s">
        <v>3052</v>
      </c>
      <c r="AC15" s="190"/>
      <c r="AD15" s="190"/>
      <c r="AE15" s="190"/>
      <c r="AF15" s="190"/>
      <c r="AG15" s="190"/>
      <c r="AH15" s="190"/>
      <c r="AI15" s="190" t="s">
        <v>3053</v>
      </c>
      <c r="AJ15" s="190" t="s">
        <v>434</v>
      </c>
      <c r="AK15" s="190" t="s">
        <v>434</v>
      </c>
      <c r="AL15" s="501" t="s">
        <v>434</v>
      </c>
      <c r="AM15" s="501"/>
    </row>
    <row r="16" spans="1:39" s="201" customFormat="1" ht="58.5">
      <c r="A16" s="198">
        <v>15</v>
      </c>
      <c r="B16" s="151" t="s">
        <v>5</v>
      </c>
      <c r="C16" s="481">
        <v>45770</v>
      </c>
      <c r="D16" s="481">
        <v>45783</v>
      </c>
      <c r="E16" s="146" t="s">
        <v>3044</v>
      </c>
      <c r="F16" s="197" t="s">
        <v>315</v>
      </c>
      <c r="G16" s="197">
        <v>47276</v>
      </c>
      <c r="H16" s="77" t="s">
        <v>3054</v>
      </c>
      <c r="I16" s="197" t="s">
        <v>369</v>
      </c>
      <c r="J16" s="197">
        <v>2</v>
      </c>
      <c r="K16" s="197"/>
      <c r="L16" s="197">
        <v>5</v>
      </c>
      <c r="M16" s="375" t="s">
        <v>320</v>
      </c>
      <c r="N16" s="375" t="s">
        <v>320</v>
      </c>
      <c r="O16" s="375" t="s">
        <v>320</v>
      </c>
      <c r="P16" s="375" t="s">
        <v>320</v>
      </c>
      <c r="Q16" s="375" t="s">
        <v>320</v>
      </c>
      <c r="R16" s="375" t="s">
        <v>320</v>
      </c>
      <c r="S16" s="375" t="s">
        <v>320</v>
      </c>
      <c r="T16" s="375" t="s">
        <v>320</v>
      </c>
      <c r="U16" s="375" t="s">
        <v>320</v>
      </c>
      <c r="V16" s="375" t="s">
        <v>320</v>
      </c>
      <c r="W16" s="375" t="s">
        <v>320</v>
      </c>
      <c r="X16" s="375" t="s">
        <v>320</v>
      </c>
      <c r="Y16" s="375" t="s">
        <v>320</v>
      </c>
      <c r="Z16" s="375" t="s">
        <v>320</v>
      </c>
      <c r="AA16" s="375" t="s">
        <v>320</v>
      </c>
      <c r="AB16" s="77" t="s">
        <v>3055</v>
      </c>
      <c r="AC16" s="197"/>
      <c r="AD16" s="197"/>
      <c r="AE16" s="197"/>
      <c r="AF16" s="197"/>
      <c r="AG16" s="197"/>
      <c r="AH16" s="197"/>
      <c r="AI16" s="197"/>
      <c r="AJ16" s="197"/>
      <c r="AK16" s="197"/>
      <c r="AL16" s="197" t="s">
        <v>3056</v>
      </c>
      <c r="AM16" s="197"/>
    </row>
    <row r="17" spans="1:39" s="201" customFormat="1"/>
    <row r="18" spans="1:39">
      <c r="A18" s="150"/>
      <c r="B18" s="150"/>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498"/>
      <c r="AM18" s="498"/>
    </row>
    <row r="19" spans="1:39">
      <c r="A19" s="150"/>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row>
    <row r="20" spans="1:39">
      <c r="A20" s="150"/>
      <c r="B20" s="150"/>
      <c r="C20" s="150"/>
      <c r="D20" s="150"/>
      <c r="E20" s="150"/>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c r="AI20" s="150"/>
      <c r="AJ20" s="150"/>
      <c r="AK20" s="150"/>
      <c r="AL20" s="150"/>
      <c r="AM20" s="150"/>
    </row>
    <row r="21" spans="1:39">
      <c r="A21" s="150"/>
      <c r="B21" s="150"/>
      <c r="C21" s="150"/>
      <c r="D21" s="150"/>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row>
    <row r="22" spans="1:39">
      <c r="A22" s="150"/>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row>
    <row r="23" spans="1:39">
      <c r="A23" s="150"/>
      <c r="B23" s="150"/>
      <c r="C23" s="150"/>
      <c r="D23" s="150"/>
      <c r="E23" s="150"/>
      <c r="F23" s="150"/>
      <c r="G23" s="150"/>
      <c r="H23" s="150"/>
      <c r="I23" s="150"/>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row>
    <row r="24" spans="1:39">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row>
  </sheetData>
  <conditionalFormatting sqref="J1 I13">
    <cfRule type="containsText" dxfId="470" priority="64" operator="containsText" text="Closed">
      <formula>NOT(ISERROR(SEARCH("Closed",I1)))</formula>
    </cfRule>
    <cfRule type="containsText" dxfId="469" priority="65" operator="containsText" text="Open">
      <formula>NOT(ISERROR(SEARCH("Open",I1)))</formula>
    </cfRule>
    <cfRule type="containsText" dxfId="468" priority="66" operator="containsText" text="Inprogress">
      <formula>NOT(ISERROR(SEARCH("Inprogress",I1)))</formula>
    </cfRule>
  </conditionalFormatting>
  <conditionalFormatting sqref="I13">
    <cfRule type="containsText" dxfId="467" priority="37" operator="containsText" text="Closed">
      <formula>NOT(ISERROR(SEARCH("Closed",I13)))</formula>
    </cfRule>
    <cfRule type="containsText" dxfId="466" priority="38" operator="containsText" text="Open">
      <formula>NOT(ISERROR(SEARCH("Open",I13)))</formula>
    </cfRule>
    <cfRule type="containsText" dxfId="465" priority="39" operator="containsText" text="Inprogress">
      <formula>NOT(ISERROR(SEARCH("Inprogress",I13)))</formula>
    </cfRule>
  </conditionalFormatting>
  <conditionalFormatting sqref="I14">
    <cfRule type="containsText" dxfId="464" priority="34" operator="containsText" text="Closed">
      <formula>NOT(ISERROR(SEARCH("Closed",I14)))</formula>
    </cfRule>
    <cfRule type="containsText" dxfId="463" priority="35" operator="containsText" text="Open">
      <formula>NOT(ISERROR(SEARCH("Open",I14)))</formula>
    </cfRule>
    <cfRule type="containsText" dxfId="462" priority="36" operator="containsText" text="Inprogress">
      <formula>NOT(ISERROR(SEARCH("Inprogress",I14)))</formula>
    </cfRule>
  </conditionalFormatting>
  <conditionalFormatting sqref="I2">
    <cfRule type="containsText" dxfId="461" priority="31" operator="containsText" text="Closed">
      <formula>NOT(ISERROR(SEARCH("Closed",I2)))</formula>
    </cfRule>
    <cfRule type="containsText" dxfId="460" priority="32" operator="containsText" text="Open">
      <formula>NOT(ISERROR(SEARCH("Open",I2)))</formula>
    </cfRule>
    <cfRule type="containsText" dxfId="459" priority="33" operator="containsText" text="Inprogress">
      <formula>NOT(ISERROR(SEARCH("Inprogress",I2)))</formula>
    </cfRule>
  </conditionalFormatting>
  <conditionalFormatting sqref="I3">
    <cfRule type="containsText" dxfId="458" priority="28" operator="containsText" text="Closed">
      <formula>NOT(ISERROR(SEARCH("Closed",I3)))</formula>
    </cfRule>
    <cfRule type="containsText" dxfId="457" priority="29" operator="containsText" text="Open">
      <formula>NOT(ISERROR(SEARCH("Open",I3)))</formula>
    </cfRule>
    <cfRule type="containsText" dxfId="456" priority="30" operator="containsText" text="Inprogress">
      <formula>NOT(ISERROR(SEARCH("Inprogress",I3)))</formula>
    </cfRule>
  </conditionalFormatting>
  <conditionalFormatting sqref="I4">
    <cfRule type="containsText" dxfId="455" priority="25" operator="containsText" text="Closed">
      <formula>NOT(ISERROR(SEARCH("Closed",I4)))</formula>
    </cfRule>
    <cfRule type="containsText" dxfId="454" priority="26" operator="containsText" text="Open">
      <formula>NOT(ISERROR(SEARCH("Open",I4)))</formula>
    </cfRule>
    <cfRule type="containsText" dxfId="453" priority="27" operator="containsText" text="Inprogress">
      <formula>NOT(ISERROR(SEARCH("Inprogress",I4)))</formula>
    </cfRule>
  </conditionalFormatting>
  <conditionalFormatting sqref="I5">
    <cfRule type="containsText" dxfId="452" priority="22" operator="containsText" text="Closed">
      <formula>NOT(ISERROR(SEARCH("Closed",I5)))</formula>
    </cfRule>
    <cfRule type="containsText" dxfId="451" priority="23" operator="containsText" text="Open">
      <formula>NOT(ISERROR(SEARCH("Open",I5)))</formula>
    </cfRule>
    <cfRule type="containsText" dxfId="450" priority="24" operator="containsText" text="Inprogress">
      <formula>NOT(ISERROR(SEARCH("Inprogress",I5)))</formula>
    </cfRule>
  </conditionalFormatting>
  <conditionalFormatting sqref="I6">
    <cfRule type="containsText" dxfId="449" priority="19" operator="containsText" text="Closed">
      <formula>NOT(ISERROR(SEARCH("Closed",I6)))</formula>
    </cfRule>
    <cfRule type="containsText" dxfId="448" priority="20" operator="containsText" text="Open">
      <formula>NOT(ISERROR(SEARCH("Open",I6)))</formula>
    </cfRule>
    <cfRule type="containsText" dxfId="447" priority="21" operator="containsText" text="Inprogress">
      <formula>NOT(ISERROR(SEARCH("Inprogress",I6)))</formula>
    </cfRule>
  </conditionalFormatting>
  <conditionalFormatting sqref="I8">
    <cfRule type="containsText" dxfId="446" priority="16" operator="containsText" text="Closed">
      <formula>NOT(ISERROR(SEARCH("Closed",I8)))</formula>
    </cfRule>
    <cfRule type="containsText" dxfId="445" priority="17" operator="containsText" text="Open">
      <formula>NOT(ISERROR(SEARCH("Open",I8)))</formula>
    </cfRule>
    <cfRule type="containsText" dxfId="444" priority="18" operator="containsText" text="Inprogress">
      <formula>NOT(ISERROR(SEARCH("Inprogress",I8)))</formula>
    </cfRule>
  </conditionalFormatting>
  <conditionalFormatting sqref="I9">
    <cfRule type="containsText" dxfId="443" priority="13" operator="containsText" text="Closed">
      <formula>NOT(ISERROR(SEARCH("Closed",I9)))</formula>
    </cfRule>
    <cfRule type="containsText" dxfId="442" priority="14" operator="containsText" text="Open">
      <formula>NOT(ISERROR(SEARCH("Open",I9)))</formula>
    </cfRule>
    <cfRule type="containsText" dxfId="441" priority="15" operator="containsText" text="Inprogress">
      <formula>NOT(ISERROR(SEARCH("Inprogress",I9)))</formula>
    </cfRule>
  </conditionalFormatting>
  <conditionalFormatting sqref="I10:I11">
    <cfRule type="containsText" dxfId="440" priority="10" operator="containsText" text="Closed">
      <formula>NOT(ISERROR(SEARCH("Closed",I10)))</formula>
    </cfRule>
    <cfRule type="containsText" dxfId="439" priority="11" operator="containsText" text="Open">
      <formula>NOT(ISERROR(SEARCH("Open",I10)))</formula>
    </cfRule>
    <cfRule type="containsText" dxfId="438" priority="12" operator="containsText" text="Inprogress">
      <formula>NOT(ISERROR(SEARCH("Inprogress",I10)))</formula>
    </cfRule>
  </conditionalFormatting>
  <conditionalFormatting sqref="I12">
    <cfRule type="containsText" dxfId="437" priority="7" operator="containsText" text="Closed">
      <formula>NOT(ISERROR(SEARCH("Closed",I12)))</formula>
    </cfRule>
    <cfRule type="containsText" dxfId="436" priority="8" operator="containsText" text="Open">
      <formula>NOT(ISERROR(SEARCH("Open",I12)))</formula>
    </cfRule>
    <cfRule type="containsText" dxfId="435" priority="9" operator="containsText" text="Inprogress">
      <formula>NOT(ISERROR(SEARCH("Inprogress",I12)))</formula>
    </cfRule>
  </conditionalFormatting>
  <conditionalFormatting sqref="I15">
    <cfRule type="containsText" dxfId="434" priority="4" operator="containsText" text="Closed">
      <formula>NOT(ISERROR(SEARCH("Closed",I15)))</formula>
    </cfRule>
    <cfRule type="containsText" dxfId="433" priority="5" operator="containsText" text="Open">
      <formula>NOT(ISERROR(SEARCH("Open",I15)))</formula>
    </cfRule>
    <cfRule type="containsText" dxfId="432" priority="6" operator="containsText" text="Inprogress">
      <formula>NOT(ISERROR(SEARCH("Inprogress",I15)))</formula>
    </cfRule>
  </conditionalFormatting>
  <conditionalFormatting sqref="I7">
    <cfRule type="containsText" dxfId="431" priority="1" operator="containsText" text="Closed">
      <formula>NOT(ISERROR(SEARCH("Closed",I7)))</formula>
    </cfRule>
    <cfRule type="containsText" dxfId="430" priority="2" operator="containsText" text="Open">
      <formula>NOT(ISERROR(SEARCH("Open",I7)))</formula>
    </cfRule>
    <cfRule type="containsText" dxfId="429" priority="3" operator="containsText" text="Inprogress">
      <formula>NOT(ISERROR(SEARCH("Inprogress",I7)))</formula>
    </cfRule>
  </conditionalFormatting>
  <dataValidations count="10">
    <dataValidation type="list" showErrorMessage="1" sqref="W1:X1 U7 U1 X8:AA9 N8:V9 U13 U10 N11:V12 X11:AA12 U4:U5 M15:AA16 W6:W12 M1:M13 X6:AA6 N6:V6" xr:uid="{39716D0B-0896-46A4-A9E7-5DC5EE474880}">
      <formula1>"Open,Inprogress,Completed,TBD,NA"</formula1>
    </dataValidation>
    <dataValidation type="list" showErrorMessage="1" sqref="Q1:R1 V1 Y1" xr:uid="{D782A5A9-5B5A-479E-86F5-78D582AC677F}">
      <formula1>"No issues found,Issues observed(BacktoDev),DB Script tests in QA DB,NA,TBD"</formula1>
    </dataValidation>
    <dataValidation type="list" showErrorMessage="1" sqref="Z1" xr:uid="{1F2A8BF1-07B6-442F-889E-283F9A26A410}">
      <formula1>"Approved-Satisified AC,Not Approved(Back to Dev),NA,TBD"</formula1>
    </dataValidation>
    <dataValidation type="list" showErrorMessage="1" sqref="AA1:AB1" xr:uid="{610B2FF2-D5EB-4865-934F-4A0964401360}">
      <formula1>"Pending-Waiting for Customer confirmation, Approved-Satisified AC,Not Approved-New minor changes requested(Back to Dev),NA,TBD"</formula1>
    </dataValidation>
    <dataValidation type="list" allowBlank="1" showErrorMessage="1" sqref="J1" xr:uid="{16B7DC4E-15F2-40D6-9C8D-24CF496E2F4C}">
      <formula1>"Open,Inprogress,Closed"</formula1>
    </dataValidation>
    <dataValidation showErrorMessage="1" sqref="I1" xr:uid="{A3F2A84D-FBE1-4AE7-B7C0-C74117677F89}"/>
    <dataValidation allowBlank="1" showInputMessage="1" showErrorMessage="1" sqref="Z5:AA5 Q10 V10 Z2:AA3 O13 V13 V2:V4 Q13 Q7 V7 Y10:AA10 Q2:Q5 Y7:AA7" xr:uid="{3D7DC397-646D-4566-829D-2E8D78804CFC}"/>
    <dataValidation type="list" showErrorMessage="1" sqref="O13 O10 O1:O5 O7" xr:uid="{3FB21FEC-5104-47C1-9E1B-603C0D1088CC}">
      <formula1>"Pass,Fail(BacktoDev),DB Script tests in QA DB,TBD"</formula1>
    </dataValidation>
    <dataValidation type="list" showErrorMessage="1" sqref="P13 P10 P1:P5 P7" xr:uid="{EAE4AC94-8507-4790-8850-2DEEB2B560CC}">
      <formula1>"Qadir,Rijo,Karthik,None,TBD"</formula1>
    </dataValidation>
    <dataValidation type="list" showErrorMessage="1" sqref="N13 N10 N1:N5 N7" xr:uid="{881F2BC1-A399-44D8-A813-47F959805D77}">
      <formula1>"Qadir,Rijo,Karthik,Sushmitha,None,TBD"</formula1>
    </dataValidation>
  </dataValidations>
  <hyperlinks>
    <hyperlink ref="R3" r:id="rId1" xr:uid="{05767179-3B9F-42E0-813B-BEC774B1D70D}"/>
    <hyperlink ref="R13" r:id="rId2" xr:uid="{E7351903-103F-47DA-8A7A-C4968FDE17DC}"/>
    <hyperlink ref="R2" r:id="rId3" xr:uid="{B5F36137-E9EF-4A65-B591-4F079DB70FB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9A5FC67-1537-4E3F-AE76-C60BED313FCF}">
          <x14:formula1>
            <xm:f>Settings!$C$3:$C$20</xm:f>
          </x14:formula1>
          <xm:sqref>I2:I15</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7F9B2-8397-48DE-BDE8-3D3ECD52FE0C}">
  <dimension ref="A1:M14"/>
  <sheetViews>
    <sheetView workbookViewId="0">
      <selection activeCell="H2" sqref="H2"/>
    </sheetView>
  </sheetViews>
  <sheetFormatPr defaultRowHeight="12.75"/>
  <cols>
    <col min="2" max="2" width="14.140625" customWidth="1"/>
    <col min="6" max="6" width="24" customWidth="1"/>
    <col min="7" max="7" width="57" customWidth="1"/>
    <col min="11" max="11" width="14.42578125" customWidth="1"/>
    <col min="12" max="12" width="16.85546875" customWidth="1"/>
    <col min="13" max="13" width="34.5703125" customWidth="1"/>
  </cols>
  <sheetData>
    <row r="1" spans="1:13" ht="40.5">
      <c r="A1" s="542" t="s">
        <v>266</v>
      </c>
      <c r="B1" s="543" t="s">
        <v>10</v>
      </c>
      <c r="C1" s="543" t="s">
        <v>267</v>
      </c>
      <c r="D1" s="543" t="s">
        <v>268</v>
      </c>
      <c r="E1" s="543" t="s">
        <v>269</v>
      </c>
      <c r="F1" s="543" t="s">
        <v>270</v>
      </c>
      <c r="G1" s="543" t="s">
        <v>271</v>
      </c>
      <c r="H1" s="543" t="s">
        <v>272</v>
      </c>
      <c r="I1" s="543" t="s">
        <v>273</v>
      </c>
      <c r="J1" s="543" t="s">
        <v>274</v>
      </c>
      <c r="K1" s="543" t="s">
        <v>275</v>
      </c>
      <c r="L1" s="544" t="s">
        <v>276</v>
      </c>
      <c r="M1" s="527" t="s">
        <v>277</v>
      </c>
    </row>
    <row r="2" spans="1:13" s="462" customFormat="1" ht="58.5">
      <c r="A2" s="216">
        <v>1</v>
      </c>
      <c r="B2" s="236" t="s">
        <v>119</v>
      </c>
      <c r="C2" s="539">
        <v>47936</v>
      </c>
      <c r="D2" s="540"/>
      <c r="E2" s="216" t="s">
        <v>315</v>
      </c>
      <c r="F2" s="541" t="s">
        <v>1668</v>
      </c>
      <c r="G2" s="235" t="s">
        <v>3057</v>
      </c>
      <c r="H2" s="236" t="s">
        <v>1670</v>
      </c>
      <c r="I2" s="541" t="s">
        <v>518</v>
      </c>
      <c r="J2" s="11" t="s">
        <v>525</v>
      </c>
      <c r="K2" s="545" t="s">
        <v>576</v>
      </c>
      <c r="L2" s="513" t="s">
        <v>526</v>
      </c>
      <c r="M2" s="96" t="s">
        <v>3058</v>
      </c>
    </row>
    <row r="3" spans="1:13" s="462" customFormat="1" ht="46.5">
      <c r="A3" s="93">
        <v>2</v>
      </c>
      <c r="B3" s="236" t="s">
        <v>119</v>
      </c>
      <c r="C3" s="157">
        <v>47068</v>
      </c>
      <c r="D3" s="387"/>
      <c r="E3" s="93" t="s">
        <v>313</v>
      </c>
      <c r="F3" s="216" t="s">
        <v>1668</v>
      </c>
      <c r="G3" s="77" t="s">
        <v>3059</v>
      </c>
      <c r="H3" s="11" t="s">
        <v>1670</v>
      </c>
      <c r="I3" s="388" t="s">
        <v>518</v>
      </c>
      <c r="J3" s="11" t="s">
        <v>525</v>
      </c>
      <c r="K3" s="545" t="s">
        <v>576</v>
      </c>
      <c r="L3" s="513" t="s">
        <v>526</v>
      </c>
      <c r="M3" s="96" t="s">
        <v>3060</v>
      </c>
    </row>
    <row r="4" spans="1:13" s="462" customFormat="1"/>
    <row r="5" spans="1:13" s="462" customFormat="1"/>
    <row r="6" spans="1:13" s="462" customFormat="1"/>
    <row r="7" spans="1:13" s="462" customFormat="1"/>
    <row r="8" spans="1:13" s="462" customFormat="1"/>
    <row r="9" spans="1:13" s="462" customFormat="1"/>
    <row r="10" spans="1:13" s="462" customFormat="1"/>
    <row r="11" spans="1:13" s="462" customFormat="1"/>
    <row r="12" spans="1:13" s="462" customFormat="1"/>
    <row r="13" spans="1:13" s="462" customFormat="1"/>
    <row r="14" spans="1:13" s="462" customFormat="1"/>
  </sheetData>
  <dataValidations count="5">
    <dataValidation type="list" allowBlank="1" showErrorMessage="1" sqref="I2:I3" xr:uid="{6232362E-A077-447E-A95E-CF9483C6A4F7}">
      <formula1>"Manual, Automation"</formula1>
    </dataValidation>
    <dataValidation type="list" allowBlank="1" showErrorMessage="1" sqref="H2:H3" xr:uid="{16779EC0-C9B3-40CD-B6B7-F48C8C64B2A8}">
      <formula1>"Minor,Significant,Major"</formula1>
    </dataValidation>
    <dataValidation type="list" allowBlank="1" showErrorMessage="1" sqref="J2:J3" xr:uid="{83D07B7A-B37C-48E5-8EDF-373AFF1DCF9C}">
      <formula1>"Internal,External"</formula1>
    </dataValidation>
    <dataValidation type="list" allowBlank="1" showErrorMessage="1" sqref="F2:F3" xr:uid="{070DF297-30B5-42EF-BC66-D93213FE5572}">
      <formula1>"Bounceback/Sub-Defect,Defect,None"</formula1>
    </dataValidation>
    <dataValidation type="list" allowBlank="1" showErrorMessage="1" sqref="K2:K3" xr:uid="{502B00F6-F3B5-4F51-84E0-C8A0B17C506A}">
      <formula1>"Open,Inprogress,Closed"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8D6158C-1645-4EE5-B938-A601B41D5BD7}">
          <x14:formula1>
            <xm:f>Details!$A$2:$A$10</xm:f>
          </x14:formula1>
          <xm:sqref>L2:L3</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39937-34FC-49BA-B817-4EDD272372C2}">
  <dimension ref="A1:AM27"/>
  <sheetViews>
    <sheetView workbookViewId="0">
      <pane ySplit="1" topLeftCell="L12" activePane="bottomLeft" state="frozen"/>
      <selection pane="bottomLeft" activeCell="L10" sqref="L10"/>
    </sheetView>
  </sheetViews>
  <sheetFormatPr defaultRowHeight="12.75"/>
  <cols>
    <col min="1" max="1" width="9.140625" style="201"/>
    <col min="2" max="2" width="18.7109375" style="201" customWidth="1"/>
    <col min="3" max="3" width="9.140625" style="201"/>
    <col min="4" max="4" width="11.140625" style="201" customWidth="1"/>
    <col min="5" max="5" width="14.140625" style="201" customWidth="1"/>
    <col min="6" max="6" width="19.140625" style="201" customWidth="1"/>
    <col min="7" max="7" width="9.140625" style="201"/>
    <col min="8" max="8" width="50.140625" style="201" customWidth="1"/>
    <col min="9" max="9" width="23.28515625" style="201" customWidth="1"/>
    <col min="10" max="16" width="9.140625" style="201"/>
    <col min="17" max="17" width="24.7109375" style="201" customWidth="1"/>
    <col min="18" max="18" width="20.140625" style="201" customWidth="1"/>
    <col min="19" max="21" width="9.140625" style="201"/>
    <col min="22" max="22" width="14" style="201" customWidth="1"/>
    <col min="23" max="26" width="9.140625" style="201"/>
    <col min="27" max="27" width="14.7109375" style="201" customWidth="1"/>
    <col min="28" max="28" width="20.28515625" style="201" customWidth="1"/>
    <col min="29" max="29" width="19.140625" style="201" customWidth="1"/>
    <col min="30" max="30" width="15" style="201" customWidth="1"/>
    <col min="31" max="31" width="14.140625" style="201" customWidth="1"/>
    <col min="32" max="32" width="12.5703125" style="201" customWidth="1"/>
    <col min="33" max="33" width="14.7109375" style="201" customWidth="1"/>
    <col min="34" max="34" width="12.28515625" style="201" customWidth="1"/>
    <col min="35" max="35" width="33.42578125" style="201" bestFit="1" customWidth="1"/>
    <col min="36" max="36" width="12.7109375" style="201" customWidth="1"/>
    <col min="37" max="37" width="12.42578125" style="201" customWidth="1"/>
    <col min="38" max="16384" width="9.140625" style="201"/>
  </cols>
  <sheetData>
    <row r="1" spans="1:39" ht="67.5">
      <c r="A1" s="247" t="s">
        <v>266</v>
      </c>
      <c r="B1" s="247" t="s">
        <v>4</v>
      </c>
      <c r="C1" s="247" t="s">
        <v>2</v>
      </c>
      <c r="D1" s="247" t="s">
        <v>3</v>
      </c>
      <c r="E1" s="247" t="s">
        <v>278</v>
      </c>
      <c r="F1" s="247" t="s">
        <v>269</v>
      </c>
      <c r="G1" s="247" t="s">
        <v>279</v>
      </c>
      <c r="H1" s="247" t="s">
        <v>280</v>
      </c>
      <c r="I1" s="247" t="s">
        <v>275</v>
      </c>
      <c r="J1" s="247" t="s">
        <v>281</v>
      </c>
      <c r="K1" s="247" t="s">
        <v>282</v>
      </c>
      <c r="L1" s="247" t="s">
        <v>283</v>
      </c>
      <c r="M1" s="247" t="s">
        <v>286</v>
      </c>
      <c r="N1" s="247" t="s">
        <v>287</v>
      </c>
      <c r="O1" s="247" t="s">
        <v>288</v>
      </c>
      <c r="P1" s="247" t="s">
        <v>289</v>
      </c>
      <c r="Q1" s="247" t="s">
        <v>290</v>
      </c>
      <c r="R1" s="247" t="s">
        <v>291</v>
      </c>
      <c r="S1" s="516" t="s">
        <v>292</v>
      </c>
      <c r="T1" s="516" t="s">
        <v>293</v>
      </c>
      <c r="U1" s="247" t="s">
        <v>294</v>
      </c>
      <c r="V1" s="247" t="s">
        <v>295</v>
      </c>
      <c r="W1" s="247" t="s">
        <v>296</v>
      </c>
      <c r="X1" s="516" t="s">
        <v>297</v>
      </c>
      <c r="Y1" s="247" t="s">
        <v>298</v>
      </c>
      <c r="Z1" s="247" t="s">
        <v>299</v>
      </c>
      <c r="AA1" s="247" t="s">
        <v>300</v>
      </c>
      <c r="AB1" s="517" t="s">
        <v>277</v>
      </c>
      <c r="AC1" s="518">
        <v>45756</v>
      </c>
      <c r="AD1" s="518">
        <v>45757</v>
      </c>
      <c r="AE1" s="518">
        <v>45758</v>
      </c>
      <c r="AF1" s="518">
        <v>45761</v>
      </c>
      <c r="AG1" s="518">
        <v>45762</v>
      </c>
      <c r="AH1" s="518">
        <v>45763</v>
      </c>
      <c r="AI1" s="518">
        <v>45764</v>
      </c>
      <c r="AJ1" s="518" t="s">
        <v>3061</v>
      </c>
      <c r="AK1" s="518">
        <v>45768</v>
      </c>
      <c r="AL1" s="518">
        <v>45755</v>
      </c>
      <c r="AM1" s="519"/>
    </row>
    <row r="2" spans="1:39" s="375" customFormat="1" ht="150.75">
      <c r="A2" s="151">
        <v>1</v>
      </c>
      <c r="B2" s="151" t="s">
        <v>5</v>
      </c>
      <c r="C2" s="481">
        <v>45904</v>
      </c>
      <c r="D2" s="520" t="s">
        <v>3062</v>
      </c>
      <c r="E2" s="146" t="s">
        <v>114</v>
      </c>
      <c r="F2" s="146" t="s">
        <v>315</v>
      </c>
      <c r="G2" s="146" t="s">
        <v>3063</v>
      </c>
      <c r="H2" s="146" t="s">
        <v>3064</v>
      </c>
      <c r="I2" s="485" t="s">
        <v>306</v>
      </c>
      <c r="J2" s="479">
        <v>2</v>
      </c>
      <c r="K2" s="151">
        <v>3</v>
      </c>
      <c r="L2" s="151">
        <v>12</v>
      </c>
      <c r="M2" s="375" t="s">
        <v>319</v>
      </c>
      <c r="N2" s="375" t="s">
        <v>313</v>
      </c>
      <c r="O2" s="375" t="s">
        <v>115</v>
      </c>
      <c r="P2" s="375" t="s">
        <v>317</v>
      </c>
      <c r="Q2" s="151" t="s">
        <v>3065</v>
      </c>
      <c r="R2" s="480" t="s">
        <v>3066</v>
      </c>
      <c r="S2" s="530">
        <v>45762</v>
      </c>
      <c r="T2" s="530">
        <v>45762</v>
      </c>
      <c r="U2" s="375" t="s">
        <v>12</v>
      </c>
      <c r="V2" s="151" t="s">
        <v>3065</v>
      </c>
      <c r="W2" s="375" t="s">
        <v>319</v>
      </c>
      <c r="X2" s="150" t="s">
        <v>320</v>
      </c>
      <c r="Y2" s="150" t="s">
        <v>320</v>
      </c>
      <c r="Z2" s="150" t="s">
        <v>320</v>
      </c>
      <c r="AA2" s="375" t="s">
        <v>3067</v>
      </c>
      <c r="AB2" s="151" t="s">
        <v>3068</v>
      </c>
      <c r="AC2" s="375" t="s">
        <v>3069</v>
      </c>
      <c r="AD2" s="151" t="s">
        <v>3070</v>
      </c>
      <c r="AE2" s="151" t="s">
        <v>3071</v>
      </c>
      <c r="AF2" s="375" t="s">
        <v>3072</v>
      </c>
      <c r="AG2" s="151" t="s">
        <v>3073</v>
      </c>
      <c r="AH2" s="151" t="s">
        <v>3074</v>
      </c>
      <c r="AI2" s="151" t="s">
        <v>3075</v>
      </c>
      <c r="AJ2" s="151"/>
      <c r="AK2" s="151" t="s">
        <v>3076</v>
      </c>
      <c r="AL2" s="151" t="s">
        <v>3077</v>
      </c>
      <c r="AM2" s="151"/>
    </row>
    <row r="3" spans="1:39" s="375" customFormat="1" ht="150.75">
      <c r="A3" s="151">
        <v>2</v>
      </c>
      <c r="B3" s="151" t="s">
        <v>5</v>
      </c>
      <c r="C3" s="481">
        <v>45904</v>
      </c>
      <c r="D3" s="520" t="s">
        <v>3062</v>
      </c>
      <c r="E3" s="146" t="s">
        <v>114</v>
      </c>
      <c r="F3" s="146" t="s">
        <v>315</v>
      </c>
      <c r="G3" s="146" t="s">
        <v>3078</v>
      </c>
      <c r="H3" s="146" t="s">
        <v>3079</v>
      </c>
      <c r="I3" s="485" t="s">
        <v>306</v>
      </c>
      <c r="J3" s="479">
        <v>2</v>
      </c>
      <c r="K3" s="151">
        <v>6.25</v>
      </c>
      <c r="L3" s="151">
        <v>25</v>
      </c>
      <c r="M3" s="375" t="s">
        <v>319</v>
      </c>
      <c r="N3" s="375" t="s">
        <v>313</v>
      </c>
      <c r="O3" s="375" t="s">
        <v>115</v>
      </c>
      <c r="P3" s="375" t="s">
        <v>317</v>
      </c>
      <c r="Q3" s="151" t="s">
        <v>316</v>
      </c>
      <c r="R3" s="480" t="s">
        <v>3066</v>
      </c>
      <c r="S3" s="530">
        <v>45762</v>
      </c>
      <c r="T3" s="530">
        <v>45762</v>
      </c>
      <c r="U3" s="375" t="s">
        <v>12</v>
      </c>
      <c r="V3" s="151" t="s">
        <v>316</v>
      </c>
      <c r="W3" s="375" t="s">
        <v>319</v>
      </c>
      <c r="X3" s="150" t="s">
        <v>320</v>
      </c>
      <c r="Y3" s="150" t="s">
        <v>320</v>
      </c>
      <c r="Z3" s="76" t="s">
        <v>2516</v>
      </c>
      <c r="AA3" s="76" t="s">
        <v>2516</v>
      </c>
      <c r="AB3" s="151" t="s">
        <v>3068</v>
      </c>
      <c r="AC3" s="151" t="s">
        <v>3080</v>
      </c>
      <c r="AD3" s="151" t="s">
        <v>3070</v>
      </c>
      <c r="AE3" s="151" t="s">
        <v>3071</v>
      </c>
      <c r="AF3" s="375" t="s">
        <v>3072</v>
      </c>
      <c r="AG3" s="151" t="s">
        <v>3073</v>
      </c>
      <c r="AH3" s="151" t="s">
        <v>3074</v>
      </c>
      <c r="AI3" s="151" t="s">
        <v>3075</v>
      </c>
      <c r="AK3" s="151" t="s">
        <v>854</v>
      </c>
      <c r="AL3" s="151" t="s">
        <v>3077</v>
      </c>
    </row>
    <row r="4" spans="1:39" s="375" customFormat="1" ht="150.75">
      <c r="A4" s="151">
        <v>3</v>
      </c>
      <c r="B4" s="151" t="s">
        <v>5</v>
      </c>
      <c r="C4" s="481">
        <v>45904</v>
      </c>
      <c r="D4" s="520" t="s">
        <v>3062</v>
      </c>
      <c r="E4" s="146" t="s">
        <v>114</v>
      </c>
      <c r="F4" s="146" t="s">
        <v>315</v>
      </c>
      <c r="G4" s="146" t="s">
        <v>3081</v>
      </c>
      <c r="H4" s="146" t="s">
        <v>3082</v>
      </c>
      <c r="I4" s="485" t="s">
        <v>306</v>
      </c>
      <c r="J4" s="479">
        <v>2</v>
      </c>
      <c r="K4" s="151">
        <v>4</v>
      </c>
      <c r="L4" s="151">
        <v>16.5</v>
      </c>
      <c r="M4" s="375" t="s">
        <v>319</v>
      </c>
      <c r="N4" s="375" t="s">
        <v>313</v>
      </c>
      <c r="O4" s="375" t="s">
        <v>115</v>
      </c>
      <c r="P4" s="375" t="s">
        <v>317</v>
      </c>
      <c r="Q4" s="151" t="s">
        <v>316</v>
      </c>
      <c r="R4" s="480" t="s">
        <v>3066</v>
      </c>
      <c r="S4" s="530">
        <v>45762</v>
      </c>
      <c r="T4" s="530">
        <v>45762</v>
      </c>
      <c r="U4" s="375" t="s">
        <v>12</v>
      </c>
      <c r="V4" s="151" t="s">
        <v>316</v>
      </c>
      <c r="W4" s="375" t="s">
        <v>319</v>
      </c>
      <c r="X4" s="150" t="s">
        <v>320</v>
      </c>
      <c r="Y4" s="150" t="s">
        <v>320</v>
      </c>
      <c r="Z4" s="76" t="s">
        <v>2516</v>
      </c>
      <c r="AA4" s="76" t="s">
        <v>2516</v>
      </c>
      <c r="AB4" s="151" t="s">
        <v>3068</v>
      </c>
      <c r="AC4" s="375" t="s">
        <v>1241</v>
      </c>
      <c r="AD4" s="151" t="s">
        <v>3070</v>
      </c>
      <c r="AE4" s="151" t="s">
        <v>3083</v>
      </c>
      <c r="AF4" s="375" t="s">
        <v>3072</v>
      </c>
      <c r="AG4" s="151" t="s">
        <v>3073</v>
      </c>
      <c r="AH4" s="151" t="s">
        <v>3074</v>
      </c>
      <c r="AI4" s="151" t="s">
        <v>3075</v>
      </c>
      <c r="AK4" s="151" t="s">
        <v>854</v>
      </c>
      <c r="AL4" s="151" t="s">
        <v>3077</v>
      </c>
    </row>
    <row r="5" spans="1:39" s="375" customFormat="1" ht="84.75" customHeight="1">
      <c r="A5" s="490">
        <v>4</v>
      </c>
      <c r="B5" s="490" t="s">
        <v>5</v>
      </c>
      <c r="C5" s="531">
        <v>45904</v>
      </c>
      <c r="D5" s="532" t="s">
        <v>3062</v>
      </c>
      <c r="E5" s="77" t="s">
        <v>114</v>
      </c>
      <c r="F5" s="533" t="s">
        <v>313</v>
      </c>
      <c r="G5" s="533">
        <v>24971</v>
      </c>
      <c r="H5" s="533" t="s">
        <v>3084</v>
      </c>
      <c r="I5" s="486" t="s">
        <v>376</v>
      </c>
      <c r="J5" s="490">
        <v>2</v>
      </c>
      <c r="K5" s="490">
        <v>3.5</v>
      </c>
      <c r="L5" s="490">
        <v>14</v>
      </c>
      <c r="M5" s="490" t="s">
        <v>12</v>
      </c>
      <c r="N5" s="490" t="s">
        <v>315</v>
      </c>
      <c r="O5" s="490" t="s">
        <v>316</v>
      </c>
      <c r="P5" s="490" t="s">
        <v>317</v>
      </c>
      <c r="Q5" s="490" t="s">
        <v>316</v>
      </c>
      <c r="R5" s="201" t="s">
        <v>320</v>
      </c>
      <c r="S5" s="201" t="s">
        <v>320</v>
      </c>
      <c r="T5" s="201" t="s">
        <v>320</v>
      </c>
      <c r="U5" s="201" t="s">
        <v>320</v>
      </c>
      <c r="V5" s="201" t="s">
        <v>320</v>
      </c>
      <c r="W5" s="201" t="s">
        <v>320</v>
      </c>
      <c r="X5" s="201" t="s">
        <v>320</v>
      </c>
      <c r="Y5" s="201" t="s">
        <v>320</v>
      </c>
      <c r="Z5" s="76" t="s">
        <v>2516</v>
      </c>
      <c r="AA5" s="76" t="s">
        <v>2516</v>
      </c>
      <c r="AB5" s="375" t="s">
        <v>1431</v>
      </c>
      <c r="AC5" s="375" t="s">
        <v>3085</v>
      </c>
      <c r="AD5" s="375" t="s">
        <v>3086</v>
      </c>
      <c r="AE5" s="375" t="s">
        <v>3087</v>
      </c>
      <c r="AF5" s="375" t="s">
        <v>3088</v>
      </c>
      <c r="AG5" s="375" t="s">
        <v>3089</v>
      </c>
      <c r="AH5" s="375" t="s">
        <v>3090</v>
      </c>
      <c r="AI5" s="375" t="s">
        <v>945</v>
      </c>
      <c r="AK5" s="375" t="s">
        <v>434</v>
      </c>
      <c r="AL5" s="375" t="s">
        <v>434</v>
      </c>
    </row>
    <row r="6" spans="1:39" s="375" customFormat="1" ht="115.5">
      <c r="A6" s="151">
        <v>5</v>
      </c>
      <c r="B6" s="151" t="s">
        <v>5</v>
      </c>
      <c r="C6" s="481">
        <v>45904</v>
      </c>
      <c r="D6" s="520" t="s">
        <v>3062</v>
      </c>
      <c r="E6" s="146" t="s">
        <v>114</v>
      </c>
      <c r="F6" s="375" t="s">
        <v>1692</v>
      </c>
      <c r="G6" s="375">
        <v>47275</v>
      </c>
      <c r="H6" s="375" t="s">
        <v>3091</v>
      </c>
      <c r="I6" s="485" t="s">
        <v>306</v>
      </c>
      <c r="J6" s="490">
        <v>3</v>
      </c>
      <c r="K6" s="151">
        <v>8</v>
      </c>
      <c r="L6" s="151">
        <v>32</v>
      </c>
      <c r="M6" s="151" t="s">
        <v>320</v>
      </c>
      <c r="N6" s="151" t="s">
        <v>115</v>
      </c>
      <c r="O6" s="151" t="s">
        <v>1207</v>
      </c>
      <c r="P6" s="151" t="s">
        <v>115</v>
      </c>
      <c r="Q6" s="151" t="s">
        <v>320</v>
      </c>
      <c r="R6" s="201" t="s">
        <v>320</v>
      </c>
      <c r="S6" s="201" t="s">
        <v>320</v>
      </c>
      <c r="T6" s="201" t="s">
        <v>320</v>
      </c>
      <c r="U6" s="201" t="s">
        <v>320</v>
      </c>
      <c r="V6" s="201" t="s">
        <v>320</v>
      </c>
      <c r="W6" s="201" t="s">
        <v>320</v>
      </c>
      <c r="X6" s="201" t="s">
        <v>320</v>
      </c>
      <c r="Y6" s="201" t="s">
        <v>320</v>
      </c>
      <c r="Z6" s="201" t="s">
        <v>320</v>
      </c>
      <c r="AA6" s="201" t="s">
        <v>320</v>
      </c>
      <c r="AB6" s="375" t="s">
        <v>3092</v>
      </c>
      <c r="AF6" s="375" t="s">
        <v>3093</v>
      </c>
      <c r="AG6" s="375" t="s">
        <v>3094</v>
      </c>
      <c r="AH6" s="375" t="s">
        <v>3095</v>
      </c>
      <c r="AI6" s="375" t="s">
        <v>3096</v>
      </c>
      <c r="AK6" s="375" t="s">
        <v>3097</v>
      </c>
      <c r="AL6" s="375" t="s">
        <v>3098</v>
      </c>
    </row>
    <row r="7" spans="1:39" s="375" customFormat="1" ht="127.5">
      <c r="A7" s="151">
        <v>6</v>
      </c>
      <c r="B7" s="151" t="s">
        <v>5</v>
      </c>
      <c r="C7" s="481">
        <v>45904</v>
      </c>
      <c r="D7" s="520" t="s">
        <v>3062</v>
      </c>
      <c r="E7" s="146" t="s">
        <v>114</v>
      </c>
      <c r="F7" s="375" t="s">
        <v>2251</v>
      </c>
      <c r="G7" s="375">
        <v>47366</v>
      </c>
      <c r="H7" s="375" t="s">
        <v>3099</v>
      </c>
      <c r="I7" s="485" t="s">
        <v>306</v>
      </c>
      <c r="J7" s="151">
        <v>2</v>
      </c>
      <c r="K7" s="151">
        <v>2.25</v>
      </c>
      <c r="L7" s="151">
        <v>9</v>
      </c>
      <c r="M7" s="151" t="s">
        <v>320</v>
      </c>
      <c r="N7" s="151" t="s">
        <v>317</v>
      </c>
      <c r="O7" s="151" t="s">
        <v>316</v>
      </c>
      <c r="P7" s="151" t="s">
        <v>317</v>
      </c>
      <c r="Q7" s="151" t="s">
        <v>316</v>
      </c>
      <c r="R7" s="480" t="s">
        <v>3100</v>
      </c>
      <c r="S7" s="481" t="s">
        <v>3101</v>
      </c>
      <c r="T7" s="481" t="s">
        <v>3102</v>
      </c>
      <c r="U7" s="151" t="s">
        <v>12</v>
      </c>
      <c r="V7" s="151" t="s">
        <v>320</v>
      </c>
      <c r="W7" s="151" t="s">
        <v>12</v>
      </c>
      <c r="X7" s="481" t="s">
        <v>320</v>
      </c>
      <c r="Y7" s="151" t="s">
        <v>320</v>
      </c>
      <c r="Z7" s="151" t="s">
        <v>320</v>
      </c>
      <c r="AA7" s="151" t="s">
        <v>320</v>
      </c>
      <c r="AB7" s="375" t="s">
        <v>3103</v>
      </c>
      <c r="AD7" s="375" t="s">
        <v>3104</v>
      </c>
      <c r="AE7" s="375" t="s">
        <v>3105</v>
      </c>
      <c r="AF7" s="375" t="s">
        <v>3105</v>
      </c>
      <c r="AG7" s="375" t="s">
        <v>3106</v>
      </c>
      <c r="AH7" s="375" t="s">
        <v>3107</v>
      </c>
      <c r="AI7" s="375" t="s">
        <v>562</v>
      </c>
      <c r="AK7" s="375" t="s">
        <v>434</v>
      </c>
      <c r="AL7" s="375" t="s">
        <v>434</v>
      </c>
    </row>
    <row r="8" spans="1:39" s="375" customFormat="1" ht="266.25">
      <c r="A8" s="151">
        <v>7</v>
      </c>
      <c r="B8" s="151" t="s">
        <v>5</v>
      </c>
      <c r="C8" s="481">
        <v>45904</v>
      </c>
      <c r="D8" s="520" t="s">
        <v>3062</v>
      </c>
      <c r="E8" s="146" t="s">
        <v>114</v>
      </c>
      <c r="F8" s="375" t="s">
        <v>317</v>
      </c>
      <c r="G8" s="375">
        <v>46800</v>
      </c>
      <c r="H8" s="375" t="s">
        <v>3108</v>
      </c>
      <c r="I8" s="485" t="s">
        <v>306</v>
      </c>
      <c r="J8" s="151">
        <v>3</v>
      </c>
      <c r="K8" s="151">
        <v>8.81</v>
      </c>
      <c r="L8" s="151">
        <v>35.25</v>
      </c>
      <c r="M8" s="151" t="s">
        <v>12</v>
      </c>
      <c r="N8" s="151" t="s">
        <v>315</v>
      </c>
      <c r="O8" s="151" t="s">
        <v>316</v>
      </c>
      <c r="P8" s="151" t="s">
        <v>313</v>
      </c>
      <c r="Q8" s="151" t="s">
        <v>316</v>
      </c>
      <c r="R8" s="480" t="s">
        <v>3109</v>
      </c>
      <c r="S8" s="481">
        <v>45768</v>
      </c>
      <c r="T8" s="481">
        <v>45768</v>
      </c>
      <c r="U8" s="151" t="s">
        <v>12</v>
      </c>
      <c r="V8" s="151" t="s">
        <v>320</v>
      </c>
      <c r="W8" s="151" t="s">
        <v>12</v>
      </c>
      <c r="X8" s="481" t="s">
        <v>320</v>
      </c>
      <c r="Y8" s="151" t="s">
        <v>320</v>
      </c>
      <c r="Z8" s="151" t="s">
        <v>3110</v>
      </c>
      <c r="AA8" s="151" t="s">
        <v>3111</v>
      </c>
      <c r="AB8" s="375" t="s">
        <v>3112</v>
      </c>
      <c r="AC8" s="375" t="s">
        <v>3113</v>
      </c>
      <c r="AD8" s="375" t="s">
        <v>3114</v>
      </c>
      <c r="AE8" s="375" t="s">
        <v>3115</v>
      </c>
      <c r="AF8" s="375" t="s">
        <v>3116</v>
      </c>
      <c r="AG8" s="375" t="s">
        <v>3117</v>
      </c>
      <c r="AH8" s="375" t="s">
        <v>3118</v>
      </c>
      <c r="AI8" s="375" t="s">
        <v>3119</v>
      </c>
      <c r="AK8" s="375" t="s">
        <v>3120</v>
      </c>
      <c r="AL8" s="375" t="s">
        <v>3121</v>
      </c>
    </row>
    <row r="9" spans="1:39" s="375" customFormat="1" ht="58.5">
      <c r="A9" s="375">
        <v>8</v>
      </c>
      <c r="B9" s="151" t="s">
        <v>5</v>
      </c>
      <c r="C9" s="481">
        <v>45904</v>
      </c>
      <c r="D9" s="520" t="s">
        <v>3062</v>
      </c>
      <c r="E9" s="146" t="s">
        <v>114</v>
      </c>
      <c r="F9" s="375" t="s">
        <v>3122</v>
      </c>
      <c r="G9" s="523">
        <v>47794</v>
      </c>
      <c r="H9" s="375" t="s">
        <v>3123</v>
      </c>
      <c r="I9" s="485" t="s">
        <v>306</v>
      </c>
      <c r="J9" s="151">
        <v>3</v>
      </c>
      <c r="K9" s="151">
        <v>1.1200000000000001</v>
      </c>
      <c r="L9" s="151">
        <v>4.5</v>
      </c>
      <c r="M9" s="151"/>
      <c r="N9" s="151"/>
      <c r="O9" s="151"/>
      <c r="P9" s="151"/>
      <c r="Q9" s="151"/>
      <c r="R9" s="480"/>
      <c r="S9" s="481"/>
      <c r="T9" s="481"/>
      <c r="U9" s="151"/>
      <c r="V9" s="151"/>
      <c r="W9" s="151"/>
      <c r="X9" s="481"/>
      <c r="Y9" s="151"/>
      <c r="Z9" s="151"/>
      <c r="AA9" s="151"/>
      <c r="AB9" s="375" t="s">
        <v>3124</v>
      </c>
      <c r="AG9" s="375" t="s">
        <v>3125</v>
      </c>
      <c r="AH9" s="375" t="s">
        <v>3126</v>
      </c>
      <c r="AI9" s="375" t="s">
        <v>854</v>
      </c>
      <c r="AK9" s="375" t="s">
        <v>434</v>
      </c>
      <c r="AL9" s="375" t="s">
        <v>434</v>
      </c>
    </row>
    <row r="10" spans="1:39" s="375" customFormat="1" ht="115.5">
      <c r="A10" s="151">
        <v>9</v>
      </c>
      <c r="B10" s="151" t="s">
        <v>5</v>
      </c>
      <c r="C10" s="481">
        <v>45904</v>
      </c>
      <c r="D10" s="520" t="s">
        <v>3062</v>
      </c>
      <c r="E10" s="146" t="s">
        <v>3127</v>
      </c>
      <c r="F10" s="375" t="s">
        <v>1216</v>
      </c>
      <c r="G10" s="523">
        <v>47842</v>
      </c>
      <c r="H10" s="375" t="s">
        <v>2798</v>
      </c>
      <c r="I10" s="151" t="s">
        <v>399</v>
      </c>
      <c r="J10" s="151">
        <v>3</v>
      </c>
      <c r="K10" s="151"/>
      <c r="L10" s="151">
        <v>4</v>
      </c>
      <c r="M10" s="151" t="s">
        <v>320</v>
      </c>
      <c r="N10" s="151" t="s">
        <v>115</v>
      </c>
      <c r="O10" s="151" t="s">
        <v>1207</v>
      </c>
      <c r="P10" s="151" t="s">
        <v>115</v>
      </c>
      <c r="Q10" s="151" t="s">
        <v>320</v>
      </c>
      <c r="R10" s="480" t="s">
        <v>320</v>
      </c>
      <c r="S10" s="481" t="s">
        <v>320</v>
      </c>
      <c r="T10" s="481" t="s">
        <v>320</v>
      </c>
      <c r="U10" s="151" t="s">
        <v>320</v>
      </c>
      <c r="V10" s="151" t="s">
        <v>320</v>
      </c>
      <c r="W10" s="151" t="s">
        <v>320</v>
      </c>
      <c r="X10" s="481" t="s">
        <v>320</v>
      </c>
      <c r="Y10" s="151" t="s">
        <v>320</v>
      </c>
      <c r="Z10" s="151" t="s">
        <v>320</v>
      </c>
      <c r="AA10" s="151" t="s">
        <v>320</v>
      </c>
      <c r="AB10" s="375" t="s">
        <v>3128</v>
      </c>
    </row>
    <row r="11" spans="1:39" s="375" customFormat="1" ht="46.5">
      <c r="A11" s="375">
        <v>10</v>
      </c>
      <c r="B11" s="151" t="s">
        <v>5</v>
      </c>
      <c r="C11" s="481">
        <v>45904</v>
      </c>
      <c r="D11" s="520" t="s">
        <v>3062</v>
      </c>
      <c r="E11" s="146" t="s">
        <v>3127</v>
      </c>
      <c r="F11" s="375" t="s">
        <v>313</v>
      </c>
      <c r="G11" s="135">
        <v>47068</v>
      </c>
      <c r="H11" s="375" t="s">
        <v>3003</v>
      </c>
      <c r="I11" s="151" t="s">
        <v>338</v>
      </c>
      <c r="J11" s="151">
        <v>2</v>
      </c>
      <c r="K11" s="151"/>
      <c r="L11" s="151">
        <v>12</v>
      </c>
      <c r="M11" s="490" t="s">
        <v>12</v>
      </c>
      <c r="N11" s="490" t="s">
        <v>315</v>
      </c>
      <c r="O11" s="490" t="s">
        <v>316</v>
      </c>
      <c r="P11" s="490" t="s">
        <v>317</v>
      </c>
      <c r="Q11" s="490" t="s">
        <v>316</v>
      </c>
      <c r="R11" s="480"/>
      <c r="S11" s="481"/>
      <c r="T11" s="481"/>
      <c r="U11" s="151"/>
      <c r="V11" s="151"/>
      <c r="W11" s="151"/>
      <c r="X11" s="481"/>
      <c r="Y11" s="151"/>
      <c r="Z11" s="76" t="s">
        <v>2516</v>
      </c>
      <c r="AA11" s="76" t="s">
        <v>2516</v>
      </c>
      <c r="AB11" s="116" t="s">
        <v>3129</v>
      </c>
      <c r="AI11" s="375" t="s">
        <v>3130</v>
      </c>
      <c r="AK11" s="375" t="s">
        <v>2526</v>
      </c>
      <c r="AL11" s="375" t="s">
        <v>2414</v>
      </c>
    </row>
    <row r="12" spans="1:39" s="482" customFormat="1" ht="81">
      <c r="A12" s="482">
        <v>11</v>
      </c>
      <c r="B12" s="151" t="s">
        <v>5</v>
      </c>
      <c r="C12" s="481">
        <v>45904</v>
      </c>
      <c r="D12" s="520" t="s">
        <v>3062</v>
      </c>
      <c r="E12" s="146" t="s">
        <v>3127</v>
      </c>
      <c r="F12" s="146" t="s">
        <v>315</v>
      </c>
      <c r="G12" s="504" t="s">
        <v>3131</v>
      </c>
      <c r="H12" s="375" t="s">
        <v>2993</v>
      </c>
      <c r="I12" s="151" t="s">
        <v>399</v>
      </c>
      <c r="J12" s="151">
        <v>5</v>
      </c>
      <c r="K12" s="151"/>
      <c r="L12" s="151">
        <v>9.75</v>
      </c>
      <c r="M12" s="151"/>
      <c r="N12" s="151"/>
      <c r="O12" s="151"/>
      <c r="P12" s="151"/>
      <c r="Q12" s="151"/>
      <c r="R12" s="480"/>
      <c r="S12" s="481"/>
      <c r="T12" s="481"/>
      <c r="U12" s="151"/>
      <c r="V12" s="151"/>
      <c r="W12" s="151"/>
      <c r="X12" s="481"/>
      <c r="Y12" s="151"/>
      <c r="Z12" s="151"/>
      <c r="AA12" s="151"/>
      <c r="AB12" s="375" t="s">
        <v>3132</v>
      </c>
      <c r="AI12" s="482" t="s">
        <v>3133</v>
      </c>
      <c r="AK12" s="375" t="s">
        <v>1601</v>
      </c>
      <c r="AL12" s="375" t="s">
        <v>3132</v>
      </c>
    </row>
    <row r="13" spans="1:39" s="482" customFormat="1" ht="92.25">
      <c r="AC13" s="375"/>
      <c r="AD13" s="375"/>
      <c r="AE13" s="375"/>
      <c r="AF13" s="375" t="s">
        <v>3134</v>
      </c>
      <c r="AG13" s="375" t="s">
        <v>3135</v>
      </c>
      <c r="AH13" s="375" t="s">
        <v>3136</v>
      </c>
      <c r="AI13" s="375" t="s">
        <v>3137</v>
      </c>
      <c r="AJ13" s="375"/>
      <c r="AK13" s="375" t="s">
        <v>1601</v>
      </c>
      <c r="AL13" s="375" t="s">
        <v>1601</v>
      </c>
      <c r="AM13" s="375"/>
    </row>
    <row r="14" spans="1:39" s="147" customFormat="1">
      <c r="AL14" s="482"/>
      <c r="AM14" s="482"/>
    </row>
    <row r="15" spans="1:39" s="150" customFormat="1">
      <c r="AL15" s="498"/>
      <c r="AM15" s="498"/>
    </row>
    <row r="16" spans="1:39" s="150" customFormat="1">
      <c r="AL16" s="482"/>
      <c r="AM16" s="482"/>
    </row>
    <row r="17" spans="38:39" s="150" customFormat="1">
      <c r="AL17" s="482"/>
      <c r="AM17" s="482"/>
    </row>
    <row r="18" spans="38:39" s="150" customFormat="1"/>
    <row r="19" spans="38:39" s="150" customFormat="1"/>
    <row r="20" spans="38:39" s="150" customFormat="1"/>
    <row r="21" spans="38:39" s="150" customFormat="1"/>
    <row r="22" spans="38:39" s="150" customFormat="1"/>
    <row r="23" spans="38:39" s="150" customFormat="1"/>
    <row r="24" spans="38:39" s="150" customFormat="1"/>
    <row r="25" spans="38:39" s="150" customFormat="1"/>
    <row r="26" spans="38:39" s="150" customFormat="1"/>
    <row r="27" spans="38:39" s="150" customFormat="1"/>
  </sheetData>
  <conditionalFormatting sqref="J1 I10:I12">
    <cfRule type="containsText" dxfId="428" priority="34" operator="containsText" text="Closed">
      <formula>NOT(ISERROR(SEARCH("Closed",I1)))</formula>
    </cfRule>
    <cfRule type="containsText" dxfId="427" priority="35" operator="containsText" text="Open">
      <formula>NOT(ISERROR(SEARCH("Open",I1)))</formula>
    </cfRule>
    <cfRule type="containsText" dxfId="426" priority="36" operator="containsText" text="Inprogress">
      <formula>NOT(ISERROR(SEARCH("Inprogress",I1)))</formula>
    </cfRule>
  </conditionalFormatting>
  <conditionalFormatting sqref="I2">
    <cfRule type="containsText" dxfId="425" priority="22" operator="containsText" text="Closed">
      <formula>NOT(ISERROR(SEARCH("Closed",I2)))</formula>
    </cfRule>
    <cfRule type="containsText" dxfId="424" priority="23" operator="containsText" text="Open">
      <formula>NOT(ISERROR(SEARCH("Open",I2)))</formula>
    </cfRule>
    <cfRule type="containsText" dxfId="423" priority="24" operator="containsText" text="Inprogress">
      <formula>NOT(ISERROR(SEARCH("Inprogress",I2)))</formula>
    </cfRule>
  </conditionalFormatting>
  <conditionalFormatting sqref="I3">
    <cfRule type="containsText" dxfId="422" priority="19" operator="containsText" text="Closed">
      <formula>NOT(ISERROR(SEARCH("Closed",I3)))</formula>
    </cfRule>
    <cfRule type="containsText" dxfId="421" priority="20" operator="containsText" text="Open">
      <formula>NOT(ISERROR(SEARCH("Open",I3)))</formula>
    </cfRule>
    <cfRule type="containsText" dxfId="420" priority="21" operator="containsText" text="Inprogress">
      <formula>NOT(ISERROR(SEARCH("Inprogress",I3)))</formula>
    </cfRule>
  </conditionalFormatting>
  <conditionalFormatting sqref="I4">
    <cfRule type="containsText" dxfId="419" priority="16" operator="containsText" text="Closed">
      <formula>NOT(ISERROR(SEARCH("Closed",I4)))</formula>
    </cfRule>
    <cfRule type="containsText" dxfId="418" priority="17" operator="containsText" text="Open">
      <formula>NOT(ISERROR(SEARCH("Open",I4)))</formula>
    </cfRule>
    <cfRule type="containsText" dxfId="417" priority="18" operator="containsText" text="Inprogress">
      <formula>NOT(ISERROR(SEARCH("Inprogress",I4)))</formula>
    </cfRule>
  </conditionalFormatting>
  <conditionalFormatting sqref="I6">
    <cfRule type="containsText" dxfId="416" priority="13" operator="containsText" text="Closed">
      <formula>NOT(ISERROR(SEARCH("Closed",I6)))</formula>
    </cfRule>
    <cfRule type="containsText" dxfId="415" priority="14" operator="containsText" text="Open">
      <formula>NOT(ISERROR(SEARCH("Open",I6)))</formula>
    </cfRule>
    <cfRule type="containsText" dxfId="414" priority="15" operator="containsText" text="Inprogress">
      <formula>NOT(ISERROR(SEARCH("Inprogress",I6)))</formula>
    </cfRule>
  </conditionalFormatting>
  <conditionalFormatting sqref="I7">
    <cfRule type="containsText" dxfId="413" priority="10" operator="containsText" text="Closed">
      <formula>NOT(ISERROR(SEARCH("Closed",I7)))</formula>
    </cfRule>
    <cfRule type="containsText" dxfId="412" priority="11" operator="containsText" text="Open">
      <formula>NOT(ISERROR(SEARCH("Open",I7)))</formula>
    </cfRule>
    <cfRule type="containsText" dxfId="411" priority="12" operator="containsText" text="Inprogress">
      <formula>NOT(ISERROR(SEARCH("Inprogress",I7)))</formula>
    </cfRule>
  </conditionalFormatting>
  <conditionalFormatting sqref="I8">
    <cfRule type="containsText" dxfId="410" priority="7" operator="containsText" text="Closed">
      <formula>NOT(ISERROR(SEARCH("Closed",I8)))</formula>
    </cfRule>
    <cfRule type="containsText" dxfId="409" priority="8" operator="containsText" text="Open">
      <formula>NOT(ISERROR(SEARCH("Open",I8)))</formula>
    </cfRule>
    <cfRule type="containsText" dxfId="408" priority="9" operator="containsText" text="Inprogress">
      <formula>NOT(ISERROR(SEARCH("Inprogress",I8)))</formula>
    </cfRule>
  </conditionalFormatting>
  <conditionalFormatting sqref="I9">
    <cfRule type="containsText" dxfId="407" priority="4" operator="containsText" text="Closed">
      <formula>NOT(ISERROR(SEARCH("Closed",I9)))</formula>
    </cfRule>
    <cfRule type="containsText" dxfId="406" priority="5" operator="containsText" text="Open">
      <formula>NOT(ISERROR(SEARCH("Open",I9)))</formula>
    </cfRule>
    <cfRule type="containsText" dxfId="405" priority="6" operator="containsText" text="Inprogress">
      <formula>NOT(ISERROR(SEARCH("Inprogress",I9)))</formula>
    </cfRule>
  </conditionalFormatting>
  <conditionalFormatting sqref="I5">
    <cfRule type="containsText" dxfId="404" priority="1" operator="containsText" text="Closed">
      <formula>NOT(ISERROR(SEARCH("Closed",I5)))</formula>
    </cfRule>
    <cfRule type="containsText" dxfId="403" priority="2" operator="containsText" text="Open">
      <formula>NOT(ISERROR(SEARCH("Open",I5)))</formula>
    </cfRule>
    <cfRule type="containsText" dxfId="402" priority="3" operator="containsText" text="Inprogress">
      <formula>NOT(ISERROR(SEARCH("Inprogress",I5)))</formula>
    </cfRule>
  </conditionalFormatting>
  <dataValidations count="10">
    <dataValidation allowBlank="1" showInputMessage="1" showErrorMessage="1" sqref="V2:V4 V7:V12 Q2:Q12 Z3:AA5 Y7:AA12" xr:uid="{8955DF3A-E9FA-49BD-B5F5-D25C01D91CE1}"/>
    <dataValidation type="list" showErrorMessage="1" sqref="N1 P5:P12 N5:N12" xr:uid="{81F97E34-F477-443F-9FCF-CBB81B0C7EC8}">
      <formula1>"Qadir,Rijo,Karthik,Sushmitha,None,TBD"</formula1>
    </dataValidation>
    <dataValidation type="list" showErrorMessage="1" sqref="O1 O5:O12" xr:uid="{234CA7D1-FA73-43DC-BD86-E9EB0428461C}">
      <formula1>"Pass,Fail(BacktoDev),DB Script tests in QA DB,TBD"</formula1>
    </dataValidation>
    <dataValidation showErrorMessage="1" sqref="I1" xr:uid="{78C776B2-13E7-4B62-A35C-F6BBFE3BF749}"/>
    <dataValidation type="list" allowBlank="1" showErrorMessage="1" sqref="J1" xr:uid="{19B9247D-D880-4940-89BF-3B541D303DD1}">
      <formula1>"Open,Inprogress,Closed"</formula1>
    </dataValidation>
    <dataValidation type="list" showErrorMessage="1" sqref="AA1:AB1" xr:uid="{99C5902D-A19E-4797-B3A2-CD28B70293AD}">
      <formula1>"Pending-Waiting for Customer confirmation, Approved-Satisified AC,Not Approved-New minor changes requested(Back to Dev),NA,TBD"</formula1>
    </dataValidation>
    <dataValidation type="list" showErrorMessage="1" sqref="Z1" xr:uid="{6EC27434-8B7A-4CB8-B631-5DAE96C4FB8B}">
      <formula1>"Approved-Satisified AC,Not Approved(Back to Dev),NA,TBD"</formula1>
    </dataValidation>
    <dataValidation type="list" showErrorMessage="1" sqref="P1" xr:uid="{C0D5660E-5AAE-48E6-B809-8B71B76DA9F1}">
      <formula1>"Qadir,Rijo,Karthik,None,TBD"</formula1>
    </dataValidation>
    <dataValidation type="list" showErrorMessage="1" sqref="Q1:R1 V1 Y1" xr:uid="{B69C6D67-57E3-4712-A4C5-65094139084B}">
      <formula1>"No issues found,Issues observed(BacktoDev),DB Script tests in QA DB,NA,TBD"</formula1>
    </dataValidation>
    <dataValidation type="list" showErrorMessage="1" sqref="W1:X1 M1 U1 V10 M5:M12 W7:W12 U7:U12" xr:uid="{3FFF85EE-FE9D-426D-AB63-97E51A460798}">
      <formula1>"Open,Inprogress,Completed,TBD,NA"</formula1>
    </dataValidation>
  </dataValidations>
  <hyperlinks>
    <hyperlink ref="R8" r:id="rId1" xr:uid="{357298EC-9811-4662-B1A0-44F8A4553451}"/>
    <hyperlink ref="R2" r:id="rId2" xr:uid="{0DEAB4CB-A6BE-431B-BD6B-9840CF7E1464}"/>
    <hyperlink ref="R3" r:id="rId3" xr:uid="{2247B818-5A1A-4DC7-B84F-4FF93B62B1FF}"/>
    <hyperlink ref="R4" r:id="rId4" xr:uid="{EDC13AA4-68C4-49F6-9F9C-CB0DD69D646C}"/>
    <hyperlink ref="R7" r:id="rId5" xr:uid="{F718C429-FA89-4C38-899D-85B8CAB5422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B2D54E7-301E-4D2C-A2B7-1FCBA109BE9E}">
          <x14:formula1>
            <xm:f>Settings!$C$3:$C$20</xm:f>
          </x14:formula1>
          <xm:sqref>I2:I12</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9282-6185-4EC2-B5A8-382AC80A881D}">
  <dimension ref="A1:AB10"/>
  <sheetViews>
    <sheetView topLeftCell="H1" workbookViewId="0">
      <selection activeCell="L2" sqref="L2"/>
    </sheetView>
  </sheetViews>
  <sheetFormatPr defaultRowHeight="12.75"/>
  <cols>
    <col min="1" max="1" width="13.85546875" style="462" customWidth="1"/>
    <col min="2" max="2" width="11.42578125" style="462" bestFit="1" customWidth="1"/>
    <col min="3" max="3" width="36.5703125" style="462" bestFit="1" customWidth="1"/>
    <col min="4" max="4" width="9.140625" style="462"/>
    <col min="5" max="5" width="11" style="462" customWidth="1"/>
    <col min="6" max="6" width="20.85546875" style="462" bestFit="1" customWidth="1"/>
    <col min="7" max="7" width="57.7109375" style="462" customWidth="1"/>
    <col min="8" max="8" width="9.42578125" style="462" bestFit="1" customWidth="1"/>
    <col min="9" max="11" width="9.140625" style="462"/>
    <col min="12" max="12" width="66" style="462" customWidth="1"/>
    <col min="13" max="13" width="61.85546875" style="462" customWidth="1"/>
    <col min="14" max="16384" width="9.140625" style="462"/>
  </cols>
  <sheetData>
    <row r="1" spans="1:28" ht="27">
      <c r="A1" s="505" t="s">
        <v>266</v>
      </c>
      <c r="B1" s="506" t="s">
        <v>10</v>
      </c>
      <c r="C1" s="506" t="s">
        <v>267</v>
      </c>
      <c r="D1" s="506" t="s">
        <v>268</v>
      </c>
      <c r="E1" s="506" t="s">
        <v>269</v>
      </c>
      <c r="F1" s="506" t="s">
        <v>270</v>
      </c>
      <c r="G1" s="506" t="s">
        <v>271</v>
      </c>
      <c r="H1" s="506" t="s">
        <v>272</v>
      </c>
      <c r="I1" s="506" t="s">
        <v>273</v>
      </c>
      <c r="J1" s="506" t="s">
        <v>274</v>
      </c>
      <c r="K1" s="506" t="s">
        <v>275</v>
      </c>
      <c r="L1" s="507" t="s">
        <v>276</v>
      </c>
      <c r="M1" s="508" t="s">
        <v>277</v>
      </c>
      <c r="N1" s="509"/>
      <c r="O1" s="509"/>
      <c r="P1" s="509"/>
      <c r="Q1" s="509"/>
      <c r="R1" s="509"/>
      <c r="S1" s="509"/>
      <c r="T1" s="509"/>
      <c r="U1" s="509"/>
      <c r="V1" s="509"/>
      <c r="W1" s="509"/>
      <c r="X1" s="509"/>
      <c r="Y1" s="509"/>
      <c r="Z1" s="509"/>
      <c r="AA1" s="509"/>
      <c r="AB1" s="509"/>
    </row>
    <row r="2" spans="1:28" ht="23.25">
      <c r="A2" s="150">
        <v>1</v>
      </c>
      <c r="B2" s="165" t="s">
        <v>114</v>
      </c>
      <c r="C2" s="112">
        <v>47366</v>
      </c>
      <c r="D2" s="511"/>
      <c r="E2" s="150" t="s">
        <v>2241</v>
      </c>
      <c r="F2" s="388" t="s">
        <v>1668</v>
      </c>
      <c r="G2" s="146" t="s">
        <v>3138</v>
      </c>
      <c r="H2" s="165" t="s">
        <v>1670</v>
      </c>
      <c r="I2" s="512" t="s">
        <v>518</v>
      </c>
      <c r="J2" s="165" t="s">
        <v>525</v>
      </c>
      <c r="K2" s="529" t="s">
        <v>576</v>
      </c>
      <c r="L2" s="513" t="s">
        <v>526</v>
      </c>
      <c r="M2" s="514" t="s">
        <v>2698</v>
      </c>
      <c r="N2" s="150"/>
      <c r="O2" s="150"/>
      <c r="P2" s="150"/>
      <c r="Q2" s="150"/>
      <c r="R2" s="150"/>
      <c r="S2" s="150"/>
      <c r="T2" s="150"/>
      <c r="U2" s="150"/>
      <c r="V2" s="150"/>
      <c r="W2" s="150"/>
      <c r="X2" s="150"/>
      <c r="Y2" s="150"/>
      <c r="Z2" s="150"/>
      <c r="AA2" s="150"/>
      <c r="AB2" s="150"/>
    </row>
    <row r="3" spans="1:28" ht="46.5">
      <c r="A3" s="150">
        <v>2</v>
      </c>
      <c r="B3" s="165" t="s">
        <v>114</v>
      </c>
      <c r="C3" s="510">
        <v>24971</v>
      </c>
      <c r="D3" s="511"/>
      <c r="E3" s="150" t="s">
        <v>1976</v>
      </c>
      <c r="F3" s="512" t="s">
        <v>522</v>
      </c>
      <c r="G3" s="146" t="s">
        <v>3139</v>
      </c>
      <c r="H3" s="165" t="s">
        <v>1670</v>
      </c>
      <c r="I3" s="512" t="s">
        <v>518</v>
      </c>
      <c r="J3" s="165" t="s">
        <v>525</v>
      </c>
      <c r="K3" s="529" t="s">
        <v>576</v>
      </c>
      <c r="L3" s="524" t="s">
        <v>529</v>
      </c>
      <c r="M3" s="146" t="s">
        <v>3140</v>
      </c>
      <c r="N3" s="150"/>
      <c r="O3" s="150"/>
      <c r="P3" s="150"/>
      <c r="Q3" s="150"/>
      <c r="R3" s="150"/>
      <c r="S3" s="150"/>
      <c r="T3" s="150"/>
      <c r="U3" s="150"/>
      <c r="V3" s="150"/>
      <c r="W3" s="150"/>
      <c r="X3" s="150"/>
      <c r="Y3" s="150"/>
      <c r="Z3" s="150"/>
      <c r="AA3" s="150"/>
      <c r="AB3" s="150"/>
    </row>
    <row r="4" spans="1:28" ht="104.25">
      <c r="A4" s="150">
        <v>3</v>
      </c>
      <c r="B4" s="165" t="s">
        <v>114</v>
      </c>
      <c r="C4" s="510">
        <v>47089</v>
      </c>
      <c r="D4" s="511"/>
      <c r="E4" s="150" t="s">
        <v>315</v>
      </c>
      <c r="F4" s="512" t="s">
        <v>1668</v>
      </c>
      <c r="G4" s="146" t="s">
        <v>3141</v>
      </c>
      <c r="H4" s="165" t="s">
        <v>1670</v>
      </c>
      <c r="I4" s="512" t="s">
        <v>518</v>
      </c>
      <c r="J4" s="165" t="s">
        <v>525</v>
      </c>
      <c r="K4" s="529" t="s">
        <v>576</v>
      </c>
      <c r="L4" s="513" t="s">
        <v>526</v>
      </c>
      <c r="M4" s="514" t="s">
        <v>3142</v>
      </c>
      <c r="N4" s="150"/>
      <c r="O4" s="150"/>
      <c r="P4" s="150"/>
      <c r="Q4" s="150"/>
      <c r="R4" s="150"/>
      <c r="S4" s="150"/>
      <c r="T4" s="150"/>
      <c r="U4" s="150"/>
      <c r="V4" s="150"/>
      <c r="W4" s="150"/>
      <c r="X4" s="150"/>
      <c r="Y4" s="150"/>
      <c r="Z4" s="150"/>
      <c r="AA4" s="150"/>
      <c r="AB4" s="150"/>
    </row>
    <row r="5" spans="1:28" ht="35.25">
      <c r="A5" s="150">
        <v>4</v>
      </c>
      <c r="B5" s="165" t="s">
        <v>114</v>
      </c>
      <c r="C5" s="510">
        <v>47794</v>
      </c>
      <c r="D5" s="511"/>
      <c r="E5" s="150" t="s">
        <v>2251</v>
      </c>
      <c r="F5" s="512" t="s">
        <v>1668</v>
      </c>
      <c r="G5" s="146" t="s">
        <v>3143</v>
      </c>
      <c r="H5" s="165" t="s">
        <v>1670</v>
      </c>
      <c r="I5" s="512" t="s">
        <v>518</v>
      </c>
      <c r="J5" s="165" t="s">
        <v>525</v>
      </c>
      <c r="K5" s="529" t="s">
        <v>576</v>
      </c>
      <c r="L5" s="513" t="s">
        <v>526</v>
      </c>
      <c r="M5" s="514" t="s">
        <v>2698</v>
      </c>
      <c r="N5" s="150"/>
      <c r="O5" s="150"/>
      <c r="P5" s="150"/>
      <c r="Q5" s="150"/>
      <c r="R5" s="150"/>
      <c r="S5" s="150"/>
      <c r="T5" s="150"/>
      <c r="U5" s="150"/>
      <c r="V5" s="150"/>
      <c r="W5" s="150"/>
      <c r="X5" s="150"/>
      <c r="Y5" s="150"/>
      <c r="Z5" s="150"/>
      <c r="AA5" s="150"/>
      <c r="AB5" s="150"/>
    </row>
    <row r="6" spans="1:28">
      <c r="A6" s="150"/>
      <c r="B6" s="165"/>
      <c r="C6" s="510"/>
      <c r="D6" s="511"/>
      <c r="E6" s="147"/>
      <c r="F6" s="512"/>
      <c r="G6" s="146"/>
      <c r="H6" s="165"/>
      <c r="I6" s="512"/>
      <c r="J6" s="165"/>
      <c r="K6" s="515"/>
      <c r="L6" s="165"/>
      <c r="M6" s="147"/>
      <c r="N6" s="150"/>
      <c r="O6" s="150"/>
      <c r="P6" s="150"/>
      <c r="Q6" s="150"/>
      <c r="R6" s="150"/>
      <c r="S6" s="150"/>
      <c r="T6" s="150"/>
      <c r="U6" s="150"/>
      <c r="V6" s="150"/>
      <c r="W6" s="150"/>
      <c r="X6" s="150"/>
      <c r="Y6" s="150"/>
      <c r="Z6" s="150"/>
      <c r="AA6" s="150"/>
      <c r="AB6" s="150"/>
    </row>
    <row r="7" spans="1:28">
      <c r="A7" s="150"/>
      <c r="B7" s="165"/>
      <c r="C7" s="510"/>
      <c r="D7" s="511"/>
      <c r="E7" s="147"/>
      <c r="F7" s="512"/>
      <c r="G7" s="146"/>
      <c r="H7" s="165"/>
      <c r="I7" s="512"/>
      <c r="J7" s="165"/>
      <c r="K7" s="515"/>
      <c r="L7" s="165"/>
      <c r="M7" s="147"/>
      <c r="N7" s="150"/>
      <c r="O7" s="150"/>
      <c r="P7" s="150"/>
      <c r="Q7" s="150"/>
      <c r="R7" s="150"/>
      <c r="S7" s="150"/>
      <c r="T7" s="150"/>
      <c r="U7" s="150"/>
      <c r="V7" s="150"/>
      <c r="W7" s="150"/>
      <c r="X7" s="150"/>
      <c r="Y7" s="150"/>
      <c r="Z7" s="150"/>
      <c r="AA7" s="150"/>
      <c r="AB7" s="150"/>
    </row>
    <row r="8" spans="1:28">
      <c r="A8" s="150"/>
      <c r="B8" s="165"/>
      <c r="C8" s="510"/>
      <c r="D8" s="511"/>
      <c r="E8" s="147"/>
      <c r="F8" s="512"/>
      <c r="G8" s="146"/>
      <c r="H8" s="165"/>
      <c r="I8" s="512"/>
      <c r="J8" s="165"/>
      <c r="K8" s="515"/>
      <c r="L8" s="165"/>
      <c r="M8" s="147"/>
      <c r="N8" s="150"/>
      <c r="O8" s="150"/>
      <c r="P8" s="150"/>
      <c r="Q8" s="150"/>
      <c r="R8" s="150"/>
      <c r="S8" s="150"/>
      <c r="T8" s="150"/>
      <c r="U8" s="150"/>
      <c r="V8" s="150"/>
      <c r="W8" s="150"/>
      <c r="X8" s="150"/>
      <c r="Y8" s="150"/>
      <c r="Z8" s="150"/>
      <c r="AA8" s="150"/>
      <c r="AB8" s="150"/>
    </row>
    <row r="9" spans="1:28">
      <c r="A9" s="150"/>
      <c r="B9" s="165"/>
      <c r="C9" s="510"/>
      <c r="D9" s="511"/>
      <c r="E9" s="147"/>
      <c r="F9" s="512"/>
      <c r="G9" s="146"/>
      <c r="H9" s="165"/>
      <c r="I9" s="512"/>
      <c r="J9" s="165"/>
      <c r="K9" s="515"/>
      <c r="L9" s="165"/>
      <c r="M9" s="147"/>
      <c r="N9" s="150"/>
      <c r="O9" s="150"/>
      <c r="P9" s="150"/>
      <c r="Q9" s="150"/>
      <c r="R9" s="150"/>
      <c r="S9" s="150"/>
      <c r="T9" s="150"/>
      <c r="U9" s="150"/>
      <c r="V9" s="150"/>
      <c r="W9" s="150"/>
      <c r="X9" s="150"/>
      <c r="Y9" s="150"/>
      <c r="Z9" s="150"/>
      <c r="AA9" s="150"/>
      <c r="AB9" s="150"/>
    </row>
    <row r="10" spans="1:28">
      <c r="A10" s="150"/>
      <c r="B10" s="165"/>
      <c r="C10" s="510"/>
      <c r="D10" s="511"/>
      <c r="E10" s="147"/>
      <c r="F10" s="512"/>
      <c r="G10" s="146"/>
      <c r="H10" s="165"/>
      <c r="I10" s="512"/>
      <c r="J10" s="165"/>
      <c r="K10" s="515"/>
      <c r="L10" s="165"/>
      <c r="M10" s="147"/>
      <c r="N10" s="150"/>
      <c r="O10" s="150"/>
      <c r="P10" s="150"/>
      <c r="Q10" s="150"/>
      <c r="R10" s="150"/>
      <c r="S10" s="150"/>
      <c r="T10" s="150"/>
      <c r="U10" s="150"/>
      <c r="V10" s="150"/>
      <c r="W10" s="150"/>
      <c r="X10" s="150"/>
      <c r="Y10" s="150"/>
      <c r="Z10" s="150"/>
      <c r="AA10" s="150"/>
      <c r="AB10" s="150"/>
    </row>
  </sheetData>
  <dataValidations count="6">
    <dataValidation type="list" allowBlank="1" showErrorMessage="1" sqref="K2:K10" xr:uid="{A06F3EB6-BDA7-4A91-89A7-B31FACD72C21}">
      <formula1>"Open,Inprogress,Closed"</formula1>
    </dataValidation>
    <dataValidation type="list" allowBlank="1" showErrorMessage="1" sqref="F2:F10" xr:uid="{145D1FC6-6036-47D5-9E25-F442A3F4DD4A}">
      <formula1>"Bounceback/Sub-Defect,Defect,None"</formula1>
    </dataValidation>
    <dataValidation type="list" allowBlank="1" showErrorMessage="1" sqref="J2:J10" xr:uid="{0BC394A1-6C4A-4906-BCD2-7D48CE5793D9}">
      <formula1>"Internal,External"</formula1>
    </dataValidation>
    <dataValidation type="list" allowBlank="1" showErrorMessage="1" sqref="H2:H10" xr:uid="{22363C8F-3581-48B7-B608-E32F5FAAD726}">
      <formula1>"Minor,Significant,Major"</formula1>
    </dataValidation>
    <dataValidation type="list" allowBlank="1" showErrorMessage="1" sqref="I2:I10" xr:uid="{47694D75-CD77-4D9C-8C7D-973EB8D016F1}">
      <formula1>"Manual, Automation"</formula1>
    </dataValidation>
    <dataValidation type="list" allowBlank="1" showErrorMessage="1" sqref="L6:L10" xr:uid="{BA041921-C5ED-4F7C-813B-12EADA10FAB8}">
      <formula1>$A$2:$A$10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EEA866E-71D0-4F19-A157-50DCCAC751E5}">
          <x14:formula1>
            <xm:f>Details!$A$2:$A$10</xm:f>
          </x14:formula1>
          <xm:sqref>L2:L5</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9F4C9-DB78-4014-948C-FBEFE8866219}">
  <dimension ref="A1:AM22"/>
  <sheetViews>
    <sheetView workbookViewId="0">
      <pane xSplit="9" topLeftCell="AB1" activePane="topRight" state="frozen"/>
      <selection pane="topRight" activeCell="I4" sqref="I4"/>
    </sheetView>
  </sheetViews>
  <sheetFormatPr defaultRowHeight="12.75"/>
  <cols>
    <col min="2" max="2" width="13.85546875" customWidth="1"/>
    <col min="5" max="5" width="13.5703125" customWidth="1"/>
    <col min="6" max="6" width="9.5703125" bestFit="1" customWidth="1"/>
    <col min="7" max="7" width="9.85546875" bestFit="1" customWidth="1"/>
    <col min="8" max="8" width="37.85546875" customWidth="1"/>
    <col min="9" max="9" width="19.5703125" customWidth="1"/>
    <col min="18" max="18" width="30.42578125" customWidth="1"/>
    <col min="22" max="22" width="38.28515625" customWidth="1"/>
    <col min="23" max="23" width="11.5703125" customWidth="1"/>
    <col min="26" max="26" width="17.5703125" customWidth="1"/>
    <col min="27" max="27" width="83.85546875" customWidth="1"/>
    <col min="28" max="28" width="42.140625" customWidth="1"/>
    <col min="29" max="29" width="18.140625" customWidth="1"/>
    <col min="30" max="30" width="15.7109375" customWidth="1"/>
    <col min="31" max="31" width="13.7109375" customWidth="1"/>
    <col min="32" max="32" width="24" customWidth="1"/>
    <col min="33" max="34" width="19.5703125" customWidth="1"/>
    <col min="35" max="35" width="15.42578125" customWidth="1"/>
    <col min="36" max="36" width="19" customWidth="1"/>
    <col min="37" max="37" width="27.7109375" customWidth="1"/>
    <col min="38" max="38" width="19.85546875" customWidth="1"/>
  </cols>
  <sheetData>
    <row r="1" spans="1:39" ht="67.5">
      <c r="A1" s="396" t="s">
        <v>266</v>
      </c>
      <c r="B1" s="108" t="s">
        <v>4</v>
      </c>
      <c r="C1" s="108" t="s">
        <v>2</v>
      </c>
      <c r="D1" s="108" t="s">
        <v>3</v>
      </c>
      <c r="E1" s="396" t="s">
        <v>278</v>
      </c>
      <c r="F1" s="396" t="s">
        <v>269</v>
      </c>
      <c r="G1" s="396" t="s">
        <v>279</v>
      </c>
      <c r="H1" s="396" t="s">
        <v>280</v>
      </c>
      <c r="I1" s="155" t="s">
        <v>275</v>
      </c>
      <c r="J1" s="155" t="s">
        <v>281</v>
      </c>
      <c r="K1" s="155" t="s">
        <v>282</v>
      </c>
      <c r="L1" s="155" t="s">
        <v>283</v>
      </c>
      <c r="M1" s="155" t="s">
        <v>286</v>
      </c>
      <c r="N1" s="155" t="s">
        <v>287</v>
      </c>
      <c r="O1" s="155" t="s">
        <v>288</v>
      </c>
      <c r="P1" s="155" t="s">
        <v>289</v>
      </c>
      <c r="Q1" s="155" t="s">
        <v>290</v>
      </c>
      <c r="R1" s="155" t="s">
        <v>291</v>
      </c>
      <c r="S1" s="467" t="s">
        <v>292</v>
      </c>
      <c r="T1" s="467" t="s">
        <v>293</v>
      </c>
      <c r="U1" s="155" t="s">
        <v>294</v>
      </c>
      <c r="V1" s="155" t="s">
        <v>295</v>
      </c>
      <c r="W1" s="155" t="s">
        <v>296</v>
      </c>
      <c r="X1" s="467" t="s">
        <v>297</v>
      </c>
      <c r="Y1" s="155" t="s">
        <v>298</v>
      </c>
      <c r="Z1" s="155" t="s">
        <v>299</v>
      </c>
      <c r="AA1" s="155" t="s">
        <v>300</v>
      </c>
      <c r="AB1" s="468" t="s">
        <v>277</v>
      </c>
      <c r="AC1" s="469">
        <v>45742</v>
      </c>
      <c r="AD1" s="469">
        <v>45743</v>
      </c>
      <c r="AE1" s="469">
        <v>45744</v>
      </c>
      <c r="AF1" s="469">
        <v>45747</v>
      </c>
      <c r="AG1" s="469">
        <v>45748</v>
      </c>
      <c r="AH1" s="469">
        <v>45749</v>
      </c>
      <c r="AI1" s="469">
        <v>45750</v>
      </c>
      <c r="AJ1" s="469">
        <v>45751</v>
      </c>
      <c r="AK1" s="469">
        <v>45754</v>
      </c>
      <c r="AL1" s="469">
        <v>45755</v>
      </c>
      <c r="AM1" s="470"/>
    </row>
    <row r="2" spans="1:39" s="150" customFormat="1" ht="35.25">
      <c r="A2" s="476">
        <v>1</v>
      </c>
      <c r="B2" s="477" t="str">
        <f>Dashboard!$J$1</f>
        <v>MSB Accounting</v>
      </c>
      <c r="C2" s="478">
        <v>45742</v>
      </c>
      <c r="D2" s="478">
        <v>45755</v>
      </c>
      <c r="E2" s="150" t="s">
        <v>109</v>
      </c>
      <c r="F2" s="150" t="s">
        <v>1216</v>
      </c>
      <c r="G2" s="150">
        <v>47545</v>
      </c>
      <c r="H2" s="150" t="s">
        <v>3144</v>
      </c>
      <c r="I2" s="485" t="s">
        <v>306</v>
      </c>
      <c r="J2" s="479">
        <v>2</v>
      </c>
      <c r="K2" s="151">
        <v>1.25</v>
      </c>
      <c r="L2" s="151">
        <v>5</v>
      </c>
      <c r="M2" s="150" t="s">
        <v>320</v>
      </c>
      <c r="N2" s="150" t="s">
        <v>320</v>
      </c>
      <c r="O2" s="150" t="s">
        <v>320</v>
      </c>
      <c r="P2" s="150" t="s">
        <v>320</v>
      </c>
      <c r="Q2" s="150" t="s">
        <v>320</v>
      </c>
      <c r="R2" s="150" t="s">
        <v>320</v>
      </c>
      <c r="S2" s="150" t="s">
        <v>320</v>
      </c>
      <c r="T2" s="150" t="s">
        <v>320</v>
      </c>
      <c r="U2" s="150" t="s">
        <v>320</v>
      </c>
      <c r="V2" s="150" t="s">
        <v>320</v>
      </c>
      <c r="W2" s="150" t="s">
        <v>320</v>
      </c>
      <c r="X2" s="150" t="s">
        <v>320</v>
      </c>
      <c r="Y2" s="150" t="s">
        <v>320</v>
      </c>
      <c r="Z2" s="150" t="s">
        <v>320</v>
      </c>
      <c r="AA2" s="150" t="s">
        <v>320</v>
      </c>
      <c r="AB2" s="151" t="s">
        <v>3145</v>
      </c>
      <c r="AC2" s="151" t="s">
        <v>3146</v>
      </c>
      <c r="AD2" s="151" t="s">
        <v>434</v>
      </c>
      <c r="AE2" s="151" t="s">
        <v>434</v>
      </c>
      <c r="AF2" s="375"/>
      <c r="AG2" s="151"/>
      <c r="AH2" s="151"/>
      <c r="AI2" s="151"/>
      <c r="AJ2" s="151"/>
      <c r="AK2" s="151" t="s">
        <v>434</v>
      </c>
      <c r="AL2" s="151" t="s">
        <v>434</v>
      </c>
      <c r="AM2" s="151"/>
    </row>
    <row r="3" spans="1:39" s="150" customFormat="1" ht="46.5">
      <c r="A3" s="476">
        <v>2</v>
      </c>
      <c r="B3" s="477" t="str">
        <f>Dashboard!$J$1</f>
        <v>MSB Accounting</v>
      </c>
      <c r="C3" s="478">
        <v>45742</v>
      </c>
      <c r="D3" s="478">
        <v>45755</v>
      </c>
      <c r="E3" s="150" t="s">
        <v>109</v>
      </c>
      <c r="F3" s="150" t="s">
        <v>313</v>
      </c>
      <c r="G3" s="148">
        <v>24898</v>
      </c>
      <c r="H3" s="64" t="s">
        <v>3147</v>
      </c>
      <c r="I3" s="486" t="s">
        <v>376</v>
      </c>
      <c r="J3" s="479">
        <v>0</v>
      </c>
      <c r="K3" s="151">
        <v>2.5</v>
      </c>
      <c r="L3" s="151">
        <v>10</v>
      </c>
      <c r="M3" s="151" t="s">
        <v>12</v>
      </c>
      <c r="N3" s="151" t="s">
        <v>315</v>
      </c>
      <c r="O3" s="151" t="s">
        <v>316</v>
      </c>
      <c r="P3" s="151" t="s">
        <v>317</v>
      </c>
      <c r="Q3" s="151" t="s">
        <v>316</v>
      </c>
      <c r="R3" s="480" t="s">
        <v>3148</v>
      </c>
      <c r="S3" s="483">
        <v>45743</v>
      </c>
      <c r="T3" s="483">
        <v>45743</v>
      </c>
      <c r="U3" s="484" t="s">
        <v>12</v>
      </c>
      <c r="V3" s="484" t="s">
        <v>3149</v>
      </c>
      <c r="W3" s="484" t="s">
        <v>12</v>
      </c>
      <c r="X3" s="483" t="s">
        <v>320</v>
      </c>
      <c r="Y3" s="484" t="s">
        <v>115</v>
      </c>
      <c r="Z3" s="63" t="s">
        <v>2516</v>
      </c>
      <c r="AA3" s="63" t="s">
        <v>2516</v>
      </c>
      <c r="AB3" s="375" t="s">
        <v>3150</v>
      </c>
      <c r="AC3" s="375" t="s">
        <v>3151</v>
      </c>
      <c r="AD3" s="375" t="s">
        <v>3152</v>
      </c>
      <c r="AE3" s="375" t="s">
        <v>944</v>
      </c>
      <c r="AF3" s="482"/>
      <c r="AG3" s="482"/>
      <c r="AH3" s="482"/>
      <c r="AI3" s="482"/>
      <c r="AJ3" s="482"/>
      <c r="AK3" s="482" t="s">
        <v>434</v>
      </c>
      <c r="AL3" s="482" t="s">
        <v>434</v>
      </c>
      <c r="AM3" s="482"/>
    </row>
    <row r="4" spans="1:39" s="150" customFormat="1" ht="77.25" customHeight="1">
      <c r="A4" s="476">
        <v>3</v>
      </c>
      <c r="B4" s="477" t="str">
        <f>Dashboard!$J$1</f>
        <v>MSB Accounting</v>
      </c>
      <c r="C4" s="478">
        <v>45742</v>
      </c>
      <c r="D4" s="478">
        <v>45755</v>
      </c>
      <c r="E4" s="150" t="s">
        <v>109</v>
      </c>
      <c r="F4" s="150" t="s">
        <v>317</v>
      </c>
      <c r="G4" s="148" t="s">
        <v>3153</v>
      </c>
      <c r="H4" s="64" t="s">
        <v>3154</v>
      </c>
      <c r="I4" s="486" t="s">
        <v>376</v>
      </c>
      <c r="J4" s="479">
        <v>0</v>
      </c>
      <c r="K4" s="151">
        <v>0.25</v>
      </c>
      <c r="L4" s="151">
        <v>1</v>
      </c>
      <c r="M4" s="150" t="s">
        <v>320</v>
      </c>
      <c r="N4" s="150" t="s">
        <v>320</v>
      </c>
      <c r="O4" s="150" t="s">
        <v>320</v>
      </c>
      <c r="P4" s="150" t="s">
        <v>320</v>
      </c>
      <c r="Q4" s="150" t="s">
        <v>320</v>
      </c>
      <c r="R4" s="480" t="s">
        <v>320</v>
      </c>
      <c r="S4" s="150" t="s">
        <v>320</v>
      </c>
      <c r="T4" s="150" t="s">
        <v>320</v>
      </c>
      <c r="U4" s="150" t="s">
        <v>320</v>
      </c>
      <c r="V4" s="150" t="s">
        <v>320</v>
      </c>
      <c r="W4" s="150" t="s">
        <v>320</v>
      </c>
      <c r="X4" s="150" t="s">
        <v>320</v>
      </c>
      <c r="Y4" s="150" t="s">
        <v>320</v>
      </c>
      <c r="Z4" s="150" t="s">
        <v>320</v>
      </c>
      <c r="AA4" s="150" t="s">
        <v>320</v>
      </c>
      <c r="AB4" s="375" t="s">
        <v>3155</v>
      </c>
      <c r="AC4" s="375" t="s">
        <v>3156</v>
      </c>
      <c r="AD4" s="375" t="s">
        <v>3157</v>
      </c>
      <c r="AE4" s="375" t="s">
        <v>3158</v>
      </c>
      <c r="AF4" s="482"/>
      <c r="AG4" s="482"/>
      <c r="AH4" s="482"/>
      <c r="AI4" s="482"/>
      <c r="AJ4" s="482"/>
      <c r="AK4" s="482" t="s">
        <v>434</v>
      </c>
      <c r="AL4" s="482" t="s">
        <v>434</v>
      </c>
      <c r="AM4" s="482"/>
    </row>
    <row r="5" spans="1:39" s="150" customFormat="1" ht="77.25" customHeight="1">
      <c r="A5" s="476">
        <v>4</v>
      </c>
      <c r="B5" s="477" t="str">
        <f>Dashboard!$J$1</f>
        <v>MSB Accounting</v>
      </c>
      <c r="C5" s="478">
        <v>45742</v>
      </c>
      <c r="D5" s="478">
        <v>45755</v>
      </c>
      <c r="E5" s="150" t="s">
        <v>109</v>
      </c>
      <c r="F5" s="150" t="s">
        <v>317</v>
      </c>
      <c r="G5" s="148" t="s">
        <v>3159</v>
      </c>
      <c r="H5" s="64" t="s">
        <v>3160</v>
      </c>
      <c r="I5" s="521" t="s">
        <v>376</v>
      </c>
      <c r="J5" s="479">
        <v>0</v>
      </c>
      <c r="K5" s="151">
        <v>0.25</v>
      </c>
      <c r="L5" s="151">
        <v>1</v>
      </c>
      <c r="M5" s="150" t="s">
        <v>320</v>
      </c>
      <c r="N5" s="150" t="s">
        <v>320</v>
      </c>
      <c r="O5" s="150" t="s">
        <v>320</v>
      </c>
      <c r="P5" s="150" t="s">
        <v>320</v>
      </c>
      <c r="Q5" s="150" t="s">
        <v>320</v>
      </c>
      <c r="R5" s="480" t="s">
        <v>320</v>
      </c>
      <c r="S5" s="150" t="s">
        <v>320</v>
      </c>
      <c r="T5" s="150" t="s">
        <v>320</v>
      </c>
      <c r="U5" s="150" t="s">
        <v>320</v>
      </c>
      <c r="V5" s="150" t="s">
        <v>320</v>
      </c>
      <c r="W5" s="150" t="s">
        <v>320</v>
      </c>
      <c r="X5" s="150" t="s">
        <v>320</v>
      </c>
      <c r="Y5" s="150" t="s">
        <v>320</v>
      </c>
      <c r="Z5" s="150" t="s">
        <v>320</v>
      </c>
      <c r="AA5" s="150" t="s">
        <v>320</v>
      </c>
      <c r="AB5" s="375" t="s">
        <v>3161</v>
      </c>
      <c r="AC5" s="375"/>
      <c r="AD5" s="375"/>
      <c r="AE5" s="375"/>
      <c r="AF5" s="482"/>
      <c r="AG5" s="482"/>
      <c r="AH5" s="482"/>
      <c r="AI5" s="482"/>
      <c r="AJ5" s="522"/>
      <c r="AK5" s="482"/>
      <c r="AL5" s="482"/>
      <c r="AM5" s="482"/>
    </row>
    <row r="6" spans="1:39" s="150" customFormat="1" ht="127.5">
      <c r="A6" s="476">
        <v>5</v>
      </c>
      <c r="B6" s="477" t="str">
        <f>Dashboard!$J$1</f>
        <v>MSB Accounting</v>
      </c>
      <c r="C6" s="478">
        <v>45742</v>
      </c>
      <c r="D6" s="478">
        <v>45755</v>
      </c>
      <c r="E6" s="150" t="s">
        <v>109</v>
      </c>
      <c r="F6" s="150" t="s">
        <v>1216</v>
      </c>
      <c r="G6" s="150">
        <v>47695</v>
      </c>
      <c r="H6" s="64" t="s">
        <v>3162</v>
      </c>
      <c r="I6" s="485" t="s">
        <v>306</v>
      </c>
      <c r="J6" s="479">
        <v>3</v>
      </c>
      <c r="K6" s="151">
        <v>3.38</v>
      </c>
      <c r="L6" s="151">
        <v>13.52</v>
      </c>
      <c r="M6" s="151" t="s">
        <v>12</v>
      </c>
      <c r="N6" s="151" t="s">
        <v>313</v>
      </c>
      <c r="O6" s="151" t="s">
        <v>316</v>
      </c>
      <c r="P6" s="151" t="s">
        <v>115</v>
      </c>
      <c r="Q6" s="151" t="s">
        <v>320</v>
      </c>
      <c r="R6" s="480" t="s">
        <v>3163</v>
      </c>
      <c r="S6" s="481">
        <v>45748</v>
      </c>
      <c r="T6" s="481">
        <v>45750</v>
      </c>
      <c r="U6" s="151" t="s">
        <v>12</v>
      </c>
      <c r="V6" s="151" t="s">
        <v>3164</v>
      </c>
      <c r="W6" s="151" t="s">
        <v>12</v>
      </c>
      <c r="X6" s="481" t="s">
        <v>320</v>
      </c>
      <c r="Y6" s="151" t="s">
        <v>115</v>
      </c>
      <c r="Z6" s="151" t="s">
        <v>320</v>
      </c>
      <c r="AA6" s="151" t="s">
        <v>320</v>
      </c>
      <c r="AB6" s="375" t="s">
        <v>3165</v>
      </c>
      <c r="AC6" s="482"/>
      <c r="AD6" s="375" t="s">
        <v>3166</v>
      </c>
      <c r="AE6" s="375" t="s">
        <v>3167</v>
      </c>
      <c r="AF6" s="375" t="s">
        <v>3168</v>
      </c>
      <c r="AG6" s="375" t="s">
        <v>3169</v>
      </c>
      <c r="AH6" s="375" t="s">
        <v>3170</v>
      </c>
      <c r="AI6" s="375" t="s">
        <v>3171</v>
      </c>
      <c r="AK6" s="482" t="s">
        <v>434</v>
      </c>
      <c r="AL6" s="482" t="s">
        <v>434</v>
      </c>
      <c r="AM6" s="482"/>
    </row>
    <row r="7" spans="1:39" s="150" customFormat="1" ht="104.25">
      <c r="A7" s="476">
        <v>6</v>
      </c>
      <c r="B7" s="477" t="str">
        <f>Dashboard!$J$1</f>
        <v>MSB Accounting</v>
      </c>
      <c r="C7" s="478">
        <v>45742</v>
      </c>
      <c r="D7" s="478">
        <v>45755</v>
      </c>
      <c r="E7" s="150" t="s">
        <v>109</v>
      </c>
      <c r="F7" s="150" t="s">
        <v>317</v>
      </c>
      <c r="G7" s="150">
        <v>24949</v>
      </c>
      <c r="H7" s="64" t="s">
        <v>3172</v>
      </c>
      <c r="I7" s="485" t="s">
        <v>376</v>
      </c>
      <c r="J7" s="479">
        <v>0</v>
      </c>
      <c r="K7" s="151">
        <v>0</v>
      </c>
      <c r="L7" s="151">
        <v>0</v>
      </c>
      <c r="M7" s="150" t="s">
        <v>320</v>
      </c>
      <c r="N7" s="150" t="s">
        <v>320</v>
      </c>
      <c r="O7" s="150" t="s">
        <v>320</v>
      </c>
      <c r="P7" s="150" t="s">
        <v>320</v>
      </c>
      <c r="Q7" s="150" t="s">
        <v>320</v>
      </c>
      <c r="R7" s="480" t="s">
        <v>320</v>
      </c>
      <c r="S7" s="150" t="s">
        <v>320</v>
      </c>
      <c r="T7" s="150" t="s">
        <v>320</v>
      </c>
      <c r="U7" s="150" t="s">
        <v>320</v>
      </c>
      <c r="V7" s="150" t="s">
        <v>320</v>
      </c>
      <c r="W7" s="150" t="s">
        <v>320</v>
      </c>
      <c r="X7" s="150" t="s">
        <v>320</v>
      </c>
      <c r="Y7" s="150" t="s">
        <v>320</v>
      </c>
      <c r="Z7" s="150" t="s">
        <v>320</v>
      </c>
      <c r="AA7" s="150" t="s">
        <v>320</v>
      </c>
      <c r="AB7" s="375" t="s">
        <v>3173</v>
      </c>
      <c r="AC7" s="482"/>
      <c r="AD7" s="375"/>
      <c r="AE7" s="375"/>
      <c r="AF7" s="375"/>
      <c r="AG7" s="375"/>
      <c r="AH7" s="375"/>
      <c r="AI7" s="375"/>
      <c r="AK7" s="482"/>
      <c r="AL7" s="501"/>
      <c r="AM7" s="501"/>
    </row>
    <row r="8" spans="1:39" s="150" customFormat="1" ht="134.25" customHeight="1">
      <c r="A8" s="476">
        <v>7</v>
      </c>
      <c r="B8" s="477" t="str">
        <f>Dashboard!$J$1</f>
        <v>MSB Accounting</v>
      </c>
      <c r="C8" s="478">
        <v>45742</v>
      </c>
      <c r="D8" s="478">
        <v>45755</v>
      </c>
      <c r="E8" s="150" t="s">
        <v>109</v>
      </c>
      <c r="F8" s="150" t="s">
        <v>315</v>
      </c>
      <c r="G8" s="150" t="s">
        <v>3063</v>
      </c>
      <c r="H8" s="64" t="s">
        <v>3064</v>
      </c>
      <c r="I8" s="528" t="s">
        <v>399</v>
      </c>
      <c r="J8" s="479">
        <v>2</v>
      </c>
      <c r="K8" s="151"/>
      <c r="L8" s="151">
        <v>12</v>
      </c>
      <c r="M8" s="151"/>
      <c r="N8" s="151"/>
      <c r="O8" s="151"/>
      <c r="P8" s="151"/>
      <c r="Q8" s="151"/>
      <c r="R8" s="480"/>
      <c r="S8" s="481"/>
      <c r="T8" s="481"/>
      <c r="U8" s="151"/>
      <c r="V8" s="151"/>
      <c r="W8" s="151"/>
      <c r="X8" s="481"/>
      <c r="Y8" s="151"/>
      <c r="Z8" s="151"/>
      <c r="AA8" s="151"/>
      <c r="AB8" s="375" t="s">
        <v>3174</v>
      </c>
      <c r="AC8" s="482"/>
      <c r="AD8" s="375" t="s">
        <v>3175</v>
      </c>
      <c r="AE8" s="375" t="s">
        <v>3176</v>
      </c>
      <c r="AF8" s="375" t="s">
        <v>3177</v>
      </c>
      <c r="AG8" s="375" t="s">
        <v>3178</v>
      </c>
      <c r="AH8" s="375" t="s">
        <v>3179</v>
      </c>
      <c r="AI8" s="375" t="s">
        <v>3180</v>
      </c>
      <c r="AJ8" s="375" t="s">
        <v>3181</v>
      </c>
      <c r="AK8" s="482" t="s">
        <v>3182</v>
      </c>
      <c r="AL8" s="500" t="s">
        <v>3183</v>
      </c>
      <c r="AM8" s="501"/>
    </row>
    <row r="9" spans="1:39" s="150" customFormat="1" ht="138.75">
      <c r="A9" s="476">
        <v>8</v>
      </c>
      <c r="B9" s="477" t="str">
        <f>Dashboard!$J$1</f>
        <v>MSB Accounting</v>
      </c>
      <c r="C9" s="478">
        <v>45742</v>
      </c>
      <c r="D9" s="478">
        <v>45755</v>
      </c>
      <c r="E9" s="150" t="s">
        <v>109</v>
      </c>
      <c r="F9" s="150" t="s">
        <v>315</v>
      </c>
      <c r="G9" s="150" t="s">
        <v>3078</v>
      </c>
      <c r="H9" s="64" t="s">
        <v>3079</v>
      </c>
      <c r="I9" s="528" t="s">
        <v>399</v>
      </c>
      <c r="J9" s="479">
        <v>5</v>
      </c>
      <c r="K9" s="151"/>
      <c r="L9" s="151">
        <v>22.75</v>
      </c>
      <c r="M9" s="151"/>
      <c r="N9" s="151"/>
      <c r="O9" s="151"/>
      <c r="P9" s="151"/>
      <c r="Q9" s="151"/>
      <c r="R9" s="480"/>
      <c r="S9" s="481"/>
      <c r="T9" s="481"/>
      <c r="U9" s="151"/>
      <c r="V9" s="151"/>
      <c r="W9" s="151"/>
      <c r="X9" s="481"/>
      <c r="Y9" s="151"/>
      <c r="Z9" s="151"/>
      <c r="AA9" s="151"/>
      <c r="AB9" s="375" t="s">
        <v>3174</v>
      </c>
      <c r="AC9" s="482"/>
      <c r="AD9" s="482"/>
      <c r="AE9" s="482"/>
      <c r="AF9" s="482"/>
      <c r="AG9" s="482"/>
      <c r="AH9" s="482"/>
      <c r="AI9" s="482"/>
      <c r="AJ9" s="482"/>
      <c r="AK9" s="499"/>
      <c r="AL9" s="500" t="s">
        <v>3184</v>
      </c>
      <c r="AM9" s="147"/>
    </row>
    <row r="10" spans="1:39" s="150" customFormat="1" ht="52.5" customHeight="1">
      <c r="A10" s="476">
        <v>9</v>
      </c>
      <c r="B10" s="477" t="str">
        <f>Dashboard!$J$1</f>
        <v>MSB Accounting</v>
      </c>
      <c r="C10" s="478">
        <v>45742</v>
      </c>
      <c r="D10" s="478">
        <v>45755</v>
      </c>
      <c r="E10" s="150" t="s">
        <v>109</v>
      </c>
      <c r="F10" s="150" t="s">
        <v>315</v>
      </c>
      <c r="G10" s="150" t="s">
        <v>3081</v>
      </c>
      <c r="H10" s="64" t="s">
        <v>3082</v>
      </c>
      <c r="I10" s="528" t="s">
        <v>399</v>
      </c>
      <c r="J10" s="479">
        <v>5</v>
      </c>
      <c r="K10" s="151"/>
      <c r="L10" s="151">
        <v>18</v>
      </c>
      <c r="M10" s="151"/>
      <c r="N10" s="151"/>
      <c r="O10" s="151"/>
      <c r="P10" s="151"/>
      <c r="Q10" s="151"/>
      <c r="R10" s="480"/>
      <c r="S10" s="481"/>
      <c r="T10" s="481"/>
      <c r="U10" s="151"/>
      <c r="V10" s="151"/>
      <c r="W10" s="151"/>
      <c r="X10" s="481"/>
      <c r="Y10" s="151"/>
      <c r="Z10" s="151"/>
      <c r="AA10" s="151"/>
      <c r="AB10" s="375" t="s">
        <v>3174</v>
      </c>
      <c r="AC10" s="482"/>
      <c r="AD10" s="482"/>
      <c r="AE10" s="482"/>
      <c r="AF10" s="482"/>
      <c r="AG10" s="482"/>
      <c r="AH10" s="482"/>
      <c r="AI10" s="482"/>
      <c r="AJ10" s="482"/>
      <c r="AK10" s="499"/>
      <c r="AL10" s="500" t="s">
        <v>3184</v>
      </c>
      <c r="AM10" s="147"/>
    </row>
    <row r="11" spans="1:39" s="150" customFormat="1" ht="54.75" customHeight="1">
      <c r="A11" s="476">
        <v>10</v>
      </c>
      <c r="B11" s="492" t="str">
        <f>Dashboard!$J$1</f>
        <v>MSB Accounting</v>
      </c>
      <c r="C11" s="493">
        <v>45742</v>
      </c>
      <c r="D11" s="493">
        <v>45755</v>
      </c>
      <c r="E11" s="201" t="s">
        <v>109</v>
      </c>
      <c r="F11" s="201" t="s">
        <v>313</v>
      </c>
      <c r="G11" s="494">
        <v>47472</v>
      </c>
      <c r="H11" s="213" t="s">
        <v>3185</v>
      </c>
      <c r="I11" s="491" t="s">
        <v>306</v>
      </c>
      <c r="J11" s="489">
        <v>2</v>
      </c>
      <c r="K11" s="490">
        <v>2</v>
      </c>
      <c r="L11" s="490">
        <v>8</v>
      </c>
      <c r="M11" s="490" t="s">
        <v>12</v>
      </c>
      <c r="N11" s="490" t="s">
        <v>315</v>
      </c>
      <c r="O11" s="490" t="s">
        <v>316</v>
      </c>
      <c r="P11" s="490" t="s">
        <v>317</v>
      </c>
      <c r="Q11" s="490" t="s">
        <v>316</v>
      </c>
      <c r="R11" s="495" t="s">
        <v>3186</v>
      </c>
      <c r="S11" s="487">
        <v>45743</v>
      </c>
      <c r="T11" s="487">
        <v>45743</v>
      </c>
      <c r="U11" s="488" t="s">
        <v>12</v>
      </c>
      <c r="V11" s="488" t="s">
        <v>3149</v>
      </c>
      <c r="W11" s="488" t="s">
        <v>12</v>
      </c>
      <c r="X11" s="487" t="s">
        <v>320</v>
      </c>
      <c r="Y11" s="488" t="s">
        <v>115</v>
      </c>
      <c r="Z11" s="76" t="s">
        <v>2516</v>
      </c>
      <c r="AA11" s="76" t="s">
        <v>2516</v>
      </c>
      <c r="AB11" s="375" t="s">
        <v>3187</v>
      </c>
      <c r="AC11" s="482"/>
      <c r="AD11" s="482" t="s">
        <v>3188</v>
      </c>
      <c r="AE11" s="482" t="s">
        <v>3189</v>
      </c>
      <c r="AF11" s="482"/>
      <c r="AG11" s="482"/>
      <c r="AH11" s="482"/>
      <c r="AI11" s="482"/>
      <c r="AJ11" s="482"/>
      <c r="AK11" s="499" t="s">
        <v>434</v>
      </c>
      <c r="AL11" s="147" t="s">
        <v>434</v>
      </c>
      <c r="AM11" s="147"/>
    </row>
    <row r="12" spans="1:39" s="150" customFormat="1" ht="167.25" customHeight="1">
      <c r="A12" s="476">
        <v>11</v>
      </c>
      <c r="B12" s="492" t="str">
        <f>Dashboard!$J$1</f>
        <v>MSB Accounting</v>
      </c>
      <c r="C12" s="493">
        <v>45742</v>
      </c>
      <c r="D12" s="493">
        <v>45755</v>
      </c>
      <c r="E12" s="201" t="s">
        <v>109</v>
      </c>
      <c r="F12" s="201" t="s">
        <v>313</v>
      </c>
      <c r="G12" s="494">
        <v>23665</v>
      </c>
      <c r="H12" s="213" t="s">
        <v>3190</v>
      </c>
      <c r="I12" s="496" t="s">
        <v>376</v>
      </c>
      <c r="J12" s="489">
        <v>3</v>
      </c>
      <c r="K12" s="490">
        <v>5.25</v>
      </c>
      <c r="L12" s="490">
        <v>21</v>
      </c>
      <c r="M12" s="490" t="s">
        <v>12</v>
      </c>
      <c r="N12" s="490" t="s">
        <v>315</v>
      </c>
      <c r="O12" s="490" t="s">
        <v>316</v>
      </c>
      <c r="P12" s="490" t="s">
        <v>315</v>
      </c>
      <c r="Q12" s="490" t="s">
        <v>316</v>
      </c>
      <c r="R12" s="495" t="s">
        <v>3191</v>
      </c>
      <c r="S12" s="487">
        <v>45750</v>
      </c>
      <c r="T12" s="487">
        <v>45750</v>
      </c>
      <c r="U12" s="488" t="s">
        <v>12</v>
      </c>
      <c r="V12" s="488" t="s">
        <v>3149</v>
      </c>
      <c r="W12" s="488" t="s">
        <v>12</v>
      </c>
      <c r="X12" s="487" t="s">
        <v>320</v>
      </c>
      <c r="Y12" s="488" t="s">
        <v>115</v>
      </c>
      <c r="Z12" s="151" t="s">
        <v>3192</v>
      </c>
      <c r="AA12" s="151" t="s">
        <v>3193</v>
      </c>
      <c r="AB12" s="482" t="s">
        <v>3194</v>
      </c>
      <c r="AC12" s="482"/>
      <c r="AD12" s="482"/>
      <c r="AE12" s="375" t="s">
        <v>3195</v>
      </c>
      <c r="AF12" s="375" t="s">
        <v>3196</v>
      </c>
      <c r="AG12" s="375" t="s">
        <v>3197</v>
      </c>
      <c r="AH12" s="375" t="s">
        <v>3198</v>
      </c>
      <c r="AI12" s="375" t="s">
        <v>3199</v>
      </c>
      <c r="AJ12" s="375" t="s">
        <v>3200</v>
      </c>
      <c r="AK12" s="499" t="s">
        <v>2428</v>
      </c>
      <c r="AL12" s="147" t="s">
        <v>434</v>
      </c>
      <c r="AM12" s="147"/>
    </row>
    <row r="13" spans="1:39" s="150" customFormat="1" ht="46.5">
      <c r="A13" s="476">
        <v>12</v>
      </c>
      <c r="B13" s="492" t="str">
        <f>Dashboard!$J$1</f>
        <v>MSB Accounting</v>
      </c>
      <c r="C13" s="493">
        <v>45742</v>
      </c>
      <c r="D13" s="493">
        <v>45755</v>
      </c>
      <c r="E13" s="213" t="s">
        <v>3201</v>
      </c>
      <c r="F13" s="201" t="s">
        <v>313</v>
      </c>
      <c r="G13" s="494">
        <v>24968</v>
      </c>
      <c r="H13" s="213" t="s">
        <v>3202</v>
      </c>
      <c r="I13" s="496" t="s">
        <v>376</v>
      </c>
      <c r="J13" s="489">
        <v>0</v>
      </c>
      <c r="K13" s="490">
        <v>2.25</v>
      </c>
      <c r="L13" s="490">
        <v>9.25</v>
      </c>
      <c r="M13" s="490" t="s">
        <v>12</v>
      </c>
      <c r="N13" s="490" t="s">
        <v>315</v>
      </c>
      <c r="O13" s="490" t="s">
        <v>316</v>
      </c>
      <c r="P13" s="490" t="s">
        <v>315</v>
      </c>
      <c r="Q13" s="490" t="s">
        <v>316</v>
      </c>
      <c r="R13" s="480" t="s">
        <v>320</v>
      </c>
      <c r="S13" s="481"/>
      <c r="T13" s="481"/>
      <c r="U13" s="151"/>
      <c r="V13" s="151"/>
      <c r="W13" s="151"/>
      <c r="X13" s="481"/>
      <c r="Y13" s="151"/>
      <c r="Z13" s="76" t="s">
        <v>2516</v>
      </c>
      <c r="AA13" s="76" t="s">
        <v>2516</v>
      </c>
      <c r="AB13" s="375" t="s">
        <v>3203</v>
      </c>
      <c r="AC13" s="482"/>
      <c r="AD13" s="482"/>
      <c r="AE13" s="482"/>
      <c r="AF13" s="482"/>
      <c r="AG13" s="482"/>
      <c r="AH13" s="482"/>
      <c r="AI13" s="375" t="s">
        <v>3204</v>
      </c>
      <c r="AJ13" s="375" t="s">
        <v>3205</v>
      </c>
      <c r="AK13" s="375" t="s">
        <v>3206</v>
      </c>
      <c r="AL13" s="502" t="s">
        <v>3207</v>
      </c>
      <c r="AM13" s="498"/>
    </row>
    <row r="14" spans="1:39" s="150" customFormat="1" ht="46.5">
      <c r="A14" s="476">
        <v>13</v>
      </c>
      <c r="B14" s="492" t="str">
        <f>Dashboard!$J$1</f>
        <v>MSB Accounting</v>
      </c>
      <c r="C14" s="493">
        <v>45742</v>
      </c>
      <c r="D14" s="493">
        <v>45755</v>
      </c>
      <c r="E14" s="213" t="s">
        <v>3201</v>
      </c>
      <c r="F14" s="201" t="s">
        <v>313</v>
      </c>
      <c r="G14" s="494">
        <v>24971</v>
      </c>
      <c r="H14" s="213" t="s">
        <v>3084</v>
      </c>
      <c r="I14" s="490" t="s">
        <v>348</v>
      </c>
      <c r="J14" s="489">
        <v>3</v>
      </c>
      <c r="K14" s="151"/>
      <c r="L14" s="151"/>
      <c r="M14" s="151"/>
      <c r="N14" s="151"/>
      <c r="O14" s="151"/>
      <c r="P14" s="151"/>
      <c r="Q14" s="151"/>
      <c r="R14" s="480"/>
      <c r="S14" s="481"/>
      <c r="T14" s="481"/>
      <c r="U14" s="151"/>
      <c r="V14" s="151"/>
      <c r="W14" s="151"/>
      <c r="X14" s="481"/>
      <c r="Y14" s="151"/>
      <c r="Z14" s="151"/>
      <c r="AA14" s="151"/>
      <c r="AB14" s="116" t="s">
        <v>3208</v>
      </c>
      <c r="AC14" s="482"/>
      <c r="AD14" s="482"/>
      <c r="AE14" s="482"/>
      <c r="AF14" s="482"/>
      <c r="AG14" s="482"/>
      <c r="AH14" s="482"/>
      <c r="AI14" s="482"/>
      <c r="AJ14" s="482"/>
      <c r="AK14" s="375" t="s">
        <v>3209</v>
      </c>
      <c r="AL14" s="375" t="s">
        <v>3210</v>
      </c>
      <c r="AM14" s="482"/>
    </row>
    <row r="15" spans="1:39" s="150" customFormat="1">
      <c r="I15" s="151"/>
      <c r="J15" s="479"/>
      <c r="K15" s="151"/>
      <c r="L15" s="151"/>
      <c r="M15" s="151"/>
      <c r="N15" s="151"/>
      <c r="O15" s="151"/>
      <c r="P15" s="151"/>
      <c r="Q15" s="151"/>
      <c r="R15" s="480"/>
      <c r="S15" s="481"/>
      <c r="T15" s="481"/>
      <c r="U15" s="151"/>
      <c r="V15" s="151"/>
      <c r="W15" s="151"/>
      <c r="X15" s="481"/>
      <c r="Y15" s="151"/>
      <c r="Z15" s="151"/>
      <c r="AA15" s="151"/>
      <c r="AB15" s="482"/>
      <c r="AC15" s="482"/>
      <c r="AD15" s="482"/>
      <c r="AE15" s="482"/>
      <c r="AF15" s="482"/>
      <c r="AG15" s="482"/>
      <c r="AH15" s="482"/>
      <c r="AI15" s="482"/>
      <c r="AJ15" s="482"/>
      <c r="AK15" s="482"/>
      <c r="AL15" s="482"/>
      <c r="AM15" s="482"/>
    </row>
    <row r="16" spans="1:39" s="150" customFormat="1">
      <c r="AL16" s="482"/>
      <c r="AM16" s="482"/>
    </row>
    <row r="17" spans="38:39" s="150" customFormat="1">
      <c r="AL17" s="482"/>
      <c r="AM17" s="482"/>
    </row>
    <row r="18" spans="38:39" s="150" customFormat="1">
      <c r="AL18" s="482"/>
      <c r="AM18" s="482"/>
    </row>
    <row r="19" spans="38:39" s="150" customFormat="1">
      <c r="AL19" s="482"/>
      <c r="AM19" s="482"/>
    </row>
    <row r="20" spans="38:39" s="150" customFormat="1"/>
    <row r="21" spans="38:39" s="150" customFormat="1"/>
    <row r="22" spans="38:39" s="150" customFormat="1"/>
  </sheetData>
  <conditionalFormatting sqref="J1 I6:I15">
    <cfRule type="containsText" dxfId="401" priority="7" operator="containsText" text="Closed">
      <formula>NOT(ISERROR(SEARCH("Closed",I1)))</formula>
    </cfRule>
    <cfRule type="containsText" dxfId="400" priority="8" operator="containsText" text="Open">
      <formula>NOT(ISERROR(SEARCH("Open",I1)))</formula>
    </cfRule>
    <cfRule type="containsText" dxfId="399" priority="9" operator="containsText" text="Inprogress">
      <formula>NOT(ISERROR(SEARCH("Inprogress",I1)))</formula>
    </cfRule>
  </conditionalFormatting>
  <conditionalFormatting sqref="I2">
    <cfRule type="containsText" dxfId="398" priority="4" operator="containsText" text="Closed">
      <formula>NOT(ISERROR(SEARCH("Closed",I2)))</formula>
    </cfRule>
    <cfRule type="containsText" dxfId="397" priority="5" operator="containsText" text="Open">
      <formula>NOT(ISERROR(SEARCH("Open",I2)))</formula>
    </cfRule>
    <cfRule type="containsText" dxfId="396" priority="6" operator="containsText" text="Inprogress">
      <formula>NOT(ISERROR(SEARCH("Inprogress",I2)))</formula>
    </cfRule>
  </conditionalFormatting>
  <conditionalFormatting sqref="I3:I5">
    <cfRule type="containsText" dxfId="395" priority="1" operator="containsText" text="Closed">
      <formula>NOT(ISERROR(SEARCH("Closed",I3)))</formula>
    </cfRule>
    <cfRule type="containsText" dxfId="394" priority="2" operator="containsText" text="Open">
      <formula>NOT(ISERROR(SEARCH("Open",I3)))</formula>
    </cfRule>
    <cfRule type="containsText" dxfId="393" priority="3" operator="containsText" text="Inprogress">
      <formula>NOT(ISERROR(SEARCH("Inprogress",I3)))</formula>
    </cfRule>
  </conditionalFormatting>
  <dataValidations count="10">
    <dataValidation type="list" showErrorMessage="1" sqref="W1:X1 M1 W8:W15 M8:M15 U1 U3 W3 M3 M6 W6 U6 U8:U15" xr:uid="{8B93D342-9BA8-4EEA-AE1F-52586CF69936}">
      <formula1>"Open,Inprogress,Completed,TBD,NA"</formula1>
    </dataValidation>
    <dataValidation type="list" showErrorMessage="1" sqref="Q1:R1 V1 Y1" xr:uid="{F43295DA-741D-416C-8738-979BA43168C5}">
      <formula1>"No issues found,Issues observed(BacktoDev),DB Script tests in QA DB,NA,TBD"</formula1>
    </dataValidation>
    <dataValidation type="list" showErrorMessage="1" sqref="P1" xr:uid="{9657642F-FB5D-4FB0-B650-CC0A104F53E6}">
      <formula1>"Qadir,Rijo,Karthik,None,TBD"</formula1>
    </dataValidation>
    <dataValidation type="list" showErrorMessage="1" sqref="Z1" xr:uid="{9E27EB35-31D5-46C3-86A8-2AC5CCC469EF}">
      <formula1>"Approved-Satisified AC,Not Approved(Back to Dev),NA,TBD"</formula1>
    </dataValidation>
    <dataValidation type="list" showErrorMessage="1" sqref="AA1:AB1" xr:uid="{1B007B7E-CDAB-456F-8C55-A5A3FEED75C5}">
      <formula1>"Pending-Waiting for Customer confirmation, Approved-Satisified AC,Not Approved-New minor changes requested(Back to Dev),NA,TBD"</formula1>
    </dataValidation>
    <dataValidation type="list" allowBlank="1" showErrorMessage="1" sqref="J1" xr:uid="{7F622751-6386-468C-9A62-D2050B329F41}">
      <formula1>"Open,Inprogress,Closed"</formula1>
    </dataValidation>
    <dataValidation showErrorMessage="1" sqref="I1" xr:uid="{14A7E2A8-6CD6-4CF3-A984-C612610F99EB}"/>
    <dataValidation type="list" showErrorMessage="1" sqref="O1 O3 O6 O8:O15" xr:uid="{322E3841-20A5-4CF7-928C-25916E971009}">
      <formula1>"Pass,Fail(BacktoDev),DB Script tests in QA DB,TBD"</formula1>
    </dataValidation>
    <dataValidation type="list" showErrorMessage="1" sqref="N1 P3 N3 P8:P15 P6 N6 N8:N15" xr:uid="{D939690A-8EC9-4699-937D-06D5E2277486}">
      <formula1>"Qadir,Rijo,Karthik,Sushmitha,None,TBD"</formula1>
    </dataValidation>
    <dataValidation allowBlank="1" showInputMessage="1" showErrorMessage="1" sqref="V8:V15 Q8:Q15 V3 Y3:AA3 Q3 Q6 V6 Y6:AA6 Y8:AA15" xr:uid="{D6A3B5CD-14EF-45E3-A2F4-A5F2CB089E05}"/>
  </dataValidations>
  <hyperlinks>
    <hyperlink ref="R3" r:id="rId1" xr:uid="{4313E99F-438D-440E-9C0B-FA90765C1FBB}"/>
    <hyperlink ref="R11" r:id="rId2" xr:uid="{94EB5528-7B62-470A-A24F-77F4A3E6E8C6}"/>
    <hyperlink ref="R6" r:id="rId3" xr:uid="{7EA500EF-C595-42D8-85CC-D67804C1D264}"/>
    <hyperlink ref="R12" r:id="rId4" xr:uid="{D66CA8BF-8E45-46FB-8DA5-0BC3A201D48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74D686A-A66A-4FDF-A5A7-BAF1A8564B75}">
          <x14:formula1>
            <xm:f>Settings!$C$3:$C$20</xm:f>
          </x14:formula1>
          <xm:sqref>I2:I15</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F2ED9-0701-4873-A580-B41D006D627E}">
  <dimension ref="A1:AB10"/>
  <sheetViews>
    <sheetView topLeftCell="G1" workbookViewId="0">
      <selection activeCell="L10" sqref="L10"/>
    </sheetView>
  </sheetViews>
  <sheetFormatPr defaultRowHeight="12.75"/>
  <cols>
    <col min="2" max="2" width="17.42578125" customWidth="1"/>
    <col min="3" max="3" width="16.85546875" customWidth="1"/>
    <col min="4" max="4" width="22.85546875" customWidth="1"/>
    <col min="5" max="5" width="21.7109375" customWidth="1"/>
    <col min="7" max="7" width="44.28515625" customWidth="1"/>
    <col min="8" max="8" width="18.28515625" customWidth="1"/>
    <col min="11" max="11" width="14.42578125" bestFit="1" customWidth="1"/>
    <col min="12" max="12" width="27" customWidth="1"/>
    <col min="13" max="13" width="83" style="150" customWidth="1"/>
  </cols>
  <sheetData>
    <row r="1" spans="1:28" ht="27">
      <c r="A1" s="384" t="s">
        <v>266</v>
      </c>
      <c r="B1" s="1" t="s">
        <v>10</v>
      </c>
      <c r="C1" s="385" t="s">
        <v>267</v>
      </c>
      <c r="D1" s="385" t="s">
        <v>268</v>
      </c>
      <c r="E1" s="1" t="s">
        <v>269</v>
      </c>
      <c r="F1" s="385" t="s">
        <v>270</v>
      </c>
      <c r="G1" s="385" t="s">
        <v>271</v>
      </c>
      <c r="H1" s="1" t="s">
        <v>272</v>
      </c>
      <c r="I1" s="1" t="s">
        <v>273</v>
      </c>
      <c r="J1" s="1" t="s">
        <v>274</v>
      </c>
      <c r="K1" s="1" t="s">
        <v>275</v>
      </c>
      <c r="L1" s="386" t="s">
        <v>276</v>
      </c>
      <c r="M1" s="527" t="s">
        <v>277</v>
      </c>
      <c r="N1" s="31"/>
      <c r="O1" s="31"/>
      <c r="P1" s="31"/>
      <c r="Q1" s="31"/>
      <c r="R1" s="31"/>
      <c r="S1" s="31"/>
      <c r="T1" s="31"/>
      <c r="U1" s="31"/>
      <c r="V1" s="31"/>
      <c r="W1" s="31"/>
      <c r="X1" s="31"/>
      <c r="Y1" s="31"/>
      <c r="Z1" s="31"/>
      <c r="AA1" s="31"/>
      <c r="AB1" s="31"/>
    </row>
    <row r="2" spans="1:28" ht="51" customHeight="1">
      <c r="A2">
        <v>1</v>
      </c>
      <c r="B2" s="11" t="s">
        <v>109</v>
      </c>
      <c r="C2" s="157">
        <v>24898</v>
      </c>
      <c r="D2" s="387"/>
      <c r="E2" s="201" t="s">
        <v>313</v>
      </c>
      <c r="F2" s="388" t="s">
        <v>522</v>
      </c>
      <c r="G2" s="77" t="s">
        <v>3147</v>
      </c>
      <c r="H2" s="11" t="s">
        <v>1670</v>
      </c>
      <c r="I2" s="388" t="s">
        <v>518</v>
      </c>
      <c r="J2" s="11" t="s">
        <v>525</v>
      </c>
      <c r="K2" s="497" t="s">
        <v>576</v>
      </c>
      <c r="L2" s="524" t="s">
        <v>529</v>
      </c>
      <c r="M2" s="526" t="s">
        <v>3211</v>
      </c>
    </row>
    <row r="3" spans="1:28" ht="23.25">
      <c r="A3">
        <v>2</v>
      </c>
      <c r="B3" s="11" t="s">
        <v>109</v>
      </c>
      <c r="C3" s="157">
        <v>24949</v>
      </c>
      <c r="D3" s="387"/>
      <c r="E3" s="201" t="s">
        <v>317</v>
      </c>
      <c r="F3" s="388" t="s">
        <v>522</v>
      </c>
      <c r="G3" s="77" t="s">
        <v>3212</v>
      </c>
      <c r="H3" s="11" t="s">
        <v>1670</v>
      </c>
      <c r="I3" s="388" t="s">
        <v>518</v>
      </c>
      <c r="J3" s="11" t="s">
        <v>525</v>
      </c>
      <c r="K3" s="497" t="s">
        <v>576</v>
      </c>
      <c r="L3" s="524" t="s">
        <v>1186</v>
      </c>
      <c r="M3" s="146" t="s">
        <v>3213</v>
      </c>
    </row>
    <row r="4" spans="1:28" ht="62.25" customHeight="1">
      <c r="A4">
        <v>3</v>
      </c>
      <c r="B4" s="11" t="s">
        <v>109</v>
      </c>
      <c r="C4" s="157">
        <v>23665</v>
      </c>
      <c r="D4" s="387"/>
      <c r="E4" s="201" t="s">
        <v>313</v>
      </c>
      <c r="F4" s="388" t="s">
        <v>522</v>
      </c>
      <c r="G4" s="77" t="s">
        <v>3190</v>
      </c>
      <c r="H4" s="11" t="s">
        <v>1670</v>
      </c>
      <c r="I4" s="388" t="s">
        <v>518</v>
      </c>
      <c r="J4" s="11" t="s">
        <v>519</v>
      </c>
      <c r="K4" s="503" t="s">
        <v>576</v>
      </c>
      <c r="L4" s="524" t="s">
        <v>1325</v>
      </c>
      <c r="M4" s="526" t="s">
        <v>3214</v>
      </c>
    </row>
    <row r="5" spans="1:28" ht="75" customHeight="1">
      <c r="A5">
        <v>4</v>
      </c>
      <c r="B5" s="11" t="s">
        <v>109</v>
      </c>
      <c r="C5" s="157">
        <v>24968</v>
      </c>
      <c r="D5" s="387"/>
      <c r="E5" s="201" t="s">
        <v>313</v>
      </c>
      <c r="F5" s="388" t="s">
        <v>522</v>
      </c>
      <c r="G5" s="77" t="s">
        <v>3215</v>
      </c>
      <c r="H5" s="11" t="s">
        <v>1670</v>
      </c>
      <c r="I5" s="388" t="s">
        <v>518</v>
      </c>
      <c r="J5" s="11" t="s">
        <v>519</v>
      </c>
      <c r="K5" s="503" t="s">
        <v>576</v>
      </c>
      <c r="L5" s="524" t="s">
        <v>529</v>
      </c>
      <c r="M5" s="526" t="s">
        <v>3216</v>
      </c>
    </row>
    <row r="6" spans="1:28">
      <c r="B6" s="11"/>
      <c r="C6" s="157"/>
      <c r="D6" s="387"/>
      <c r="E6" s="93"/>
      <c r="F6" s="388"/>
      <c r="G6" s="77"/>
      <c r="H6" s="11"/>
      <c r="I6" s="388"/>
      <c r="J6" s="11"/>
      <c r="K6" s="466"/>
      <c r="L6" s="525"/>
      <c r="M6" s="147"/>
    </row>
    <row r="7" spans="1:28">
      <c r="B7" s="11"/>
      <c r="C7" s="157"/>
      <c r="D7" s="387"/>
      <c r="E7" s="93"/>
      <c r="F7" s="388"/>
      <c r="G7" s="77"/>
      <c r="H7" s="11"/>
      <c r="I7" s="388"/>
      <c r="J7" s="11"/>
      <c r="K7" s="466"/>
      <c r="L7" s="525"/>
      <c r="M7" s="147"/>
    </row>
    <row r="8" spans="1:28">
      <c r="B8" s="11"/>
      <c r="C8" s="157"/>
      <c r="D8" s="387"/>
      <c r="E8" s="93"/>
      <c r="F8" s="388"/>
      <c r="G8" s="77"/>
      <c r="H8" s="11"/>
      <c r="I8" s="388"/>
      <c r="J8" s="11"/>
      <c r="K8" s="466"/>
      <c r="L8" s="525"/>
      <c r="M8" s="147"/>
    </row>
    <row r="9" spans="1:28">
      <c r="B9" s="11"/>
      <c r="C9" s="157"/>
      <c r="D9" s="387"/>
      <c r="E9" s="93"/>
      <c r="F9" s="388"/>
      <c r="G9" s="77"/>
      <c r="H9" s="11"/>
      <c r="I9" s="388"/>
      <c r="J9" s="11"/>
      <c r="K9" s="466"/>
      <c r="L9" s="525"/>
      <c r="M9" s="147"/>
    </row>
    <row r="10" spans="1:28">
      <c r="B10" s="11"/>
      <c r="C10" s="157"/>
      <c r="D10" s="387"/>
      <c r="E10" s="93"/>
      <c r="F10" s="388"/>
      <c r="G10" s="77"/>
      <c r="H10" s="11"/>
      <c r="I10" s="388"/>
      <c r="J10" s="11"/>
      <c r="K10" s="466"/>
      <c r="L10" s="525"/>
      <c r="M10" s="147"/>
    </row>
  </sheetData>
  <dataValidations count="6">
    <dataValidation type="list" allowBlank="1" showErrorMessage="1" sqref="L6:L10" xr:uid="{B64376B8-6FE1-4AEC-B27B-AE8D620D7BBE}">
      <formula1>$A$2:$A$10</formula1>
    </dataValidation>
    <dataValidation type="list" allowBlank="1" showErrorMessage="1" sqref="I2:I10" xr:uid="{432E3FA2-003F-40A4-9E9C-EA1C824ED0DC}">
      <formula1>"Manual, Automation"</formula1>
    </dataValidation>
    <dataValidation type="list" allowBlank="1" showErrorMessage="1" sqref="H2:H10" xr:uid="{80AA549F-C58B-4D9D-8CD2-FE7B7C855EB3}">
      <formula1>"Minor,Significant,Major"</formula1>
    </dataValidation>
    <dataValidation type="list" allowBlank="1" showErrorMessage="1" sqref="J2:J10" xr:uid="{FBACC7B3-3337-40E3-A898-90DA21DEE702}">
      <formula1>"Internal,External"</formula1>
    </dataValidation>
    <dataValidation type="list" allowBlank="1" showErrorMessage="1" sqref="F2:F10" xr:uid="{1B3D6BF9-A25C-46F3-B435-D2DA72C8303B}">
      <formula1>"Bounceback/Sub-Defect,Defect,None"</formula1>
    </dataValidation>
    <dataValidation type="list" allowBlank="1" showErrorMessage="1" sqref="K2:K10" xr:uid="{65DC3B92-F913-4C0D-A4F1-177581541237}">
      <formula1>"Open,Inprogress,Closed"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FB5FF73-9B42-4AC8-AFB5-5522C8DBB907}">
          <x14:formula1>
            <xm:f>Details!$A$2:$A$10</xm:f>
          </x14:formula1>
          <xm:sqref>L2:L5</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5970-51E3-4587-B7AA-4E9D7E797489}">
  <dimension ref="A1:L8"/>
  <sheetViews>
    <sheetView topLeftCell="B1" workbookViewId="0">
      <selection activeCell="J2" sqref="J2"/>
    </sheetView>
  </sheetViews>
  <sheetFormatPr defaultRowHeight="12.75"/>
  <cols>
    <col min="1" max="1" width="11.7109375" style="310" bestFit="1" customWidth="1"/>
    <col min="2" max="2" width="13.28515625" style="310" bestFit="1" customWidth="1"/>
    <col min="3" max="3" width="10.7109375" style="310" bestFit="1" customWidth="1"/>
    <col min="4" max="5" width="9.140625" style="310" bestFit="1" customWidth="1"/>
    <col min="6" max="6" width="45" style="310" customWidth="1"/>
    <col min="7" max="7" width="9.7109375" style="310" bestFit="1" customWidth="1"/>
    <col min="8" max="8" width="11.85546875" style="310" bestFit="1" customWidth="1"/>
    <col min="9" max="9" width="8" style="310" bestFit="1" customWidth="1"/>
    <col min="10" max="10" width="9.5703125" style="310" bestFit="1" customWidth="1"/>
    <col min="11" max="11" width="19.28515625" style="310" bestFit="1" customWidth="1"/>
    <col min="12" max="12" width="71.28515625" style="452" customWidth="1"/>
    <col min="13" max="16384" width="9.140625" style="310"/>
  </cols>
  <sheetData>
    <row r="1" spans="1:12" ht="13.5">
      <c r="A1" s="444" t="s">
        <v>10</v>
      </c>
      <c r="B1" s="444" t="s">
        <v>267</v>
      </c>
      <c r="C1" s="444" t="s">
        <v>268</v>
      </c>
      <c r="D1" s="444" t="s">
        <v>269</v>
      </c>
      <c r="E1" s="444" t="s">
        <v>270</v>
      </c>
      <c r="F1" s="445" t="s">
        <v>271</v>
      </c>
      <c r="G1" s="444" t="s">
        <v>272</v>
      </c>
      <c r="H1" s="446" t="s">
        <v>273</v>
      </c>
      <c r="I1" s="446" t="s">
        <v>274</v>
      </c>
      <c r="J1" s="444" t="s">
        <v>275</v>
      </c>
      <c r="K1" s="447" t="s">
        <v>276</v>
      </c>
      <c r="L1" s="448" t="s">
        <v>277</v>
      </c>
    </row>
    <row r="2" spans="1:12" ht="35.25">
      <c r="A2" s="288" t="s">
        <v>104</v>
      </c>
      <c r="B2" s="288">
        <v>24833</v>
      </c>
      <c r="C2" s="288"/>
      <c r="D2" s="288" t="s">
        <v>317</v>
      </c>
      <c r="E2" s="442" t="s">
        <v>522</v>
      </c>
      <c r="F2" s="281" t="s">
        <v>3217</v>
      </c>
      <c r="G2" s="449" t="s">
        <v>1670</v>
      </c>
      <c r="H2" s="450" t="s">
        <v>518</v>
      </c>
      <c r="I2" s="443" t="s">
        <v>525</v>
      </c>
      <c r="J2" s="466" t="s">
        <v>576</v>
      </c>
      <c r="K2" s="442" t="s">
        <v>529</v>
      </c>
      <c r="L2" s="281" t="s">
        <v>3218</v>
      </c>
    </row>
    <row r="3" spans="1:12" ht="35.25">
      <c r="A3" s="288" t="s">
        <v>104</v>
      </c>
      <c r="B3" s="288">
        <v>24856</v>
      </c>
      <c r="C3" s="451"/>
      <c r="D3" s="288" t="s">
        <v>315</v>
      </c>
      <c r="E3" s="449" t="s">
        <v>522</v>
      </c>
      <c r="F3" s="203" t="s">
        <v>3219</v>
      </c>
      <c r="G3" s="449" t="s">
        <v>1670</v>
      </c>
      <c r="H3" s="450" t="s">
        <v>518</v>
      </c>
      <c r="I3" s="443" t="s">
        <v>519</v>
      </c>
      <c r="J3" s="466" t="s">
        <v>576</v>
      </c>
      <c r="K3" s="442" t="s">
        <v>529</v>
      </c>
      <c r="L3" s="281" t="s">
        <v>3220</v>
      </c>
    </row>
    <row r="4" spans="1:12" ht="35.25">
      <c r="A4" s="288" t="s">
        <v>104</v>
      </c>
      <c r="B4" s="288">
        <v>24886</v>
      </c>
      <c r="C4" s="451"/>
      <c r="D4" s="288" t="s">
        <v>315</v>
      </c>
      <c r="E4" s="442" t="s">
        <v>522</v>
      </c>
      <c r="F4" s="203" t="s">
        <v>3221</v>
      </c>
      <c r="G4" s="449" t="s">
        <v>1670</v>
      </c>
      <c r="H4" s="450" t="s">
        <v>518</v>
      </c>
      <c r="I4" s="443" t="s">
        <v>519</v>
      </c>
      <c r="J4" s="466" t="s">
        <v>576</v>
      </c>
      <c r="K4" s="442" t="s">
        <v>529</v>
      </c>
      <c r="L4" s="281" t="s">
        <v>3222</v>
      </c>
    </row>
    <row r="5" spans="1:12" ht="35.25">
      <c r="A5" s="288" t="s">
        <v>104</v>
      </c>
      <c r="B5" s="288">
        <v>24883</v>
      </c>
      <c r="C5" s="451"/>
      <c r="D5" s="288" t="s">
        <v>317</v>
      </c>
      <c r="E5" s="442" t="s">
        <v>522</v>
      </c>
      <c r="F5" s="203" t="s">
        <v>3223</v>
      </c>
      <c r="G5" s="449" t="s">
        <v>524</v>
      </c>
      <c r="H5" s="450" t="s">
        <v>518</v>
      </c>
      <c r="I5" s="443" t="s">
        <v>519</v>
      </c>
      <c r="J5" s="466" t="s">
        <v>576</v>
      </c>
      <c r="K5" s="442" t="s">
        <v>1186</v>
      </c>
      <c r="L5" s="281" t="s">
        <v>3224</v>
      </c>
    </row>
    <row r="6" spans="1:12">
      <c r="A6" s="288"/>
      <c r="B6" s="288"/>
      <c r="C6" s="451"/>
      <c r="D6" s="288"/>
      <c r="E6" s="449"/>
      <c r="F6" s="204"/>
      <c r="G6" s="449"/>
      <c r="H6" s="442"/>
      <c r="I6" s="442"/>
      <c r="J6" s="442"/>
      <c r="K6" s="449"/>
      <c r="L6" s="203"/>
    </row>
    <row r="7" spans="1:12">
      <c r="A7" s="288"/>
      <c r="B7" s="288"/>
      <c r="C7" s="451"/>
      <c r="D7" s="288"/>
      <c r="E7" s="449"/>
      <c r="F7" s="204"/>
      <c r="G7" s="449"/>
      <c r="H7" s="442"/>
      <c r="I7" s="442"/>
      <c r="J7" s="442"/>
      <c r="K7" s="449"/>
      <c r="L7" s="203"/>
    </row>
    <row r="8" spans="1:12">
      <c r="A8" s="288"/>
      <c r="B8" s="288"/>
      <c r="C8" s="451"/>
      <c r="D8" s="288"/>
      <c r="E8" s="442"/>
      <c r="F8" s="204"/>
      <c r="G8" s="449"/>
      <c r="H8" s="442"/>
      <c r="I8" s="442"/>
      <c r="J8" s="442"/>
      <c r="K8" s="449"/>
      <c r="L8" s="203"/>
    </row>
  </sheetData>
  <dataValidations count="8">
    <dataValidation type="list" allowBlank="1" showInputMessage="1" showErrorMessage="1" sqref="D2:D8" xr:uid="{DB3E7E7A-5996-430E-95E9-1F488EEA5889}">
      <formula1>"Qadir,Rijo,Karthik, Rijo-Karthik, Qadir-Rijo-Karthik"</formula1>
    </dataValidation>
    <dataValidation type="list" allowBlank="1" showErrorMessage="1" sqref="E2 E8 E4:E5" xr:uid="{8F500E2E-C710-4FF7-8246-9D15194A5CF7}">
      <formula1>"Bounceback,Defect,DefectFromEscalation,None"</formula1>
    </dataValidation>
    <dataValidation type="list" allowBlank="1" showErrorMessage="1" sqref="H6:H8 I2:I5" xr:uid="{4089991A-8FCF-4C96-B18E-2CA66985DEA9}">
      <formula1>"Internal,External"</formula1>
    </dataValidation>
    <dataValidation type="list" allowBlank="1" showErrorMessage="1" sqref="I6:I8 J2:J5" xr:uid="{49E968F2-F8C3-4AF9-8836-22713B7EB88C}">
      <formula1>"Open,Inprogress,Closed"</formula1>
    </dataValidation>
    <dataValidation type="list" allowBlank="1" showErrorMessage="1" sqref="G2:G8" xr:uid="{91449DB8-0391-4454-9C60-F477B24BFCDD}">
      <formula1>"Minor,Significant,Major"</formula1>
    </dataValidation>
    <dataValidation type="list" allowBlank="1" showErrorMessage="1" sqref="E3 E6:E7" xr:uid="{362AAF8C-BB30-4FE6-AAE2-CCA7D42880E1}">
      <formula1>"Bounceback,Defect,None"</formula1>
    </dataValidation>
    <dataValidation type="list" allowBlank="1" showErrorMessage="1" sqref="H2:H5" xr:uid="{227796C0-AB8B-47E3-A649-B220D44FF4AA}">
      <formula1>"Manual, Automation"</formula1>
    </dataValidation>
    <dataValidation type="list" allowBlank="1" showErrorMessage="1" sqref="K6:K8" xr:uid="{F2813D22-E4D0-4194-B209-8CA4D2627DD8}">
      <formula1>$A$2:$A$10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EE768DD-3708-4BE9-95CA-78530D9BD835}">
          <x14:formula1>
            <xm:f>Details!$A$2:$A$10</xm:f>
          </x14:formula1>
          <xm:sqref>J6:J8 K2:K5</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AFBFD-0868-40E6-A9A7-F47CF896BD4C}">
  <dimension ref="A1:AM14"/>
  <sheetViews>
    <sheetView topLeftCell="A9" workbookViewId="0">
      <selection activeCell="E13" sqref="E13"/>
    </sheetView>
  </sheetViews>
  <sheetFormatPr defaultRowHeight="12.75"/>
  <cols>
    <col min="2" max="2" width="20.140625" customWidth="1"/>
    <col min="3" max="3" width="15.42578125" customWidth="1"/>
    <col min="4" max="4" width="14.42578125" customWidth="1"/>
    <col min="5" max="5" width="11.85546875" customWidth="1"/>
    <col min="6" max="6" width="14.28515625" bestFit="1" customWidth="1"/>
    <col min="7" max="7" width="9.140625" style="394"/>
    <col min="8" max="8" width="35.5703125" customWidth="1"/>
    <col min="9" max="9" width="23.140625" style="394" customWidth="1"/>
    <col min="10" max="12" width="9.140625" style="394"/>
    <col min="13" max="13" width="10.7109375" customWidth="1"/>
    <col min="15" max="15" width="36.5703125" bestFit="1" customWidth="1"/>
    <col min="17" max="17" width="14.140625" bestFit="1" customWidth="1"/>
    <col min="18" max="18" width="38.7109375" customWidth="1"/>
    <col min="21" max="21" width="9.85546875" bestFit="1" customWidth="1"/>
    <col min="23" max="23" width="9.85546875" bestFit="1" customWidth="1"/>
    <col min="26" max="26" width="28.85546875" customWidth="1"/>
    <col min="27" max="27" width="36.5703125" bestFit="1" customWidth="1"/>
    <col min="28" max="28" width="37.5703125" customWidth="1"/>
    <col min="29" max="29" width="13.7109375" customWidth="1"/>
    <col min="30" max="30" width="13.28515625" customWidth="1"/>
    <col min="31" max="31" width="13.42578125" customWidth="1"/>
    <col min="32" max="32" width="20.85546875" customWidth="1"/>
    <col min="33" max="33" width="16.140625" customWidth="1"/>
    <col min="34" max="34" width="22.28515625" customWidth="1"/>
    <col min="35" max="35" width="36.5703125" bestFit="1" customWidth="1"/>
    <col min="36" max="36" width="22.140625" customWidth="1"/>
    <col min="37" max="37" width="14.140625" customWidth="1"/>
    <col min="38" max="38" width="11.42578125" customWidth="1"/>
  </cols>
  <sheetData>
    <row r="1" spans="1:39" ht="67.5">
      <c r="A1" s="396" t="s">
        <v>266</v>
      </c>
      <c r="B1" s="108" t="s">
        <v>4</v>
      </c>
      <c r="C1" s="108" t="s">
        <v>2</v>
      </c>
      <c r="D1" s="108" t="s">
        <v>3</v>
      </c>
      <c r="E1" s="396" t="s">
        <v>278</v>
      </c>
      <c r="F1" s="396" t="s">
        <v>269</v>
      </c>
      <c r="G1" s="396" t="s">
        <v>279</v>
      </c>
      <c r="H1" s="396" t="s">
        <v>280</v>
      </c>
      <c r="I1" s="396" t="s">
        <v>275</v>
      </c>
      <c r="J1" s="396" t="s">
        <v>281</v>
      </c>
      <c r="K1" s="396" t="s">
        <v>282</v>
      </c>
      <c r="L1" s="396" t="s">
        <v>283</v>
      </c>
      <c r="M1" s="396" t="s">
        <v>286</v>
      </c>
      <c r="N1" s="396" t="s">
        <v>287</v>
      </c>
      <c r="O1" s="396" t="s">
        <v>288</v>
      </c>
      <c r="P1" s="396" t="s">
        <v>289</v>
      </c>
      <c r="Q1" s="396" t="s">
        <v>290</v>
      </c>
      <c r="R1" s="396" t="s">
        <v>291</v>
      </c>
      <c r="S1" s="426" t="s">
        <v>292</v>
      </c>
      <c r="T1" s="426" t="s">
        <v>293</v>
      </c>
      <c r="U1" s="396" t="s">
        <v>294</v>
      </c>
      <c r="V1" s="396" t="s">
        <v>295</v>
      </c>
      <c r="W1" s="396" t="s">
        <v>296</v>
      </c>
      <c r="X1" s="426" t="s">
        <v>297</v>
      </c>
      <c r="Y1" s="396" t="s">
        <v>298</v>
      </c>
      <c r="Z1" s="396" t="s">
        <v>299</v>
      </c>
      <c r="AA1" s="396" t="s">
        <v>300</v>
      </c>
      <c r="AB1" s="427" t="s">
        <v>277</v>
      </c>
      <c r="AC1" s="428">
        <v>45728</v>
      </c>
      <c r="AD1" s="428">
        <v>45729</v>
      </c>
      <c r="AE1" s="428">
        <v>45730</v>
      </c>
      <c r="AF1" s="428">
        <v>45733</v>
      </c>
      <c r="AG1" s="428">
        <v>45734</v>
      </c>
      <c r="AH1" s="428">
        <v>45735</v>
      </c>
      <c r="AI1" s="428">
        <v>45736</v>
      </c>
      <c r="AJ1" s="428">
        <v>45737</v>
      </c>
      <c r="AK1" s="428">
        <v>45740</v>
      </c>
      <c r="AL1" s="428">
        <v>45741</v>
      </c>
      <c r="AM1" s="429"/>
    </row>
    <row r="2" spans="1:39" ht="60" customHeight="1">
      <c r="A2" s="430">
        <v>1</v>
      </c>
      <c r="B2" s="431" t="str">
        <f>Dashboard!$J$1</f>
        <v>MSB Accounting</v>
      </c>
      <c r="C2" s="432">
        <v>45728</v>
      </c>
      <c r="D2" s="432">
        <v>45741</v>
      </c>
      <c r="E2" s="433" t="s">
        <v>104</v>
      </c>
      <c r="F2" s="431" t="s">
        <v>315</v>
      </c>
      <c r="G2" s="472">
        <v>47364</v>
      </c>
      <c r="H2" s="431" t="s">
        <v>3225</v>
      </c>
      <c r="I2" s="474" t="s">
        <v>306</v>
      </c>
      <c r="J2" s="471">
        <v>3</v>
      </c>
      <c r="K2" s="471">
        <v>7</v>
      </c>
      <c r="L2" s="471">
        <v>28</v>
      </c>
      <c r="M2" s="431" t="s">
        <v>12</v>
      </c>
      <c r="N2" s="431" t="s">
        <v>313</v>
      </c>
      <c r="O2" s="431" t="s">
        <v>316</v>
      </c>
      <c r="P2" s="431" t="s">
        <v>317</v>
      </c>
      <c r="Q2" s="431" t="s">
        <v>3226</v>
      </c>
      <c r="R2" s="434" t="s">
        <v>3227</v>
      </c>
      <c r="S2" s="432">
        <v>45720</v>
      </c>
      <c r="T2" s="432">
        <v>45721</v>
      </c>
      <c r="U2" s="431" t="s">
        <v>12</v>
      </c>
      <c r="V2" s="431" t="s">
        <v>3228</v>
      </c>
      <c r="W2" s="431" t="s">
        <v>12</v>
      </c>
      <c r="X2" s="432" t="s">
        <v>320</v>
      </c>
      <c r="Y2" s="431" t="s">
        <v>115</v>
      </c>
      <c r="Z2" s="435" t="s">
        <v>2516</v>
      </c>
      <c r="AA2" s="431" t="s">
        <v>3229</v>
      </c>
      <c r="AB2" s="431" t="s">
        <v>3230</v>
      </c>
      <c r="AC2" s="431" t="s">
        <v>3231</v>
      </c>
      <c r="AD2" s="435" t="s">
        <v>1241</v>
      </c>
      <c r="AE2" s="435" t="s">
        <v>3232</v>
      </c>
      <c r="AF2" s="311" t="s">
        <v>3233</v>
      </c>
      <c r="AG2" s="435" t="s">
        <v>3234</v>
      </c>
      <c r="AH2" s="435" t="s">
        <v>3235</v>
      </c>
      <c r="AI2" s="431" t="s">
        <v>434</v>
      </c>
      <c r="AJ2" s="435" t="s">
        <v>434</v>
      </c>
      <c r="AK2" s="435" t="s">
        <v>434</v>
      </c>
      <c r="AL2" s="435" t="s">
        <v>434</v>
      </c>
      <c r="AM2" s="436"/>
    </row>
    <row r="3" spans="1:39" ht="81">
      <c r="A3" s="282">
        <v>2</v>
      </c>
      <c r="B3" s="437" t="str">
        <f>Dashboard!$J$1</f>
        <v>MSB Accounting</v>
      </c>
      <c r="C3" s="438">
        <v>45728</v>
      </c>
      <c r="D3" s="438">
        <v>45741</v>
      </c>
      <c r="E3" s="433" t="s">
        <v>104</v>
      </c>
      <c r="F3" s="437" t="s">
        <v>315</v>
      </c>
      <c r="G3" s="473">
        <v>47445</v>
      </c>
      <c r="H3" s="437" t="s">
        <v>3236</v>
      </c>
      <c r="I3" s="474" t="s">
        <v>306</v>
      </c>
      <c r="J3" s="111">
        <v>3</v>
      </c>
      <c r="K3" s="111">
        <v>4</v>
      </c>
      <c r="L3" s="111">
        <v>13.75</v>
      </c>
      <c r="M3" s="431" t="s">
        <v>12</v>
      </c>
      <c r="N3" s="431" t="s">
        <v>313</v>
      </c>
      <c r="O3" s="431" t="s">
        <v>316</v>
      </c>
      <c r="P3" s="431" t="s">
        <v>317</v>
      </c>
      <c r="Q3" s="431" t="s">
        <v>3226</v>
      </c>
      <c r="R3" s="369" t="s">
        <v>3237</v>
      </c>
      <c r="S3" s="438">
        <v>45729</v>
      </c>
      <c r="T3" s="438">
        <v>45729</v>
      </c>
      <c r="U3" s="437" t="s">
        <v>12</v>
      </c>
      <c r="V3" s="437" t="s">
        <v>3149</v>
      </c>
      <c r="W3" s="437" t="s">
        <v>12</v>
      </c>
      <c r="X3" s="438" t="s">
        <v>320</v>
      </c>
      <c r="Y3" s="437" t="s">
        <v>115</v>
      </c>
      <c r="Z3" s="17" t="s">
        <v>2516</v>
      </c>
      <c r="AA3" s="17" t="s">
        <v>2516</v>
      </c>
      <c r="AB3" s="282" t="s">
        <v>3238</v>
      </c>
      <c r="AC3" s="311" t="s">
        <v>3239</v>
      </c>
      <c r="AD3" s="311" t="s">
        <v>3240</v>
      </c>
      <c r="AE3" s="311" t="s">
        <v>3241</v>
      </c>
      <c r="AF3" s="282" t="s">
        <v>3242</v>
      </c>
      <c r="AG3" s="282" t="s">
        <v>434</v>
      </c>
      <c r="AH3" s="282" t="s">
        <v>434</v>
      </c>
      <c r="AI3" s="282" t="s">
        <v>434</v>
      </c>
      <c r="AJ3" s="282" t="s">
        <v>434</v>
      </c>
      <c r="AK3" s="282" t="s">
        <v>434</v>
      </c>
      <c r="AL3" s="282" t="s">
        <v>434</v>
      </c>
    </row>
    <row r="4" spans="1:39" ht="62.25" customHeight="1">
      <c r="A4" s="282">
        <v>3</v>
      </c>
      <c r="B4" s="437" t="str">
        <f>Dashboard!$J$1</f>
        <v>MSB Accounting</v>
      </c>
      <c r="C4" s="438">
        <v>45728</v>
      </c>
      <c r="D4" s="438">
        <v>45741</v>
      </c>
      <c r="E4" s="433" t="s">
        <v>104</v>
      </c>
      <c r="F4" s="282" t="s">
        <v>313</v>
      </c>
      <c r="G4" s="111">
        <v>47509</v>
      </c>
      <c r="H4" s="311" t="s">
        <v>3243</v>
      </c>
      <c r="I4" s="474" t="s">
        <v>306</v>
      </c>
      <c r="J4" s="111">
        <v>2</v>
      </c>
      <c r="K4" s="111">
        <v>4</v>
      </c>
      <c r="L4" s="111">
        <v>17</v>
      </c>
      <c r="M4" s="431" t="s">
        <v>12</v>
      </c>
      <c r="N4" s="431" t="s">
        <v>315</v>
      </c>
      <c r="O4" s="431" t="s">
        <v>316</v>
      </c>
      <c r="P4" s="431" t="s">
        <v>317</v>
      </c>
      <c r="Q4" s="431" t="s">
        <v>3226</v>
      </c>
      <c r="R4" s="369" t="s">
        <v>3244</v>
      </c>
      <c r="S4" s="438">
        <v>45730</v>
      </c>
      <c r="T4" s="438">
        <v>45730</v>
      </c>
      <c r="U4" s="437" t="s">
        <v>12</v>
      </c>
      <c r="V4" s="437" t="s">
        <v>3149</v>
      </c>
      <c r="W4" s="437" t="s">
        <v>12</v>
      </c>
      <c r="X4" s="438" t="s">
        <v>320</v>
      </c>
      <c r="Y4" s="437" t="s">
        <v>115</v>
      </c>
      <c r="Z4" s="311" t="s">
        <v>3245</v>
      </c>
      <c r="AA4" s="17" t="s">
        <v>2516</v>
      </c>
      <c r="AB4" s="282" t="s">
        <v>12</v>
      </c>
      <c r="AC4" s="282" t="s">
        <v>3246</v>
      </c>
      <c r="AD4" s="282" t="s">
        <v>3247</v>
      </c>
      <c r="AE4" s="282" t="s">
        <v>3248</v>
      </c>
      <c r="AF4" s="282" t="s">
        <v>3249</v>
      </c>
      <c r="AG4" s="282" t="s">
        <v>607</v>
      </c>
      <c r="AH4" s="311" t="s">
        <v>3250</v>
      </c>
      <c r="AI4" s="311" t="s">
        <v>3251</v>
      </c>
      <c r="AJ4" s="282" t="s">
        <v>12</v>
      </c>
      <c r="AK4" s="282" t="s">
        <v>434</v>
      </c>
      <c r="AL4" s="282" t="s">
        <v>434</v>
      </c>
    </row>
    <row r="5" spans="1:39">
      <c r="A5" s="282">
        <v>4</v>
      </c>
      <c r="B5" s="437" t="str">
        <f>Dashboard!$J$1</f>
        <v>MSB Accounting</v>
      </c>
      <c r="C5" s="438">
        <v>45728</v>
      </c>
      <c r="D5" s="438">
        <v>45741</v>
      </c>
      <c r="E5" s="433" t="s">
        <v>104</v>
      </c>
      <c r="F5" s="282" t="s">
        <v>317</v>
      </c>
      <c r="G5" s="111">
        <v>85993</v>
      </c>
      <c r="H5" s="282" t="s">
        <v>3252</v>
      </c>
      <c r="I5" s="474" t="s">
        <v>306</v>
      </c>
      <c r="J5" s="111">
        <v>0</v>
      </c>
      <c r="K5" s="111">
        <v>2</v>
      </c>
      <c r="L5" s="111">
        <v>8</v>
      </c>
      <c r="M5" s="282" t="s">
        <v>320</v>
      </c>
      <c r="N5" s="282" t="s">
        <v>320</v>
      </c>
      <c r="O5" s="282" t="s">
        <v>320</v>
      </c>
      <c r="P5" s="282" t="s">
        <v>320</v>
      </c>
      <c r="Q5" s="282" t="s">
        <v>320</v>
      </c>
      <c r="R5" s="282" t="s">
        <v>320</v>
      </c>
      <c r="S5" s="282" t="s">
        <v>320</v>
      </c>
      <c r="T5" s="282" t="s">
        <v>320</v>
      </c>
      <c r="U5" s="282" t="s">
        <v>320</v>
      </c>
      <c r="V5" s="282" t="s">
        <v>320</v>
      </c>
      <c r="W5" s="282" t="s">
        <v>320</v>
      </c>
      <c r="X5" s="282" t="s">
        <v>320</v>
      </c>
      <c r="Y5" s="282" t="s">
        <v>320</v>
      </c>
      <c r="Z5" s="282" t="s">
        <v>2516</v>
      </c>
      <c r="AA5" s="282" t="s">
        <v>2516</v>
      </c>
      <c r="AB5" s="282" t="s">
        <v>3253</v>
      </c>
      <c r="AC5" s="282"/>
      <c r="AD5" s="282" t="s">
        <v>3254</v>
      </c>
      <c r="AE5" s="282"/>
      <c r="AF5" s="282" t="s">
        <v>3255</v>
      </c>
      <c r="AG5" s="282" t="s">
        <v>3256</v>
      </c>
      <c r="AH5" s="282" t="s">
        <v>3253</v>
      </c>
      <c r="AI5" s="282" t="s">
        <v>434</v>
      </c>
      <c r="AJ5" s="282" t="s">
        <v>434</v>
      </c>
      <c r="AK5" s="282" t="s">
        <v>434</v>
      </c>
      <c r="AL5" s="282" t="s">
        <v>434</v>
      </c>
    </row>
    <row r="6" spans="1:39" ht="35.25">
      <c r="A6" s="282">
        <v>5</v>
      </c>
      <c r="B6" s="437" t="str">
        <f>Dashboard!$J$1</f>
        <v>MSB Accounting</v>
      </c>
      <c r="C6" s="438">
        <v>45728</v>
      </c>
      <c r="D6" s="438">
        <v>45741</v>
      </c>
      <c r="E6" s="433" t="s">
        <v>104</v>
      </c>
      <c r="F6" s="282" t="s">
        <v>313</v>
      </c>
      <c r="G6" s="111" t="s">
        <v>3257</v>
      </c>
      <c r="H6" s="282" t="s">
        <v>3258</v>
      </c>
      <c r="I6" s="474" t="s">
        <v>306</v>
      </c>
      <c r="J6" s="111">
        <v>3</v>
      </c>
      <c r="K6" s="111">
        <v>4</v>
      </c>
      <c r="L6" s="111">
        <v>14</v>
      </c>
      <c r="M6" s="282" t="s">
        <v>12</v>
      </c>
      <c r="N6" s="282" t="s">
        <v>315</v>
      </c>
      <c r="O6" s="282" t="s">
        <v>316</v>
      </c>
      <c r="P6" s="282" t="s">
        <v>317</v>
      </c>
      <c r="Q6" s="282" t="s">
        <v>3226</v>
      </c>
      <c r="R6" s="282" t="s">
        <v>320</v>
      </c>
      <c r="S6" s="282" t="s">
        <v>320</v>
      </c>
      <c r="T6" s="282" t="s">
        <v>320</v>
      </c>
      <c r="U6" s="282" t="s">
        <v>320</v>
      </c>
      <c r="V6" s="282" t="s">
        <v>320</v>
      </c>
      <c r="W6" s="282" t="s">
        <v>320</v>
      </c>
      <c r="X6" s="282" t="s">
        <v>320</v>
      </c>
      <c r="Y6" s="282" t="s">
        <v>320</v>
      </c>
      <c r="Z6" s="282" t="s">
        <v>2516</v>
      </c>
      <c r="AA6" s="282" t="s">
        <v>2516</v>
      </c>
      <c r="AB6" s="311" t="s">
        <v>3259</v>
      </c>
      <c r="AC6" s="282"/>
      <c r="AD6" s="282"/>
      <c r="AE6" s="282" t="s">
        <v>2948</v>
      </c>
      <c r="AF6" s="282" t="s">
        <v>3260</v>
      </c>
      <c r="AG6" s="282" t="s">
        <v>458</v>
      </c>
      <c r="AH6" s="282" t="s">
        <v>434</v>
      </c>
      <c r="AI6" s="282" t="s">
        <v>434</v>
      </c>
      <c r="AJ6" s="282" t="s">
        <v>434</v>
      </c>
      <c r="AK6" s="282" t="s">
        <v>434</v>
      </c>
      <c r="AL6" s="282" t="s">
        <v>434</v>
      </c>
    </row>
    <row r="7" spans="1:39" ht="46.5">
      <c r="A7" s="282">
        <v>6</v>
      </c>
      <c r="B7" s="437" t="str">
        <f>Dashboard!$J$1</f>
        <v>MSB Accounting</v>
      </c>
      <c r="C7" s="438">
        <v>45728</v>
      </c>
      <c r="D7" s="438">
        <v>45741</v>
      </c>
      <c r="E7" s="433" t="s">
        <v>104</v>
      </c>
      <c r="F7" s="282" t="s">
        <v>317</v>
      </c>
      <c r="G7" s="111">
        <v>24833</v>
      </c>
      <c r="H7" s="282" t="s">
        <v>3261</v>
      </c>
      <c r="I7" s="474" t="s">
        <v>376</v>
      </c>
      <c r="J7" s="111">
        <v>2</v>
      </c>
      <c r="K7" s="111">
        <v>5</v>
      </c>
      <c r="L7" s="111">
        <v>19.5</v>
      </c>
      <c r="M7" s="282" t="s">
        <v>12</v>
      </c>
      <c r="N7" s="282" t="s">
        <v>313</v>
      </c>
      <c r="O7" s="311" t="s">
        <v>3262</v>
      </c>
      <c r="P7" s="282" t="s">
        <v>315</v>
      </c>
      <c r="Q7" s="282" t="s">
        <v>3226</v>
      </c>
      <c r="R7" s="343" t="s">
        <v>3263</v>
      </c>
      <c r="S7" s="345">
        <v>45735</v>
      </c>
      <c r="T7" s="345">
        <v>45735</v>
      </c>
      <c r="U7" s="282" t="s">
        <v>12</v>
      </c>
      <c r="V7" s="282" t="s">
        <v>3149</v>
      </c>
      <c r="W7" s="282" t="s">
        <v>12</v>
      </c>
      <c r="X7" s="282"/>
      <c r="Y7" s="282"/>
      <c r="Z7" s="282" t="s">
        <v>2516</v>
      </c>
      <c r="AA7" s="311" t="s">
        <v>3264</v>
      </c>
      <c r="AB7" s="282" t="s">
        <v>3265</v>
      </c>
      <c r="AC7" s="282"/>
      <c r="AD7" s="282"/>
      <c r="AE7" s="282"/>
      <c r="AF7" s="282" t="s">
        <v>3249</v>
      </c>
      <c r="AG7" s="282" t="s">
        <v>3266</v>
      </c>
      <c r="AH7" s="282"/>
      <c r="AI7" s="282" t="s">
        <v>3265</v>
      </c>
      <c r="AJ7" s="282" t="s">
        <v>434</v>
      </c>
      <c r="AK7" s="282" t="s">
        <v>434</v>
      </c>
      <c r="AL7" s="282" t="s">
        <v>434</v>
      </c>
    </row>
    <row r="8" spans="1:39" ht="80.25" customHeight="1">
      <c r="A8" s="282">
        <v>7</v>
      </c>
      <c r="B8" s="437" t="str">
        <f>Dashboard!$J$1</f>
        <v>MSB Accounting</v>
      </c>
      <c r="C8" s="438">
        <v>45728</v>
      </c>
      <c r="D8" s="438">
        <v>45741</v>
      </c>
      <c r="E8" s="433" t="s">
        <v>3267</v>
      </c>
      <c r="F8" s="282" t="s">
        <v>1673</v>
      </c>
      <c r="G8" s="393">
        <v>47545</v>
      </c>
      <c r="H8" s="311" t="s">
        <v>3268</v>
      </c>
      <c r="I8" s="111" t="s">
        <v>399</v>
      </c>
      <c r="J8" s="111">
        <v>13</v>
      </c>
      <c r="K8" s="111"/>
      <c r="L8" s="111"/>
      <c r="M8" s="282"/>
      <c r="N8" s="282"/>
      <c r="O8" s="282"/>
      <c r="P8" s="282"/>
      <c r="Q8" s="282"/>
      <c r="R8" s="282"/>
      <c r="S8" s="282"/>
      <c r="T8" s="282"/>
      <c r="U8" s="282"/>
      <c r="V8" s="282"/>
      <c r="W8" s="282"/>
      <c r="X8" s="282"/>
      <c r="Y8" s="282"/>
      <c r="Z8" s="282"/>
      <c r="AA8" s="282"/>
      <c r="AB8" s="311" t="s">
        <v>3269</v>
      </c>
      <c r="AC8" s="282"/>
      <c r="AD8" s="282"/>
      <c r="AE8" s="282"/>
      <c r="AF8" s="282"/>
      <c r="AG8" s="282"/>
      <c r="AH8" s="282"/>
      <c r="AI8" s="282"/>
      <c r="AJ8" s="311" t="s">
        <v>3269</v>
      </c>
      <c r="AK8" s="311" t="s">
        <v>3270</v>
      </c>
      <c r="AL8" s="311" t="s">
        <v>3271</v>
      </c>
    </row>
    <row r="9" spans="1:39" ht="46.5">
      <c r="A9" s="282">
        <v>8</v>
      </c>
      <c r="B9" s="437" t="str">
        <f>Dashboard!$J$1</f>
        <v>MSB Accounting</v>
      </c>
      <c r="C9" s="438">
        <v>45728</v>
      </c>
      <c r="D9" s="438">
        <v>45741</v>
      </c>
      <c r="E9" s="433" t="s">
        <v>3267</v>
      </c>
      <c r="F9" s="437" t="s">
        <v>315</v>
      </c>
      <c r="G9" s="111">
        <v>24886</v>
      </c>
      <c r="H9" s="452" t="s">
        <v>3221</v>
      </c>
      <c r="I9" s="474" t="s">
        <v>376</v>
      </c>
      <c r="J9" s="111">
        <v>0</v>
      </c>
      <c r="K9" s="111">
        <v>1.5</v>
      </c>
      <c r="L9" s="111">
        <v>5.75</v>
      </c>
      <c r="M9" s="282" t="s">
        <v>12</v>
      </c>
      <c r="N9" s="282" t="s">
        <v>313</v>
      </c>
      <c r="O9" s="282" t="s">
        <v>316</v>
      </c>
      <c r="P9" s="431" t="s">
        <v>317</v>
      </c>
      <c r="Q9" s="431" t="s">
        <v>3226</v>
      </c>
      <c r="R9" s="369" t="s">
        <v>3272</v>
      </c>
      <c r="S9" s="438">
        <v>45740</v>
      </c>
      <c r="T9" s="438">
        <v>45740</v>
      </c>
      <c r="U9" s="437" t="s">
        <v>12</v>
      </c>
      <c r="V9" s="437" t="s">
        <v>3149</v>
      </c>
      <c r="W9" s="437" t="s">
        <v>12</v>
      </c>
      <c r="X9" s="438" t="s">
        <v>320</v>
      </c>
      <c r="Y9" s="437" t="s">
        <v>115</v>
      </c>
      <c r="Z9" s="17" t="s">
        <v>2516</v>
      </c>
      <c r="AA9" s="17" t="s">
        <v>2516</v>
      </c>
      <c r="AB9" s="311" t="s">
        <v>3273</v>
      </c>
      <c r="AC9" s="282"/>
      <c r="AD9" s="282"/>
      <c r="AE9" s="282"/>
      <c r="AF9" s="282"/>
      <c r="AG9" s="282"/>
      <c r="AH9" s="282"/>
      <c r="AI9" s="282"/>
      <c r="AJ9" s="282"/>
      <c r="AK9" s="311" t="s">
        <v>3274</v>
      </c>
      <c r="AL9" s="282"/>
    </row>
    <row r="10" spans="1:39" ht="46.5">
      <c r="A10" s="282">
        <v>9</v>
      </c>
      <c r="B10" s="437" t="str">
        <f>Dashboard!$J$1</f>
        <v>MSB Accounting</v>
      </c>
      <c r="C10" s="438">
        <v>45728</v>
      </c>
      <c r="D10" s="438">
        <v>45741</v>
      </c>
      <c r="E10" s="433" t="s">
        <v>3267</v>
      </c>
      <c r="F10" s="282" t="s">
        <v>317</v>
      </c>
      <c r="G10" s="111">
        <v>24883</v>
      </c>
      <c r="H10" s="282" t="s">
        <v>3223</v>
      </c>
      <c r="I10" s="474" t="s">
        <v>376</v>
      </c>
      <c r="J10" s="111">
        <v>0</v>
      </c>
      <c r="K10" s="111">
        <v>0.5</v>
      </c>
      <c r="L10" s="111">
        <v>1.5</v>
      </c>
      <c r="M10" s="282" t="s">
        <v>12</v>
      </c>
      <c r="N10" s="282" t="s">
        <v>315</v>
      </c>
      <c r="O10" s="282" t="s">
        <v>316</v>
      </c>
      <c r="P10" s="282" t="s">
        <v>315</v>
      </c>
      <c r="Q10" s="431" t="s">
        <v>3226</v>
      </c>
      <c r="R10" s="343" t="s">
        <v>3275</v>
      </c>
      <c r="S10" s="438">
        <v>45740</v>
      </c>
      <c r="T10" s="438">
        <v>45740</v>
      </c>
      <c r="U10" s="437" t="s">
        <v>12</v>
      </c>
      <c r="V10" s="437" t="s">
        <v>3149</v>
      </c>
      <c r="W10" s="437" t="s">
        <v>12</v>
      </c>
      <c r="X10" s="438" t="s">
        <v>320</v>
      </c>
      <c r="Y10" s="437" t="s">
        <v>115</v>
      </c>
      <c r="Z10" s="17" t="s">
        <v>2516</v>
      </c>
      <c r="AA10" s="17" t="s">
        <v>2516</v>
      </c>
      <c r="AB10" s="311" t="s">
        <v>3276</v>
      </c>
      <c r="AC10" s="282"/>
      <c r="AD10" s="282"/>
      <c r="AE10" s="282"/>
      <c r="AF10" s="282"/>
      <c r="AG10" s="282"/>
      <c r="AH10" s="282"/>
      <c r="AI10" s="282"/>
      <c r="AJ10" s="282"/>
      <c r="AK10" s="282"/>
      <c r="AL10" s="282"/>
    </row>
    <row r="11" spans="1:39" ht="35.25">
      <c r="A11" s="282">
        <v>9</v>
      </c>
      <c r="B11" s="437" t="str">
        <f>Dashboard!$J$1</f>
        <v>MSB Accounting</v>
      </c>
      <c r="C11" s="438">
        <v>45728</v>
      </c>
      <c r="D11" s="438">
        <v>45741</v>
      </c>
      <c r="E11" s="433" t="s">
        <v>3267</v>
      </c>
      <c r="F11" s="463" t="s">
        <v>1216</v>
      </c>
      <c r="G11" s="393">
        <v>47335</v>
      </c>
      <c r="H11" s="311" t="s">
        <v>3277</v>
      </c>
      <c r="I11" s="475" t="s">
        <v>306</v>
      </c>
      <c r="J11" s="111">
        <v>1</v>
      </c>
      <c r="K11" s="111">
        <v>2.5</v>
      </c>
      <c r="L11" s="111">
        <v>10</v>
      </c>
      <c r="M11" s="465" t="s">
        <v>12</v>
      </c>
      <c r="N11" s="282" t="s">
        <v>320</v>
      </c>
      <c r="O11" s="282" t="s">
        <v>320</v>
      </c>
      <c r="P11" s="282"/>
      <c r="Q11" s="282" t="s">
        <v>320</v>
      </c>
      <c r="R11" s="369" t="s">
        <v>320</v>
      </c>
      <c r="S11" s="464" t="s">
        <v>320</v>
      </c>
      <c r="T11" s="282" t="s">
        <v>320</v>
      </c>
      <c r="U11" s="282" t="s">
        <v>320</v>
      </c>
      <c r="V11" s="282" t="s">
        <v>320</v>
      </c>
      <c r="W11" s="282" t="s">
        <v>320</v>
      </c>
      <c r="X11" s="282" t="s">
        <v>320</v>
      </c>
      <c r="Y11" s="282" t="s">
        <v>115</v>
      </c>
      <c r="Z11" s="17" t="s">
        <v>2516</v>
      </c>
      <c r="AA11" s="17" t="s">
        <v>2516</v>
      </c>
      <c r="AB11" s="311" t="s">
        <v>3278</v>
      </c>
      <c r="AC11" s="282"/>
      <c r="AD11" s="282"/>
      <c r="AE11" s="282"/>
      <c r="AF11" s="282"/>
      <c r="AG11" s="282"/>
      <c r="AH11" s="311"/>
      <c r="AI11" s="282"/>
      <c r="AJ11" s="282"/>
      <c r="AK11" s="282"/>
      <c r="AL11" s="282"/>
    </row>
    <row r="12" spans="1:39" ht="69">
      <c r="A12" s="282">
        <v>10</v>
      </c>
      <c r="B12" s="437" t="str">
        <f>Dashboard!$J$1</f>
        <v>MSB Accounting</v>
      </c>
      <c r="C12" s="438">
        <v>45728</v>
      </c>
      <c r="D12" s="438">
        <v>45741</v>
      </c>
      <c r="E12" s="453" t="s">
        <v>3279</v>
      </c>
      <c r="F12" s="437" t="s">
        <v>315</v>
      </c>
      <c r="G12" s="111">
        <v>47244</v>
      </c>
      <c r="H12" s="282" t="s">
        <v>3064</v>
      </c>
      <c r="I12" s="111" t="s">
        <v>399</v>
      </c>
      <c r="J12" s="111">
        <v>5</v>
      </c>
      <c r="K12" s="111"/>
      <c r="L12" s="111"/>
      <c r="M12" s="282"/>
      <c r="N12" s="282"/>
      <c r="O12" s="282"/>
      <c r="P12" s="282"/>
      <c r="Q12" s="282"/>
      <c r="R12" s="282"/>
      <c r="S12" s="282"/>
      <c r="T12" s="282"/>
      <c r="U12" s="282"/>
      <c r="V12" s="282"/>
      <c r="W12" s="282"/>
      <c r="X12" s="282"/>
      <c r="Y12" s="282"/>
      <c r="Z12" s="282"/>
      <c r="AA12" s="282"/>
      <c r="AB12" s="282" t="s">
        <v>3280</v>
      </c>
      <c r="AC12" s="282"/>
      <c r="AD12" s="282"/>
      <c r="AE12" s="282"/>
      <c r="AF12" s="282"/>
      <c r="AG12" s="311" t="s">
        <v>3281</v>
      </c>
      <c r="AH12" s="282" t="s">
        <v>434</v>
      </c>
      <c r="AI12" s="311" t="s">
        <v>3282</v>
      </c>
      <c r="AJ12" s="282" t="s">
        <v>3280</v>
      </c>
      <c r="AK12" s="282" t="s">
        <v>3280</v>
      </c>
      <c r="AL12" s="282"/>
    </row>
    <row r="13" spans="1:39" ht="46.5">
      <c r="A13" s="282">
        <v>11</v>
      </c>
      <c r="B13" s="437" t="str">
        <f>Dashboard!$J$1</f>
        <v>MSB Accounting</v>
      </c>
      <c r="C13" s="438">
        <v>45728</v>
      </c>
      <c r="D13" s="438">
        <v>45741</v>
      </c>
      <c r="E13" s="453" t="s">
        <v>3279</v>
      </c>
      <c r="F13" s="437" t="s">
        <v>315</v>
      </c>
      <c r="G13" s="111">
        <v>24856</v>
      </c>
      <c r="H13" s="311" t="s">
        <v>3283</v>
      </c>
      <c r="I13" s="474" t="s">
        <v>376</v>
      </c>
      <c r="J13" s="111">
        <v>3</v>
      </c>
      <c r="K13" s="111">
        <v>4</v>
      </c>
      <c r="L13" s="111">
        <v>12.5</v>
      </c>
      <c r="M13" s="431" t="s">
        <v>12</v>
      </c>
      <c r="N13" s="431" t="s">
        <v>313</v>
      </c>
      <c r="O13" s="431" t="s">
        <v>316</v>
      </c>
      <c r="P13" s="431" t="s">
        <v>317</v>
      </c>
      <c r="Q13" s="431" t="s">
        <v>3226</v>
      </c>
      <c r="R13" s="369" t="s">
        <v>3284</v>
      </c>
      <c r="S13" s="438">
        <v>45735</v>
      </c>
      <c r="T13" s="282"/>
      <c r="U13" s="282"/>
      <c r="V13" s="282"/>
      <c r="W13" s="282"/>
      <c r="X13" s="282"/>
      <c r="Y13" s="282"/>
      <c r="Z13" s="17" t="s">
        <v>2516</v>
      </c>
      <c r="AA13" s="17"/>
      <c r="AB13" s="282" t="s">
        <v>12</v>
      </c>
      <c r="AC13" s="282"/>
      <c r="AD13" s="282"/>
      <c r="AE13" s="282"/>
      <c r="AF13" s="282"/>
      <c r="AG13" s="282"/>
      <c r="AH13" s="311" t="s">
        <v>3285</v>
      </c>
      <c r="AI13" s="282" t="s">
        <v>3286</v>
      </c>
      <c r="AJ13" s="282" t="s">
        <v>12</v>
      </c>
      <c r="AK13" s="282" t="s">
        <v>434</v>
      </c>
      <c r="AL13" s="282"/>
    </row>
    <row r="14" spans="1:39">
      <c r="E14" s="454"/>
    </row>
  </sheetData>
  <conditionalFormatting sqref="J1 I13 I11">
    <cfRule type="containsText" dxfId="392" priority="28" operator="containsText" text="Closed">
      <formula>NOT(ISERROR(SEARCH("Closed",I1)))</formula>
    </cfRule>
    <cfRule type="containsText" dxfId="391" priority="29" operator="containsText" text="Open">
      <formula>NOT(ISERROR(SEARCH("Open",I1)))</formula>
    </cfRule>
    <cfRule type="containsText" dxfId="390" priority="30" operator="containsText" text="Inprogress">
      <formula>NOT(ISERROR(SEARCH("Inprogress",I1)))</formula>
    </cfRule>
  </conditionalFormatting>
  <conditionalFormatting sqref="I4:I5">
    <cfRule type="containsText" dxfId="389" priority="22" operator="containsText" text="Closed">
      <formula>NOT(ISERROR(SEARCH("Closed",I4)))</formula>
    </cfRule>
    <cfRule type="containsText" dxfId="388" priority="23" operator="containsText" text="Open">
      <formula>NOT(ISERROR(SEARCH("Open",I4)))</formula>
    </cfRule>
    <cfRule type="containsText" dxfId="387" priority="24" operator="containsText" text="Inprogress">
      <formula>NOT(ISERROR(SEARCH("Inprogress",I4)))</formula>
    </cfRule>
  </conditionalFormatting>
  <conditionalFormatting sqref="I2:I3">
    <cfRule type="containsText" dxfId="386" priority="19" operator="containsText" text="Closed">
      <formula>NOT(ISERROR(SEARCH("Closed",I2)))</formula>
    </cfRule>
    <cfRule type="containsText" dxfId="385" priority="20" operator="containsText" text="Open">
      <formula>NOT(ISERROR(SEARCH("Open",I2)))</formula>
    </cfRule>
    <cfRule type="containsText" dxfId="384" priority="21" operator="containsText" text="Inprogress">
      <formula>NOT(ISERROR(SEARCH("Inprogress",I2)))</formula>
    </cfRule>
  </conditionalFormatting>
  <conditionalFormatting sqref="I6">
    <cfRule type="containsText" dxfId="383" priority="16" operator="containsText" text="Closed">
      <formula>NOT(ISERROR(SEARCH("Closed",I6)))</formula>
    </cfRule>
    <cfRule type="containsText" dxfId="382" priority="17" operator="containsText" text="Open">
      <formula>NOT(ISERROR(SEARCH("Open",I6)))</formula>
    </cfRule>
    <cfRule type="containsText" dxfId="381" priority="18" operator="containsText" text="Inprogress">
      <formula>NOT(ISERROR(SEARCH("Inprogress",I6)))</formula>
    </cfRule>
  </conditionalFormatting>
  <conditionalFormatting sqref="I7:I8">
    <cfRule type="containsText" dxfId="380" priority="13" operator="containsText" text="Closed">
      <formula>NOT(ISERROR(SEARCH("Closed",I7)))</formula>
    </cfRule>
    <cfRule type="containsText" dxfId="379" priority="14" operator="containsText" text="Open">
      <formula>NOT(ISERROR(SEARCH("Open",I7)))</formula>
    </cfRule>
    <cfRule type="containsText" dxfId="378" priority="15" operator="containsText" text="Inprogress">
      <formula>NOT(ISERROR(SEARCH("Inprogress",I7)))</formula>
    </cfRule>
  </conditionalFormatting>
  <conditionalFormatting sqref="I12">
    <cfRule type="containsText" dxfId="377" priority="7" operator="containsText" text="Closed">
      <formula>NOT(ISERROR(SEARCH("Closed",I12)))</formula>
    </cfRule>
    <cfRule type="containsText" dxfId="376" priority="8" operator="containsText" text="Open">
      <formula>NOT(ISERROR(SEARCH("Open",I12)))</formula>
    </cfRule>
    <cfRule type="containsText" dxfId="375" priority="9" operator="containsText" text="Inprogress">
      <formula>NOT(ISERROR(SEARCH("Inprogress",I12)))</formula>
    </cfRule>
  </conditionalFormatting>
  <conditionalFormatting sqref="I9">
    <cfRule type="containsText" dxfId="374" priority="4" operator="containsText" text="Closed">
      <formula>NOT(ISERROR(SEARCH("Closed",I9)))</formula>
    </cfRule>
    <cfRule type="containsText" dxfId="373" priority="5" operator="containsText" text="Open">
      <formula>NOT(ISERROR(SEARCH("Open",I9)))</formula>
    </cfRule>
    <cfRule type="containsText" dxfId="372" priority="6" operator="containsText" text="Inprogress">
      <formula>NOT(ISERROR(SEARCH("Inprogress",I9)))</formula>
    </cfRule>
  </conditionalFormatting>
  <conditionalFormatting sqref="I10:I11">
    <cfRule type="containsText" dxfId="371" priority="1" operator="containsText" text="Closed">
      <formula>NOT(ISERROR(SEARCH("Closed",I10)))</formula>
    </cfRule>
    <cfRule type="containsText" dxfId="370" priority="2" operator="containsText" text="Open">
      <formula>NOT(ISERROR(SEARCH("Open",I10)))</formula>
    </cfRule>
    <cfRule type="containsText" dxfId="369" priority="3" operator="containsText" text="Inprogress">
      <formula>NOT(ISERROR(SEARCH("Inprogress",I10)))</formula>
    </cfRule>
  </conditionalFormatting>
  <dataValidations count="10">
    <dataValidation showErrorMessage="1" sqref="I1" xr:uid="{2E281DB6-8B35-4A9F-B876-C88E54F49B43}"/>
    <dataValidation type="list" allowBlank="1" showErrorMessage="1" sqref="J1" xr:uid="{9DBE3A68-EC30-4A27-8D0B-8A071164E84B}">
      <formula1>"Open,Inprogress,Closed"</formula1>
    </dataValidation>
    <dataValidation type="list" showErrorMessage="1" sqref="AA1:AB1" xr:uid="{A05614BB-7698-4FF8-BF30-EA23B73DED29}">
      <formula1>"Pending-Waiting for Customer confirmation, Approved-Satisified AC,Not Approved-New minor changes requested(Back to Dev),NA,TBD"</formula1>
    </dataValidation>
    <dataValidation type="list" showErrorMessage="1" sqref="Z1" xr:uid="{18048AEF-1684-4387-AF98-8A129F6B6DB6}">
      <formula1>"Approved-Satisified AC,Not Approved(Back to Dev),NA,TBD"</formula1>
    </dataValidation>
    <dataValidation type="list" showErrorMessage="1" sqref="P1" xr:uid="{3E3FD001-3482-4906-98E3-B5A621D3933C}">
      <formula1>"Qadir,Rijo,Karthik,None,TBD"</formula1>
    </dataValidation>
    <dataValidation type="list" showErrorMessage="1" sqref="P2:P4 N1:N4 P9 P13 N13" xr:uid="{1479B9E9-5E24-4813-91FE-497AAB97356C}">
      <formula1>"Qadir,Rijo,Karthik,Sushmitha,None,TBD"</formula1>
    </dataValidation>
    <dataValidation type="list" showErrorMessage="1" sqref="O1:O4 O13" xr:uid="{632581C2-0243-40E6-8E38-B22799F485E8}">
      <formula1>"Pass,Fail(BacktoDev),DB Script tests in QA DB,TBD"</formula1>
    </dataValidation>
    <dataValidation type="list" showErrorMessage="1" sqref="Q1:R1 V1 Y1" xr:uid="{00EB2D44-009D-49D4-A3EE-91B994660815}">
      <formula1>"No issues found,Issues observed(BacktoDev),DB Script tests in QA DB,NA,TBD"</formula1>
    </dataValidation>
    <dataValidation type="list" showErrorMessage="1" sqref="W1:X1 M1:M4 U1:U4 W2:W4 U9:U11 W9:W11 M11 M13" xr:uid="{B6ACED39-6586-4ED0-90BB-C137BBEFF134}">
      <formula1>"Open,Inprogress,Completed,TBD,NA"</formula1>
    </dataValidation>
    <dataValidation allowBlank="1" showInputMessage="1" showErrorMessage="1" sqref="Q2:Q4 V2:V4 Y2:AA3 Y4 AA4 V9:V11 Q13 Z13:AA13 Y9:AA11 Q9:Q10" xr:uid="{CD90E1F7-72F2-4497-9739-88A93C51E4C4}"/>
  </dataValidations>
  <hyperlinks>
    <hyperlink ref="R2" r:id="rId1" xr:uid="{88680196-F3E6-4AD7-8FE5-B8178950051D}"/>
    <hyperlink ref="R3" r:id="rId2" xr:uid="{6AAB8F39-595F-4FCC-B872-A2A021F80F41}"/>
    <hyperlink ref="R4" r:id="rId3" xr:uid="{DC3BE61F-7DAB-4822-A8D5-8C636267A2BF}"/>
    <hyperlink ref="R13" r:id="rId4" xr:uid="{94E59BD1-EFC3-4FFC-95B2-FD74E9EC95BC}"/>
    <hyperlink ref="R9" r:id="rId5" xr:uid="{F19EC242-5CC6-453C-81E3-186E960B7796}"/>
    <hyperlink ref="R7" r:id="rId6" xr:uid="{7E6D7C3A-21DC-4029-B046-A8EFB40F3C81}"/>
    <hyperlink ref="R10" r:id="rId7" xr:uid="{8816E1EA-70F7-47B2-BC94-958B6A23835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3BED207-D033-42D5-A6E9-9C80BC1659FB}">
          <x14:formula1>
            <xm:f>Settings!$C$3:$C$20</xm:f>
          </x14:formula1>
          <xm:sqref>I2:I13</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FAC38-668D-4897-B784-1B8001F39A4F}">
  <dimension ref="A1:AM29"/>
  <sheetViews>
    <sheetView workbookViewId="0">
      <pane xSplit="9" topLeftCell="AA1" activePane="topRight" state="frozen"/>
      <selection pane="topRight" activeCell="I12" sqref="I12"/>
    </sheetView>
  </sheetViews>
  <sheetFormatPr defaultRowHeight="12.75"/>
  <cols>
    <col min="1" max="1" width="5.7109375" style="310" customWidth="1"/>
    <col min="2" max="2" width="12.42578125" style="310" customWidth="1"/>
    <col min="3" max="3" width="12.28515625" style="310" customWidth="1"/>
    <col min="4" max="4" width="10.140625" style="310" customWidth="1"/>
    <col min="5" max="5" width="14.5703125" style="311" customWidth="1"/>
    <col min="6" max="6" width="14.140625" style="111" customWidth="1"/>
    <col min="7" max="7" width="8.85546875" style="111" customWidth="1"/>
    <col min="8" max="8" width="58.5703125" style="282" customWidth="1"/>
    <col min="9" max="9" width="22.85546875" style="111" customWidth="1"/>
    <col min="10" max="10" width="11.42578125" style="111" bestFit="1" customWidth="1"/>
    <col min="11" max="12" width="14.42578125" style="282" customWidth="1"/>
    <col min="13" max="13" width="12.42578125" style="282" customWidth="1"/>
    <col min="14" max="14" width="13.85546875" style="282" customWidth="1"/>
    <col min="15" max="15" width="23.140625" style="311" customWidth="1"/>
    <col min="16" max="16" width="15.5703125" style="282" customWidth="1"/>
    <col min="17" max="17" width="22.140625" style="282" customWidth="1"/>
    <col min="18" max="18" width="31.5703125" style="282" customWidth="1"/>
    <col min="19" max="19" width="12.7109375" style="282" customWidth="1"/>
    <col min="20" max="20" width="13.42578125" style="282" customWidth="1"/>
    <col min="21" max="21" width="13.7109375" style="282" customWidth="1"/>
    <col min="22" max="22" width="23.7109375" style="282" customWidth="1"/>
    <col min="23" max="23" width="26" style="282" customWidth="1"/>
    <col min="24" max="24" width="17.140625" style="282" customWidth="1"/>
    <col min="25" max="25" width="19.85546875" style="282" customWidth="1"/>
    <col min="26" max="26" width="27.140625" style="311" customWidth="1"/>
    <col min="27" max="27" width="65.140625" style="282" customWidth="1"/>
    <col min="28" max="28" width="68.140625" style="282" customWidth="1"/>
    <col min="29" max="31" width="30.7109375" style="311" customWidth="1"/>
    <col min="32" max="37" width="25.42578125" style="311" customWidth="1"/>
    <col min="38" max="38" width="30.7109375" style="282" customWidth="1"/>
    <col min="39" max="39" width="16.42578125" style="282" bestFit="1" customWidth="1"/>
    <col min="40" max="16383" width="9.140625" style="282"/>
    <col min="16384" max="16384" width="9.140625" style="282" bestFit="1" customWidth="1"/>
  </cols>
  <sheetData>
    <row r="1" spans="1:39" ht="27">
      <c r="A1" s="338" t="s">
        <v>266</v>
      </c>
      <c r="B1" s="108" t="s">
        <v>4</v>
      </c>
      <c r="C1" s="108" t="s">
        <v>2</v>
      </c>
      <c r="D1" s="108" t="s">
        <v>3</v>
      </c>
      <c r="E1" s="338" t="s">
        <v>278</v>
      </c>
      <c r="F1" s="338" t="s">
        <v>269</v>
      </c>
      <c r="G1" s="338" t="s">
        <v>279</v>
      </c>
      <c r="H1" s="338" t="s">
        <v>280</v>
      </c>
      <c r="I1" s="338" t="s">
        <v>275</v>
      </c>
      <c r="J1" s="396" t="s">
        <v>281</v>
      </c>
      <c r="K1" s="396" t="s">
        <v>282</v>
      </c>
      <c r="L1" s="396" t="s">
        <v>283</v>
      </c>
      <c r="M1" s="338" t="s">
        <v>286</v>
      </c>
      <c r="N1" s="338" t="s">
        <v>287</v>
      </c>
      <c r="O1" s="338" t="s">
        <v>288</v>
      </c>
      <c r="P1" s="338" t="s">
        <v>289</v>
      </c>
      <c r="Q1" s="338" t="s">
        <v>290</v>
      </c>
      <c r="R1" s="338" t="s">
        <v>291</v>
      </c>
      <c r="S1" s="339" t="s">
        <v>292</v>
      </c>
      <c r="T1" s="339" t="s">
        <v>293</v>
      </c>
      <c r="U1" s="338" t="s">
        <v>294</v>
      </c>
      <c r="V1" s="338" t="s">
        <v>295</v>
      </c>
      <c r="W1" s="338" t="s">
        <v>296</v>
      </c>
      <c r="X1" s="339" t="s">
        <v>297</v>
      </c>
      <c r="Y1" s="338" t="s">
        <v>298</v>
      </c>
      <c r="Z1" s="338" t="s">
        <v>299</v>
      </c>
      <c r="AA1" s="338" t="s">
        <v>300</v>
      </c>
      <c r="AB1" s="340" t="s">
        <v>277</v>
      </c>
      <c r="AC1" s="346" t="s">
        <v>3287</v>
      </c>
      <c r="AD1" s="346" t="s">
        <v>3288</v>
      </c>
      <c r="AE1" s="346" t="s">
        <v>3289</v>
      </c>
      <c r="AF1" s="346" t="s">
        <v>3290</v>
      </c>
      <c r="AG1" s="346" t="s">
        <v>3291</v>
      </c>
      <c r="AH1" s="346" t="s">
        <v>3292</v>
      </c>
      <c r="AI1" s="346" t="s">
        <v>3293</v>
      </c>
      <c r="AJ1" s="346" t="s">
        <v>3294</v>
      </c>
      <c r="AK1" s="346" t="s">
        <v>3295</v>
      </c>
      <c r="AL1" s="346" t="s">
        <v>3296</v>
      </c>
      <c r="AM1" s="371" t="s">
        <v>3297</v>
      </c>
    </row>
    <row r="2" spans="1:39" ht="44.25" customHeight="1">
      <c r="A2" s="311">
        <v>1</v>
      </c>
      <c r="B2" s="311" t="str">
        <f>Dashboard!$J$1</f>
        <v>MSB Accounting</v>
      </c>
      <c r="C2" s="377">
        <v>45714</v>
      </c>
      <c r="D2" s="377">
        <v>45727</v>
      </c>
      <c r="E2" s="424" t="s">
        <v>100</v>
      </c>
      <c r="F2" s="311" t="s">
        <v>315</v>
      </c>
      <c r="G2" s="135">
        <v>47364</v>
      </c>
      <c r="H2" s="311" t="s">
        <v>3225</v>
      </c>
      <c r="I2" s="379" t="s">
        <v>338</v>
      </c>
      <c r="J2" s="311">
        <v>5</v>
      </c>
      <c r="K2" s="311">
        <v>5</v>
      </c>
      <c r="L2" s="311">
        <v>24</v>
      </c>
      <c r="M2" s="311" t="s">
        <v>12</v>
      </c>
      <c r="N2" s="311" t="s">
        <v>313</v>
      </c>
      <c r="O2" s="311" t="s">
        <v>316</v>
      </c>
      <c r="P2" s="311" t="s">
        <v>317</v>
      </c>
      <c r="Q2" s="311" t="s">
        <v>3226</v>
      </c>
      <c r="R2" s="369" t="s">
        <v>3227</v>
      </c>
      <c r="S2" s="377">
        <v>45720</v>
      </c>
      <c r="T2" s="377">
        <v>45721</v>
      </c>
      <c r="U2" s="311" t="s">
        <v>12</v>
      </c>
      <c r="V2" s="311" t="s">
        <v>3228</v>
      </c>
      <c r="W2" s="311" t="s">
        <v>12</v>
      </c>
      <c r="X2" s="377" t="s">
        <v>320</v>
      </c>
      <c r="Y2" s="311" t="s">
        <v>115</v>
      </c>
      <c r="Z2" s="251" t="s">
        <v>2516</v>
      </c>
      <c r="AA2" s="311" t="s">
        <v>3229</v>
      </c>
      <c r="AB2" s="311" t="s">
        <v>3298</v>
      </c>
      <c r="AC2" s="311" t="s">
        <v>3299</v>
      </c>
      <c r="AD2" s="251" t="s">
        <v>3300</v>
      </c>
      <c r="AE2" s="251" t="s">
        <v>3301</v>
      </c>
      <c r="AF2" s="251" t="s">
        <v>3302</v>
      </c>
      <c r="AG2" s="251" t="s">
        <v>3303</v>
      </c>
      <c r="AH2" s="251" t="s">
        <v>3304</v>
      </c>
      <c r="AI2" s="311" t="s">
        <v>3305</v>
      </c>
      <c r="AJ2" s="251" t="s">
        <v>3306</v>
      </c>
      <c r="AK2" s="251" t="s">
        <v>3306</v>
      </c>
      <c r="AL2" s="251" t="s">
        <v>3307</v>
      </c>
      <c r="AM2" s="311"/>
    </row>
    <row r="3" spans="1:39" ht="29.25" customHeight="1">
      <c r="A3" s="311">
        <v>2</v>
      </c>
      <c r="B3" s="311" t="str">
        <f>Dashboard!$J$1</f>
        <v>MSB Accounting</v>
      </c>
      <c r="C3" s="377">
        <v>45714</v>
      </c>
      <c r="D3" s="377">
        <v>45727</v>
      </c>
      <c r="E3" s="424" t="s">
        <v>100</v>
      </c>
      <c r="F3" s="311" t="s">
        <v>3308</v>
      </c>
      <c r="G3" s="311">
        <v>24688</v>
      </c>
      <c r="H3" s="377" t="s">
        <v>3309</v>
      </c>
      <c r="I3" s="411" t="s">
        <v>376</v>
      </c>
      <c r="J3" s="311">
        <v>2</v>
      </c>
      <c r="K3" s="311">
        <v>3</v>
      </c>
      <c r="L3" s="311">
        <v>14.5</v>
      </c>
      <c r="M3" s="311" t="s">
        <v>12</v>
      </c>
      <c r="N3" s="311" t="s">
        <v>315</v>
      </c>
      <c r="O3" s="311" t="s">
        <v>316</v>
      </c>
      <c r="P3" s="311" t="s">
        <v>315</v>
      </c>
      <c r="Q3" s="311" t="s">
        <v>3226</v>
      </c>
      <c r="R3" s="369" t="s">
        <v>320</v>
      </c>
      <c r="S3" s="377" t="s">
        <v>320</v>
      </c>
      <c r="T3" s="377" t="s">
        <v>320</v>
      </c>
      <c r="U3" s="311" t="s">
        <v>12</v>
      </c>
      <c r="V3" s="311" t="s">
        <v>3228</v>
      </c>
      <c r="W3" s="311" t="s">
        <v>320</v>
      </c>
      <c r="X3" s="311" t="s">
        <v>320</v>
      </c>
      <c r="Y3" s="311" t="s">
        <v>320</v>
      </c>
      <c r="Z3" s="311" t="s">
        <v>2516</v>
      </c>
      <c r="AA3" s="311" t="s">
        <v>3229</v>
      </c>
      <c r="AB3" s="251" t="s">
        <v>3310</v>
      </c>
      <c r="AC3" s="311" t="s">
        <v>3311</v>
      </c>
      <c r="AD3" s="251" t="s">
        <v>3312</v>
      </c>
      <c r="AE3" s="251" t="s">
        <v>3313</v>
      </c>
      <c r="AF3" s="251" t="s">
        <v>3314</v>
      </c>
      <c r="AG3" s="251" t="s">
        <v>3315</v>
      </c>
      <c r="AH3" s="251" t="s">
        <v>3316</v>
      </c>
      <c r="AI3" s="251" t="s">
        <v>3316</v>
      </c>
      <c r="AJ3" s="251" t="s">
        <v>3316</v>
      </c>
      <c r="AK3" s="251" t="s">
        <v>576</v>
      </c>
      <c r="AL3" s="251" t="s">
        <v>434</v>
      </c>
      <c r="AM3" s="311"/>
    </row>
    <row r="4" spans="1:39" ht="278.25">
      <c r="A4" s="311">
        <v>3</v>
      </c>
      <c r="B4" s="311" t="str">
        <f>Dashboard!$J$1</f>
        <v>MSB Accounting</v>
      </c>
      <c r="C4" s="377">
        <v>45714</v>
      </c>
      <c r="D4" s="377">
        <v>45727</v>
      </c>
      <c r="E4" s="424" t="s">
        <v>100</v>
      </c>
      <c r="F4" s="311" t="s">
        <v>2038</v>
      </c>
      <c r="G4" s="413" t="s">
        <v>3317</v>
      </c>
      <c r="H4" s="311" t="s">
        <v>3318</v>
      </c>
      <c r="I4" s="411" t="s">
        <v>306</v>
      </c>
      <c r="J4" s="311">
        <v>1</v>
      </c>
      <c r="K4" s="311">
        <v>1</v>
      </c>
      <c r="L4" s="311">
        <v>4</v>
      </c>
      <c r="M4" s="311" t="s">
        <v>12</v>
      </c>
      <c r="N4" s="311" t="s">
        <v>313</v>
      </c>
      <c r="O4" s="311" t="s">
        <v>316</v>
      </c>
      <c r="P4" s="311" t="s">
        <v>317</v>
      </c>
      <c r="Q4" s="311" t="s">
        <v>3226</v>
      </c>
      <c r="R4" s="369" t="s">
        <v>3319</v>
      </c>
      <c r="S4" s="377">
        <v>45712</v>
      </c>
      <c r="T4" s="377">
        <v>45715</v>
      </c>
      <c r="U4" s="311" t="s">
        <v>12</v>
      </c>
      <c r="V4" s="311" t="s">
        <v>3228</v>
      </c>
      <c r="W4" s="311" t="s">
        <v>12</v>
      </c>
      <c r="X4" s="377" t="s">
        <v>320</v>
      </c>
      <c r="Y4" s="311" t="s">
        <v>3320</v>
      </c>
      <c r="Z4" s="251" t="s">
        <v>320</v>
      </c>
      <c r="AA4" s="251" t="s">
        <v>320</v>
      </c>
      <c r="AB4" s="251" t="s">
        <v>3321</v>
      </c>
      <c r="AC4" s="251" t="s">
        <v>3322</v>
      </c>
      <c r="AD4" s="251" t="s">
        <v>3323</v>
      </c>
      <c r="AE4" s="251" t="s">
        <v>562</v>
      </c>
      <c r="AF4" s="251"/>
      <c r="AH4" s="251"/>
      <c r="AI4" s="251" t="s">
        <v>434</v>
      </c>
      <c r="AJ4" s="251" t="s">
        <v>434</v>
      </c>
      <c r="AK4" s="251" t="s">
        <v>434</v>
      </c>
      <c r="AL4" s="251" t="s">
        <v>434</v>
      </c>
      <c r="AM4" s="311"/>
    </row>
    <row r="5" spans="1:39" ht="46.5">
      <c r="A5" s="311">
        <v>4</v>
      </c>
      <c r="B5" s="311" t="str">
        <f>Dashboard!$J$1</f>
        <v>MSB Accounting</v>
      </c>
      <c r="C5" s="377">
        <v>45714</v>
      </c>
      <c r="D5" s="377">
        <v>45727</v>
      </c>
      <c r="E5" s="424" t="s">
        <v>100</v>
      </c>
      <c r="F5" s="311" t="s">
        <v>313</v>
      </c>
      <c r="G5" s="311">
        <v>46917</v>
      </c>
      <c r="H5" s="311" t="s">
        <v>3324</v>
      </c>
      <c r="I5" s="411" t="s">
        <v>306</v>
      </c>
      <c r="J5" s="311">
        <v>1</v>
      </c>
      <c r="K5" s="311">
        <v>1.5</v>
      </c>
      <c r="L5" s="311">
        <v>6</v>
      </c>
      <c r="M5" s="311" t="s">
        <v>12</v>
      </c>
      <c r="N5" s="311" t="s">
        <v>315</v>
      </c>
      <c r="O5" s="311" t="s">
        <v>316</v>
      </c>
      <c r="P5" s="311" t="s">
        <v>317</v>
      </c>
      <c r="Q5" s="311" t="s">
        <v>3226</v>
      </c>
      <c r="R5" s="369" t="s">
        <v>3325</v>
      </c>
      <c r="S5" s="377">
        <v>45709</v>
      </c>
      <c r="T5" s="377">
        <v>45709</v>
      </c>
      <c r="U5" s="311" t="s">
        <v>12</v>
      </c>
      <c r="V5" s="311" t="s">
        <v>3149</v>
      </c>
      <c r="W5" s="311" t="s">
        <v>12</v>
      </c>
      <c r="X5" s="377" t="s">
        <v>320</v>
      </c>
      <c r="Y5" s="311" t="s">
        <v>115</v>
      </c>
      <c r="Z5" s="251" t="s">
        <v>2516</v>
      </c>
      <c r="AA5" s="311" t="s">
        <v>3229</v>
      </c>
      <c r="AB5" s="251" t="s">
        <v>3326</v>
      </c>
      <c r="AC5" s="251" t="s">
        <v>3327</v>
      </c>
      <c r="AD5" s="251" t="s">
        <v>3328</v>
      </c>
      <c r="AE5" s="251" t="s">
        <v>3329</v>
      </c>
      <c r="AF5" s="251" t="s">
        <v>3330</v>
      </c>
      <c r="AG5" s="251"/>
      <c r="AH5" s="251"/>
      <c r="AI5" s="251" t="s">
        <v>434</v>
      </c>
      <c r="AJ5" s="251" t="s">
        <v>434</v>
      </c>
      <c r="AK5" s="251" t="s">
        <v>434</v>
      </c>
      <c r="AL5" s="251" t="s">
        <v>434</v>
      </c>
      <c r="AM5" s="311"/>
    </row>
    <row r="6" spans="1:39" ht="81">
      <c r="A6" s="311">
        <v>5</v>
      </c>
      <c r="B6" s="311" t="str">
        <f>Dashboard!$J$1</f>
        <v>MSB Accounting</v>
      </c>
      <c r="C6" s="377">
        <v>45714</v>
      </c>
      <c r="D6" s="377">
        <v>45727</v>
      </c>
      <c r="E6" s="424" t="s">
        <v>100</v>
      </c>
      <c r="F6" s="311" t="s">
        <v>313</v>
      </c>
      <c r="G6" s="311">
        <v>47105</v>
      </c>
      <c r="H6" s="311" t="s">
        <v>3331</v>
      </c>
      <c r="I6" s="411" t="s">
        <v>306</v>
      </c>
      <c r="J6" s="311">
        <v>5</v>
      </c>
      <c r="K6" s="311">
        <v>3</v>
      </c>
      <c r="L6" s="311">
        <v>12.5</v>
      </c>
      <c r="M6" s="311" t="s">
        <v>12</v>
      </c>
      <c r="N6" s="311" t="s">
        <v>315</v>
      </c>
      <c r="O6" s="311" t="s">
        <v>316</v>
      </c>
      <c r="P6" s="311" t="s">
        <v>317</v>
      </c>
      <c r="Q6" s="311" t="s">
        <v>3332</v>
      </c>
      <c r="R6" s="369" t="s">
        <v>3333</v>
      </c>
      <c r="S6" s="377">
        <v>45719</v>
      </c>
      <c r="T6" s="377">
        <v>45719</v>
      </c>
      <c r="U6" s="311" t="s">
        <v>12</v>
      </c>
      <c r="V6" s="311" t="s">
        <v>3149</v>
      </c>
      <c r="W6" s="311" t="s">
        <v>12</v>
      </c>
      <c r="X6" s="377" t="s">
        <v>320</v>
      </c>
      <c r="Y6" s="311" t="s">
        <v>115</v>
      </c>
      <c r="Z6" s="251" t="s">
        <v>2516</v>
      </c>
      <c r="AA6" s="311" t="s">
        <v>3229</v>
      </c>
      <c r="AB6" s="251" t="s">
        <v>3334</v>
      </c>
      <c r="AC6" s="251"/>
      <c r="AD6" s="251" t="s">
        <v>3335</v>
      </c>
      <c r="AE6" s="251" t="s">
        <v>3336</v>
      </c>
      <c r="AF6" s="251" t="s">
        <v>3337</v>
      </c>
      <c r="AG6" s="251" t="s">
        <v>3338</v>
      </c>
      <c r="AH6" s="251"/>
      <c r="AI6" s="251" t="s">
        <v>434</v>
      </c>
      <c r="AJ6" s="251" t="s">
        <v>434</v>
      </c>
      <c r="AK6" s="251" t="s">
        <v>434</v>
      </c>
      <c r="AL6" s="251" t="s">
        <v>434</v>
      </c>
      <c r="AM6" s="311"/>
    </row>
    <row r="7" spans="1:39" ht="92.25">
      <c r="A7" s="311">
        <v>6</v>
      </c>
      <c r="B7" s="311" t="str">
        <f>Dashboard!$J$1</f>
        <v>MSB Accounting</v>
      </c>
      <c r="C7" s="377">
        <v>45714</v>
      </c>
      <c r="D7" s="377">
        <v>45727</v>
      </c>
      <c r="E7" s="424" t="s">
        <v>100</v>
      </c>
      <c r="F7" s="311" t="s">
        <v>317</v>
      </c>
      <c r="G7" s="135">
        <v>47260</v>
      </c>
      <c r="H7" s="311" t="s">
        <v>3339</v>
      </c>
      <c r="I7" s="411" t="s">
        <v>306</v>
      </c>
      <c r="J7" s="311">
        <v>1</v>
      </c>
      <c r="K7" s="311">
        <v>2</v>
      </c>
      <c r="L7" s="311">
        <v>6.25</v>
      </c>
      <c r="M7" s="311" t="s">
        <v>12</v>
      </c>
      <c r="N7" s="311" t="s">
        <v>315</v>
      </c>
      <c r="O7" s="311" t="s">
        <v>316</v>
      </c>
      <c r="P7" s="311" t="s">
        <v>315</v>
      </c>
      <c r="Q7" s="311" t="s">
        <v>115</v>
      </c>
      <c r="R7" s="369" t="s">
        <v>3340</v>
      </c>
      <c r="S7" s="377">
        <v>45714</v>
      </c>
      <c r="T7" s="377">
        <v>45715</v>
      </c>
      <c r="U7" s="311" t="s">
        <v>320</v>
      </c>
      <c r="V7" s="311" t="s">
        <v>115</v>
      </c>
      <c r="W7" s="311" t="s">
        <v>320</v>
      </c>
      <c r="X7" s="311" t="s">
        <v>320</v>
      </c>
      <c r="Y7" s="311" t="s">
        <v>3226</v>
      </c>
      <c r="Z7" s="251" t="s">
        <v>3341</v>
      </c>
      <c r="AA7" s="311"/>
      <c r="AB7" s="311" t="s">
        <v>3342</v>
      </c>
      <c r="AC7" s="251"/>
      <c r="AE7" s="311" t="s">
        <v>3343</v>
      </c>
      <c r="AF7" s="311" t="s">
        <v>1431</v>
      </c>
      <c r="AI7" s="311" t="s">
        <v>434</v>
      </c>
      <c r="AJ7" s="311" t="s">
        <v>434</v>
      </c>
      <c r="AK7" s="311" t="s">
        <v>434</v>
      </c>
      <c r="AL7" s="311" t="s">
        <v>434</v>
      </c>
      <c r="AM7" s="311"/>
    </row>
    <row r="8" spans="1:39" ht="69">
      <c r="A8" s="311">
        <v>7</v>
      </c>
      <c r="B8" s="311" t="str">
        <f>Dashboard!$J$1</f>
        <v>MSB Accounting</v>
      </c>
      <c r="C8" s="377">
        <v>45714</v>
      </c>
      <c r="D8" s="377">
        <v>45727</v>
      </c>
      <c r="E8" s="424" t="s">
        <v>100</v>
      </c>
      <c r="F8" s="311" t="s">
        <v>2038</v>
      </c>
      <c r="G8" s="311">
        <v>47408</v>
      </c>
      <c r="H8" s="311" t="s">
        <v>3344</v>
      </c>
      <c r="I8" s="411" t="s">
        <v>306</v>
      </c>
      <c r="J8" s="311">
        <v>3</v>
      </c>
      <c r="K8" s="311">
        <v>4</v>
      </c>
      <c r="L8" s="311">
        <v>16</v>
      </c>
      <c r="M8" s="311" t="s">
        <v>320</v>
      </c>
      <c r="N8" s="311" t="s">
        <v>115</v>
      </c>
      <c r="O8" s="311" t="s">
        <v>316</v>
      </c>
      <c r="P8" s="311" t="s">
        <v>115</v>
      </c>
      <c r="Q8" s="311" t="s">
        <v>115</v>
      </c>
      <c r="R8" s="369" t="s">
        <v>3345</v>
      </c>
      <c r="S8" s="377">
        <v>45811</v>
      </c>
      <c r="T8" s="377">
        <v>45933</v>
      </c>
      <c r="U8" s="311" t="s">
        <v>12</v>
      </c>
      <c r="V8" s="311" t="s">
        <v>3149</v>
      </c>
      <c r="W8" s="311" t="s">
        <v>12</v>
      </c>
      <c r="X8" s="377" t="s">
        <v>320</v>
      </c>
      <c r="Y8" s="311" t="s">
        <v>115</v>
      </c>
      <c r="Z8" s="251" t="s">
        <v>320</v>
      </c>
      <c r="AA8" s="311" t="s">
        <v>320</v>
      </c>
      <c r="AB8" s="311" t="s">
        <v>3346</v>
      </c>
      <c r="AE8" s="311" t="s">
        <v>3347</v>
      </c>
      <c r="AF8" s="311" t="s">
        <v>599</v>
      </c>
      <c r="AG8" s="311" t="s">
        <v>3348</v>
      </c>
      <c r="AH8" s="311" t="s">
        <v>3346</v>
      </c>
      <c r="AI8" s="311" t="s">
        <v>3349</v>
      </c>
      <c r="AJ8" s="311" t="s">
        <v>3350</v>
      </c>
      <c r="AK8" s="311" t="s">
        <v>3351</v>
      </c>
      <c r="AL8" s="311" t="s">
        <v>3352</v>
      </c>
      <c r="AM8" s="311"/>
    </row>
    <row r="9" spans="1:39" ht="46.5">
      <c r="A9" s="311">
        <v>8</v>
      </c>
      <c r="B9" s="311" t="str">
        <f>Dashboard!$J$1</f>
        <v>MSB Accounting</v>
      </c>
      <c r="C9" s="377">
        <v>45714</v>
      </c>
      <c r="D9" s="377">
        <v>45727</v>
      </c>
      <c r="E9" s="377" t="s">
        <v>3353</v>
      </c>
      <c r="F9" s="311" t="s">
        <v>313</v>
      </c>
      <c r="G9" s="311">
        <v>47274</v>
      </c>
      <c r="H9" s="311" t="s">
        <v>3258</v>
      </c>
      <c r="I9" s="379" t="s">
        <v>369</v>
      </c>
      <c r="J9" s="311">
        <v>3</v>
      </c>
      <c r="K9" s="311"/>
      <c r="L9" s="311"/>
      <c r="M9" s="311" t="s">
        <v>12</v>
      </c>
      <c r="N9" s="311" t="s">
        <v>320</v>
      </c>
      <c r="O9" s="311" t="s">
        <v>320</v>
      </c>
      <c r="P9" s="311" t="s">
        <v>320</v>
      </c>
      <c r="Q9" s="311" t="s">
        <v>320</v>
      </c>
      <c r="R9" s="311" t="s">
        <v>320</v>
      </c>
      <c r="S9" s="311" t="s">
        <v>320</v>
      </c>
      <c r="T9" s="311" t="s">
        <v>320</v>
      </c>
      <c r="U9" s="311" t="s">
        <v>320</v>
      </c>
      <c r="V9" s="311" t="s">
        <v>320</v>
      </c>
      <c r="W9" s="311" t="s">
        <v>320</v>
      </c>
      <c r="X9" s="311" t="s">
        <v>320</v>
      </c>
      <c r="Y9" s="311" t="s">
        <v>320</v>
      </c>
      <c r="Z9" s="311" t="s">
        <v>2516</v>
      </c>
      <c r="AA9" s="311" t="s">
        <v>2516</v>
      </c>
      <c r="AB9" s="311" t="s">
        <v>3354</v>
      </c>
      <c r="AF9" s="311" t="s">
        <v>3355</v>
      </c>
      <c r="AG9" s="311" t="s">
        <v>3356</v>
      </c>
      <c r="AH9" s="311" t="s">
        <v>3357</v>
      </c>
      <c r="AI9" s="311" t="s">
        <v>3357</v>
      </c>
      <c r="AJ9" s="311" t="s">
        <v>3357</v>
      </c>
      <c r="AK9" s="311" t="s">
        <v>3357</v>
      </c>
      <c r="AL9" s="251" t="s">
        <v>3307</v>
      </c>
      <c r="AM9" s="311"/>
    </row>
    <row r="10" spans="1:39" ht="69">
      <c r="A10" s="311">
        <v>9</v>
      </c>
      <c r="B10" s="311" t="str">
        <f>Dashboard!$J$1</f>
        <v>MSB Accounting</v>
      </c>
      <c r="C10" s="377">
        <v>45714</v>
      </c>
      <c r="D10" s="377">
        <v>45727</v>
      </c>
      <c r="E10" s="377" t="s">
        <v>3353</v>
      </c>
      <c r="F10" s="311" t="s">
        <v>3358</v>
      </c>
      <c r="G10" s="410">
        <v>47335</v>
      </c>
      <c r="H10" s="311" t="s">
        <v>3359</v>
      </c>
      <c r="I10" s="379" t="s">
        <v>1117</v>
      </c>
      <c r="J10" s="311">
        <v>3</v>
      </c>
      <c r="K10" s="311"/>
      <c r="L10" s="311">
        <v>6</v>
      </c>
      <c r="M10" s="311"/>
      <c r="N10" s="311"/>
      <c r="P10" s="311"/>
      <c r="Q10" s="311"/>
      <c r="R10" s="369"/>
      <c r="S10" s="377"/>
      <c r="T10" s="377"/>
      <c r="U10" s="311"/>
      <c r="V10" s="311"/>
      <c r="W10" s="311"/>
      <c r="X10" s="311"/>
      <c r="Y10" s="311"/>
      <c r="Z10" s="251"/>
      <c r="AA10" s="251"/>
      <c r="AB10" s="311" t="s">
        <v>3360</v>
      </c>
      <c r="AF10" s="311" t="s">
        <v>3361</v>
      </c>
      <c r="AG10" s="311" t="s">
        <v>3362</v>
      </c>
      <c r="AH10" s="311" t="s">
        <v>3363</v>
      </c>
      <c r="AI10" s="311" t="s">
        <v>3363</v>
      </c>
      <c r="AJ10" s="311" t="s">
        <v>3363</v>
      </c>
      <c r="AK10" s="311" t="s">
        <v>3363</v>
      </c>
      <c r="AL10" s="311" t="s">
        <v>3363</v>
      </c>
      <c r="AM10" s="311"/>
    </row>
    <row r="11" spans="1:39" ht="46.5">
      <c r="A11" s="311">
        <v>10</v>
      </c>
      <c r="B11" s="311" t="str">
        <f>Dashboard!$J$1</f>
        <v>MSB Accounting</v>
      </c>
      <c r="C11" s="377">
        <v>45714</v>
      </c>
      <c r="D11" s="377">
        <v>45727</v>
      </c>
      <c r="E11" s="377" t="s">
        <v>3353</v>
      </c>
      <c r="F11" s="311" t="s">
        <v>317</v>
      </c>
      <c r="G11" s="412">
        <v>23760</v>
      </c>
      <c r="H11" s="311" t="s">
        <v>3364</v>
      </c>
      <c r="I11" s="411" t="s">
        <v>306</v>
      </c>
      <c r="J11" s="311">
        <v>3</v>
      </c>
      <c r="K11" s="311">
        <v>5</v>
      </c>
      <c r="L11" s="311">
        <v>19</v>
      </c>
      <c r="M11" s="311" t="s">
        <v>12</v>
      </c>
      <c r="N11" s="311" t="s">
        <v>315</v>
      </c>
      <c r="O11" s="311" t="s">
        <v>316</v>
      </c>
      <c r="P11" s="311" t="s">
        <v>115</v>
      </c>
      <c r="Q11" s="311" t="s">
        <v>115</v>
      </c>
      <c r="R11" s="369" t="s">
        <v>3365</v>
      </c>
      <c r="S11" s="377">
        <v>45780</v>
      </c>
      <c r="T11" s="377">
        <v>45780</v>
      </c>
      <c r="U11" s="311" t="s">
        <v>320</v>
      </c>
      <c r="V11" s="311" t="s">
        <v>3149</v>
      </c>
      <c r="W11" s="311" t="s">
        <v>12</v>
      </c>
      <c r="X11" s="311" t="s">
        <v>320</v>
      </c>
      <c r="Y11" s="311" t="s">
        <v>115</v>
      </c>
      <c r="Z11" s="311" t="s">
        <v>2516</v>
      </c>
      <c r="AA11" s="311"/>
      <c r="AB11" s="311" t="s">
        <v>3366</v>
      </c>
      <c r="AG11" s="311" t="s">
        <v>3367</v>
      </c>
      <c r="AH11" s="311" t="s">
        <v>2825</v>
      </c>
      <c r="AI11" s="311" t="s">
        <v>3368</v>
      </c>
      <c r="AJ11" s="311" t="s">
        <v>3369</v>
      </c>
      <c r="AK11" s="311" t="s">
        <v>3370</v>
      </c>
      <c r="AL11" s="311" t="s">
        <v>697</v>
      </c>
      <c r="AM11" s="311"/>
    </row>
    <row r="12" spans="1:39" ht="46.5">
      <c r="A12" s="311">
        <v>11</v>
      </c>
      <c r="B12" s="311" t="str">
        <f>Dashboard!$J$1</f>
        <v>MSB Accounting</v>
      </c>
      <c r="C12" s="377">
        <v>45714</v>
      </c>
      <c r="D12" s="377">
        <v>45727</v>
      </c>
      <c r="E12" s="377" t="s">
        <v>3353</v>
      </c>
      <c r="F12" s="311" t="s">
        <v>313</v>
      </c>
      <c r="G12" s="311">
        <v>23984</v>
      </c>
      <c r="H12" s="311" t="s">
        <v>3371</v>
      </c>
      <c r="I12" s="411" t="s">
        <v>376</v>
      </c>
      <c r="J12" s="311">
        <v>2</v>
      </c>
      <c r="K12" s="311">
        <v>3</v>
      </c>
      <c r="L12" s="311">
        <v>13.25</v>
      </c>
      <c r="M12" s="311" t="s">
        <v>12</v>
      </c>
      <c r="N12" s="311" t="s">
        <v>315</v>
      </c>
      <c r="O12" s="311" t="s">
        <v>316</v>
      </c>
      <c r="P12" s="311" t="s">
        <v>317</v>
      </c>
      <c r="Q12" s="311" t="s">
        <v>115</v>
      </c>
      <c r="R12" s="311" t="s">
        <v>320</v>
      </c>
      <c r="S12" s="311" t="s">
        <v>320</v>
      </c>
      <c r="T12" s="311" t="s">
        <v>320</v>
      </c>
      <c r="U12" s="311" t="s">
        <v>320</v>
      </c>
      <c r="V12" s="311" t="s">
        <v>320</v>
      </c>
      <c r="W12" s="311" t="s">
        <v>320</v>
      </c>
      <c r="X12" s="311" t="s">
        <v>320</v>
      </c>
      <c r="Y12" s="311" t="s">
        <v>320</v>
      </c>
      <c r="Z12" s="311" t="s">
        <v>2516</v>
      </c>
      <c r="AA12" s="311" t="s">
        <v>2516</v>
      </c>
      <c r="AB12" s="311" t="s">
        <v>3372</v>
      </c>
      <c r="AH12" s="311" t="s">
        <v>3373</v>
      </c>
      <c r="AI12" s="311" t="s">
        <v>599</v>
      </c>
      <c r="AJ12" s="311" t="s">
        <v>3374</v>
      </c>
      <c r="AK12" s="311" t="s">
        <v>3375</v>
      </c>
      <c r="AL12" s="369" t="s">
        <v>697</v>
      </c>
      <c r="AM12" s="311"/>
    </row>
    <row r="13" spans="1:39" ht="46.5">
      <c r="A13" s="311">
        <v>12</v>
      </c>
      <c r="B13" s="311" t="str">
        <f>Dashboard!$J$1</f>
        <v>MSB Accounting</v>
      </c>
      <c r="C13" s="377">
        <v>45714</v>
      </c>
      <c r="D13" s="377">
        <v>45727</v>
      </c>
      <c r="E13" s="424" t="s">
        <v>100</v>
      </c>
      <c r="F13" s="311" t="s">
        <v>315</v>
      </c>
      <c r="G13" s="135">
        <v>47445</v>
      </c>
      <c r="H13" t="s">
        <v>3236</v>
      </c>
      <c r="I13" s="379" t="s">
        <v>399</v>
      </c>
      <c r="J13" s="311">
        <v>5</v>
      </c>
      <c r="K13" s="311"/>
      <c r="L13" s="311"/>
      <c r="M13" s="311"/>
      <c r="N13" s="311"/>
      <c r="P13" s="311"/>
      <c r="Q13" s="311"/>
      <c r="R13" s="311"/>
      <c r="S13" s="311"/>
      <c r="T13" s="311"/>
      <c r="U13" s="311"/>
      <c r="V13" s="311"/>
      <c r="W13" s="311"/>
      <c r="X13" s="311"/>
      <c r="Y13" s="311"/>
      <c r="AA13" s="311"/>
      <c r="AB13" s="311" t="s">
        <v>3376</v>
      </c>
      <c r="AH13" s="311" t="s">
        <v>3376</v>
      </c>
      <c r="AI13" s="251" t="s">
        <v>3377</v>
      </c>
      <c r="AJ13" s="311" t="s">
        <v>3378</v>
      </c>
      <c r="AK13" s="311" t="s">
        <v>3379</v>
      </c>
      <c r="AL13" s="311" t="s">
        <v>3380</v>
      </c>
      <c r="AM13" s="311"/>
    </row>
    <row r="14" spans="1:39" ht="69">
      <c r="A14" s="311">
        <v>13</v>
      </c>
      <c r="B14" s="311" t="str">
        <f>Dashboard!$J$1</f>
        <v>MSB Accounting</v>
      </c>
      <c r="C14" s="377">
        <v>45714</v>
      </c>
      <c r="D14" s="377">
        <v>45727</v>
      </c>
      <c r="E14" s="424" t="s">
        <v>3381</v>
      </c>
      <c r="F14" s="311" t="s">
        <v>2282</v>
      </c>
      <c r="G14" s="439" t="s">
        <v>3382</v>
      </c>
      <c r="H14" s="423" t="s">
        <v>3383</v>
      </c>
      <c r="I14" s="425" t="s">
        <v>376</v>
      </c>
      <c r="J14" s="311">
        <v>0</v>
      </c>
      <c r="K14" s="311">
        <v>3</v>
      </c>
      <c r="L14" s="311">
        <v>14.5</v>
      </c>
      <c r="M14" s="311"/>
      <c r="N14" s="311"/>
      <c r="P14" s="311"/>
      <c r="Q14" s="311"/>
      <c r="R14" s="311"/>
      <c r="S14" s="311"/>
      <c r="T14" s="311"/>
      <c r="U14" s="311"/>
      <c r="V14" s="311"/>
      <c r="W14" s="311"/>
      <c r="X14" s="311"/>
      <c r="Y14" s="311"/>
      <c r="AA14" s="311"/>
      <c r="AB14" s="311" t="s">
        <v>3384</v>
      </c>
      <c r="AI14" s="311" t="s">
        <v>3385</v>
      </c>
      <c r="AK14" s="311" t="s">
        <v>3386</v>
      </c>
      <c r="AL14" s="311" t="s">
        <v>3387</v>
      </c>
      <c r="AM14" s="311"/>
    </row>
    <row r="15" spans="1:39" ht="46.5">
      <c r="A15" s="311">
        <v>14</v>
      </c>
      <c r="B15" s="311" t="str">
        <f>Dashboard!$J$1</f>
        <v>MSB Accounting</v>
      </c>
      <c r="C15" s="377">
        <v>45714</v>
      </c>
      <c r="D15" s="377">
        <v>45727</v>
      </c>
      <c r="E15" s="377" t="s">
        <v>3353</v>
      </c>
      <c r="F15" s="311" t="s">
        <v>317</v>
      </c>
      <c r="G15" s="311">
        <v>23767</v>
      </c>
      <c r="H15" s="311" t="s">
        <v>3388</v>
      </c>
      <c r="I15" s="425" t="s">
        <v>376</v>
      </c>
      <c r="J15" s="311">
        <v>5</v>
      </c>
      <c r="K15" s="311">
        <v>2</v>
      </c>
      <c r="L15" s="311">
        <v>8</v>
      </c>
      <c r="M15" s="311" t="s">
        <v>12</v>
      </c>
      <c r="N15" s="311" t="s">
        <v>315</v>
      </c>
      <c r="O15" s="311" t="s">
        <v>316</v>
      </c>
      <c r="P15" s="311" t="s">
        <v>315</v>
      </c>
      <c r="Q15" s="311" t="s">
        <v>115</v>
      </c>
      <c r="R15" s="369" t="s">
        <v>3389</v>
      </c>
      <c r="S15" s="377">
        <v>45841</v>
      </c>
      <c r="T15" s="377">
        <v>45841</v>
      </c>
      <c r="U15" s="311" t="s">
        <v>12</v>
      </c>
      <c r="V15" s="311" t="s">
        <v>3149</v>
      </c>
      <c r="W15" s="311" t="s">
        <v>12</v>
      </c>
      <c r="X15" s="311" t="s">
        <v>320</v>
      </c>
      <c r="Y15" s="311" t="s">
        <v>115</v>
      </c>
      <c r="Z15" s="251" t="s">
        <v>2516</v>
      </c>
      <c r="AA15" s="311" t="s">
        <v>3229</v>
      </c>
      <c r="AB15" s="311" t="s">
        <v>3390</v>
      </c>
      <c r="AL15" s="311" t="s">
        <v>697</v>
      </c>
      <c r="AM15" s="311"/>
    </row>
    <row r="16" spans="1:39">
      <c r="A16" s="282"/>
      <c r="B16" s="282"/>
      <c r="C16" s="282"/>
      <c r="D16" s="282"/>
      <c r="E16" s="282"/>
      <c r="F16" s="282"/>
      <c r="G16" s="282"/>
      <c r="I16" s="282"/>
      <c r="J16" s="282"/>
      <c r="O16" s="282"/>
    </row>
    <row r="17" spans="1:15">
      <c r="A17" s="282"/>
      <c r="B17" s="282"/>
      <c r="C17" s="282"/>
      <c r="D17" s="282"/>
      <c r="E17" s="282"/>
      <c r="F17" s="282"/>
      <c r="G17" s="282"/>
      <c r="I17" s="282"/>
      <c r="J17" s="282"/>
      <c r="O17" s="282"/>
    </row>
    <row r="18" spans="1:15">
      <c r="A18" s="282"/>
      <c r="B18" s="282"/>
      <c r="C18" s="282"/>
      <c r="D18" s="282"/>
      <c r="E18" s="282"/>
      <c r="F18" s="282"/>
      <c r="G18" s="282"/>
      <c r="I18" s="282"/>
      <c r="J18" s="282"/>
      <c r="O18" s="282"/>
    </row>
    <row r="19" spans="1:15">
      <c r="A19" s="282"/>
      <c r="B19" s="282"/>
      <c r="C19" s="282"/>
      <c r="D19" s="282"/>
      <c r="E19" s="282"/>
      <c r="F19" s="282"/>
      <c r="G19" s="282"/>
      <c r="I19" s="282"/>
      <c r="J19" s="282"/>
      <c r="O19" s="282"/>
    </row>
    <row r="20" spans="1:15">
      <c r="A20" s="282"/>
      <c r="B20" s="282"/>
      <c r="C20" s="282"/>
      <c r="D20" s="282"/>
      <c r="E20" s="282"/>
      <c r="F20" s="282"/>
      <c r="G20" s="282"/>
      <c r="I20" s="282"/>
      <c r="J20" s="282"/>
      <c r="O20" s="282"/>
    </row>
    <row r="21" spans="1:15">
      <c r="A21" s="282"/>
      <c r="B21" s="282"/>
      <c r="C21" s="282"/>
      <c r="D21" s="282"/>
      <c r="E21" s="282"/>
      <c r="F21" s="282"/>
      <c r="G21" s="282"/>
      <c r="I21" s="282"/>
      <c r="J21" s="282"/>
      <c r="O21" s="282"/>
    </row>
    <row r="22" spans="1:15">
      <c r="A22" s="282"/>
      <c r="B22" s="282"/>
      <c r="C22" s="282"/>
      <c r="D22" s="282"/>
      <c r="E22" s="282"/>
      <c r="F22" s="282"/>
      <c r="G22" s="282"/>
      <c r="I22" s="282"/>
      <c r="J22" s="282"/>
      <c r="O22" s="282"/>
    </row>
    <row r="23" spans="1:15">
      <c r="A23" s="282"/>
      <c r="B23" s="282"/>
      <c r="C23" s="282"/>
      <c r="D23" s="282"/>
      <c r="E23" s="282"/>
      <c r="F23" s="282"/>
      <c r="G23" s="282"/>
      <c r="I23" s="282"/>
      <c r="J23" s="282"/>
      <c r="O23" s="282"/>
    </row>
    <row r="24" spans="1:15">
      <c r="A24" s="282"/>
      <c r="B24" s="282"/>
      <c r="C24" s="282"/>
      <c r="D24" s="282"/>
      <c r="E24" s="282"/>
      <c r="F24" s="282"/>
      <c r="G24" s="282"/>
      <c r="I24" s="282"/>
      <c r="J24" s="282"/>
      <c r="O24" s="282"/>
    </row>
    <row r="25" spans="1:15">
      <c r="A25" s="282"/>
      <c r="B25" s="282"/>
      <c r="C25" s="282"/>
      <c r="D25" s="282"/>
      <c r="E25" s="282"/>
      <c r="F25" s="282"/>
      <c r="G25" s="282"/>
      <c r="I25" s="282"/>
      <c r="J25" s="282"/>
      <c r="O25" s="282"/>
    </row>
    <row r="26" spans="1:15">
      <c r="A26" s="282"/>
      <c r="B26" s="282"/>
      <c r="C26" s="282"/>
      <c r="D26" s="282"/>
      <c r="E26" s="282"/>
      <c r="F26" s="282"/>
      <c r="G26" s="282"/>
      <c r="I26" s="282"/>
      <c r="J26" s="282"/>
      <c r="O26" s="282"/>
    </row>
    <row r="27" spans="1:15">
      <c r="A27" s="282"/>
      <c r="B27" s="282"/>
      <c r="C27" s="282"/>
      <c r="D27" s="282"/>
      <c r="E27" s="282"/>
      <c r="F27" s="282"/>
      <c r="G27" s="282"/>
      <c r="I27" s="282"/>
      <c r="J27" s="282"/>
      <c r="O27" s="282"/>
    </row>
    <row r="28" spans="1:15">
      <c r="A28" s="282"/>
      <c r="B28" s="282"/>
      <c r="C28" s="282"/>
      <c r="D28" s="282"/>
      <c r="E28" s="282"/>
      <c r="F28" s="282"/>
      <c r="G28" s="282"/>
      <c r="I28" s="282"/>
      <c r="J28" s="282"/>
      <c r="O28" s="282"/>
    </row>
    <row r="29" spans="1:15">
      <c r="A29" s="282"/>
      <c r="B29" s="282"/>
      <c r="C29" s="282"/>
      <c r="D29" s="282"/>
      <c r="E29" s="282"/>
      <c r="F29" s="282"/>
      <c r="G29" s="282"/>
      <c r="I29" s="282"/>
      <c r="J29" s="282"/>
      <c r="O29" s="282"/>
    </row>
  </sheetData>
  <conditionalFormatting sqref="J1">
    <cfRule type="containsText" dxfId="368" priority="10" operator="containsText" text="Closed">
      <formula>NOT(ISERROR(SEARCH("Closed",J1)))</formula>
    </cfRule>
    <cfRule type="containsText" dxfId="367" priority="11" operator="containsText" text="Open">
      <formula>NOT(ISERROR(SEARCH("Open",J1)))</formula>
    </cfRule>
    <cfRule type="containsText" dxfId="366" priority="12" operator="containsText" text="Inprogress">
      <formula>NOT(ISERROR(SEARCH("Inprogress",J1)))</formula>
    </cfRule>
  </conditionalFormatting>
  <conditionalFormatting sqref="I2:I3 I5:I13">
    <cfRule type="containsText" dxfId="365" priority="7" operator="containsText" text="Closed">
      <formula>NOT(ISERROR(SEARCH("Closed",I2)))</formula>
    </cfRule>
    <cfRule type="containsText" dxfId="364" priority="8" operator="containsText" text="Open">
      <formula>NOT(ISERROR(SEARCH("Open",I2)))</formula>
    </cfRule>
    <cfRule type="containsText" dxfId="363" priority="9" operator="containsText" text="Inprogress">
      <formula>NOT(ISERROR(SEARCH("Inprogress",I2)))</formula>
    </cfRule>
  </conditionalFormatting>
  <conditionalFormatting sqref="I4">
    <cfRule type="containsText" dxfId="362" priority="1" operator="containsText" text="Closed">
      <formula>NOT(ISERROR(SEARCH("Closed",I4)))</formula>
    </cfRule>
    <cfRule type="containsText" dxfId="361" priority="2" operator="containsText" text="Open">
      <formula>NOT(ISERROR(SEARCH("Open",I4)))</formula>
    </cfRule>
    <cfRule type="containsText" dxfId="360" priority="3" operator="containsText" text="Inprogress">
      <formula>NOT(ISERROR(SEARCH("Inprogress",I4)))</formula>
    </cfRule>
  </conditionalFormatting>
  <dataValidations count="12">
    <dataValidation type="list" showErrorMessage="1" sqref="O13 O10" xr:uid="{B717A7D0-F18E-4E9A-8944-2D8DD114EB66}">
      <formula1>"Pass,Fail(BacktoDev),DB Script tests in QA DB"</formula1>
    </dataValidation>
    <dataValidation allowBlank="1" showInputMessage="1" showErrorMessage="1" sqref="Z15:AA15 Z3:AA8 Q10:Q13 Q15 Y4:Y6 Y2:AA2 V13:V15 Y10:AA10 Q2:Q8 Y13 Y8 V2:V8 V10:V11 R3:R4" xr:uid="{F27CBD15-1BC0-444D-954C-73D8EEC8C1AF}"/>
    <dataValidation type="list" allowBlank="1" showErrorMessage="1" sqref="M14 M16:M21" xr:uid="{5035B891-92E3-4FFB-AB7C-BC7AB9AA5D03}">
      <formula1>"Open,Inprogress,Closed,TBD,NA"</formula1>
    </dataValidation>
    <dataValidation type="list" showErrorMessage="1" sqref="W1:X1 N9:Y9 X7 W13 W15 M15 U15 R12:Y12 U1:U8 W2:W8 W10:W11 U10:U11 U13 M1:M13" xr:uid="{0A6772A6-2121-40FB-AF41-224D57A04739}">
      <formula1>"Open,Inprogress,Completed,TBD,NA"</formula1>
    </dataValidation>
    <dataValidation type="list" showErrorMessage="1" sqref="Q1:R1 V1 Y3 Y1 Y7" xr:uid="{0E102096-526E-4279-99BB-4C4E7CBF6BFF}">
      <formula1>"No issues found,Issues observed(BacktoDev),DB Script tests in QA DB,NA,TBD"</formula1>
    </dataValidation>
    <dataValidation type="list" showErrorMessage="1" sqref="O15 O11:O12 O1:O8" xr:uid="{A02B453B-C434-4720-8C5A-D6D44DE70F39}">
      <formula1>"Pass,Fail(BacktoDev),DB Script tests in QA DB,TBD"</formula1>
    </dataValidation>
    <dataValidation type="list" showErrorMessage="1" sqref="N1:N8 P2:P8 P11 N10:N15 P15" xr:uid="{DF6A111A-3F66-41EC-8563-BB230032CA4F}">
      <formula1>"Qadir,Rijo,Karthik,Sushmitha,None,TBD"</formula1>
    </dataValidation>
    <dataValidation type="list" showErrorMessage="1" sqref="P1 P10 P12:P13" xr:uid="{A1AC567A-43CA-457F-AF88-0F2757CB871A}">
      <formula1>"Qadir,Rijo,Karthik,None,TBD"</formula1>
    </dataValidation>
    <dataValidation type="list" showErrorMessage="1" sqref="Z1" xr:uid="{B3E2ADC0-4314-4BAD-8B94-8D1C2908F95E}">
      <formula1>"Approved-Satisified AC,Not Approved(Back to Dev),NA,TBD"</formula1>
    </dataValidation>
    <dataValidation type="list" showErrorMessage="1" sqref="AA1:AB1" xr:uid="{D63A6BB4-A388-475A-90A6-149B9ED0CEF0}">
      <formula1>"Pending-Waiting for Customer confirmation, Approved-Satisified AC,Not Approved-New minor changes requested(Back to Dev),NA,TBD"</formula1>
    </dataValidation>
    <dataValidation type="list" allowBlank="1" showErrorMessage="1" sqref="J1" xr:uid="{23C248E9-1F92-4606-8E67-8D5C4F8F1280}">
      <formula1>"Open,Inprogress,Closed"</formula1>
    </dataValidation>
    <dataValidation showErrorMessage="1" sqref="I1" xr:uid="{E78C8181-B3B7-4AEE-9788-3B95A96C2E2D}"/>
  </dataValidations>
  <hyperlinks>
    <hyperlink ref="R7" r:id="rId1" xr:uid="{C7DBE028-7840-4E73-8386-84FAA92ED00D}"/>
    <hyperlink ref="R5" r:id="rId2" xr:uid="{9DCE46CB-F3CB-4863-90D1-CF3E8E2AA1D9}"/>
    <hyperlink ref="R4" r:id="rId3" xr:uid="{8323E44B-F466-4EC7-912D-974D2F961A1B}"/>
    <hyperlink ref="R6" r:id="rId4" xr:uid="{D9D3E9C2-3693-426F-A64A-FE5DD25843A4}"/>
    <hyperlink ref="R2" r:id="rId5" xr:uid="{D9CD6A44-7A8E-4EDD-B960-CDE31D5FD9F5}"/>
    <hyperlink ref="R8" r:id="rId6" xr:uid="{08AD92BF-092A-4474-B011-AE131A87FA04}"/>
    <hyperlink ref="R15" r:id="rId7" xr:uid="{541EDA7C-5D56-4B18-89F2-0FEB8814C7B3}"/>
    <hyperlink ref="R11" r:id="rId8" xr:uid="{9017B23A-E8E8-4972-BA9B-76B075B8C2CD}"/>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ErrorMessage="1" xr:uid="{E7435BB4-573A-4343-9098-6B3F38F2EB4C}">
          <x14:formula1>
            <xm:f>Settings!$C$3:$C$20</xm:f>
          </x14:formula1>
          <xm:sqref>I2:I15</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670B0-54D2-41C1-814A-B2FB1206A3AB}">
  <dimension ref="A1:L8"/>
  <sheetViews>
    <sheetView topLeftCell="F2" workbookViewId="0">
      <selection activeCell="L4" sqref="L4"/>
    </sheetView>
  </sheetViews>
  <sheetFormatPr defaultRowHeight="12.75"/>
  <cols>
    <col min="1" max="1" width="11.42578125" style="282" bestFit="1" customWidth="1"/>
    <col min="2" max="3" width="9.85546875" style="282" bestFit="1" customWidth="1"/>
    <col min="4" max="4" width="15.5703125" style="282" bestFit="1" customWidth="1"/>
    <col min="5" max="5" width="19.140625" style="282" bestFit="1" customWidth="1"/>
    <col min="6" max="6" width="45.85546875" style="282" customWidth="1"/>
    <col min="7" max="7" width="9.42578125" style="282" bestFit="1" customWidth="1"/>
    <col min="8" max="8" width="19.140625" style="282" customWidth="1"/>
    <col min="9" max="9" width="9.5703125" style="282" bestFit="1" customWidth="1"/>
    <col min="10" max="10" width="19.42578125" style="282" customWidth="1"/>
    <col min="11" max="11" width="18.7109375" style="282" bestFit="1" customWidth="1"/>
    <col min="12" max="12" width="51.5703125" style="282" customWidth="1"/>
    <col min="13" max="16384" width="9.140625" style="282"/>
  </cols>
  <sheetData>
    <row r="1" spans="1:12" ht="27">
      <c r="A1" s="108" t="s">
        <v>10</v>
      </c>
      <c r="B1" s="404" t="s">
        <v>267</v>
      </c>
      <c r="C1" s="404" t="s">
        <v>268</v>
      </c>
      <c r="D1" s="108" t="s">
        <v>269</v>
      </c>
      <c r="E1" s="404" t="s">
        <v>270</v>
      </c>
      <c r="F1" s="404" t="s">
        <v>271</v>
      </c>
      <c r="G1" s="108" t="s">
        <v>272</v>
      </c>
      <c r="H1" s="155" t="s">
        <v>273</v>
      </c>
      <c r="I1" s="155" t="s">
        <v>274</v>
      </c>
      <c r="J1" s="108" t="s">
        <v>275</v>
      </c>
      <c r="K1" s="332" t="s">
        <v>276</v>
      </c>
      <c r="L1" s="405" t="s">
        <v>277</v>
      </c>
    </row>
    <row r="2" spans="1:12" ht="53.25" customHeight="1">
      <c r="A2" s="289" t="s">
        <v>100</v>
      </c>
      <c r="B2" s="289">
        <v>24688</v>
      </c>
      <c r="C2" s="289"/>
      <c r="D2" s="289" t="s">
        <v>317</v>
      </c>
      <c r="E2" s="329" t="s">
        <v>522</v>
      </c>
      <c r="F2" s="281" t="s">
        <v>3309</v>
      </c>
      <c r="G2" s="406" t="s">
        <v>1670</v>
      </c>
      <c r="H2" s="440" t="s">
        <v>518</v>
      </c>
      <c r="I2" s="409" t="s">
        <v>519</v>
      </c>
      <c r="J2" s="421" t="s">
        <v>576</v>
      </c>
      <c r="K2" s="329" t="s">
        <v>1186</v>
      </c>
      <c r="L2" s="281" t="s">
        <v>3391</v>
      </c>
    </row>
    <row r="3" spans="1:12" ht="111" customHeight="1">
      <c r="A3" s="289" t="s">
        <v>100</v>
      </c>
      <c r="B3" s="289">
        <v>23760</v>
      </c>
      <c r="C3" s="419"/>
      <c r="D3" s="289" t="s">
        <v>317</v>
      </c>
      <c r="E3" s="330" t="s">
        <v>522</v>
      </c>
      <c r="F3" s="203" t="s">
        <v>3392</v>
      </c>
      <c r="G3" s="406" t="s">
        <v>1670</v>
      </c>
      <c r="H3" s="440" t="s">
        <v>518</v>
      </c>
      <c r="I3" s="409" t="s">
        <v>519</v>
      </c>
      <c r="J3" s="421" t="s">
        <v>576</v>
      </c>
      <c r="K3" s="329" t="s">
        <v>529</v>
      </c>
      <c r="L3" s="281" t="s">
        <v>3393</v>
      </c>
    </row>
    <row r="4" spans="1:12" ht="57" customHeight="1">
      <c r="A4" s="289" t="s">
        <v>100</v>
      </c>
      <c r="B4" s="289">
        <v>23984</v>
      </c>
      <c r="C4" s="419"/>
      <c r="D4" s="289" t="s">
        <v>313</v>
      </c>
      <c r="E4" s="329" t="s">
        <v>522</v>
      </c>
      <c r="F4" s="203" t="s">
        <v>3371</v>
      </c>
      <c r="G4" s="406" t="s">
        <v>1670</v>
      </c>
      <c r="H4" s="440" t="s">
        <v>518</v>
      </c>
      <c r="I4" s="409" t="s">
        <v>519</v>
      </c>
      <c r="J4" s="421" t="s">
        <v>576</v>
      </c>
      <c r="K4" s="329" t="s">
        <v>1325</v>
      </c>
      <c r="L4" s="281" t="s">
        <v>3394</v>
      </c>
    </row>
    <row r="5" spans="1:12" ht="46.5">
      <c r="A5" s="289" t="s">
        <v>100</v>
      </c>
      <c r="B5" s="289">
        <v>23767</v>
      </c>
      <c r="C5" s="419"/>
      <c r="D5" s="289" t="s">
        <v>317</v>
      </c>
      <c r="E5" s="329" t="s">
        <v>522</v>
      </c>
      <c r="F5" s="203" t="s">
        <v>3395</v>
      </c>
      <c r="G5" s="406" t="s">
        <v>1670</v>
      </c>
      <c r="H5" s="440" t="s">
        <v>518</v>
      </c>
      <c r="I5" s="409" t="s">
        <v>519</v>
      </c>
      <c r="J5" s="421" t="s">
        <v>576</v>
      </c>
      <c r="K5" s="329" t="s">
        <v>529</v>
      </c>
      <c r="L5" s="281" t="s">
        <v>3396</v>
      </c>
    </row>
    <row r="6" spans="1:12">
      <c r="A6" s="289"/>
      <c r="B6" s="289"/>
      <c r="C6" s="419"/>
      <c r="D6" s="289"/>
      <c r="E6" s="406"/>
      <c r="F6" s="203"/>
      <c r="G6" s="406"/>
      <c r="H6" s="329"/>
      <c r="I6" s="329"/>
      <c r="J6" s="329"/>
      <c r="K6" s="406"/>
      <c r="L6" s="253"/>
    </row>
    <row r="7" spans="1:12">
      <c r="A7" s="289"/>
      <c r="B7" s="289"/>
      <c r="C7" s="419"/>
      <c r="D7" s="289"/>
      <c r="E7" s="406"/>
      <c r="F7" s="203"/>
      <c r="G7" s="406"/>
      <c r="H7" s="329"/>
      <c r="I7" s="329"/>
      <c r="J7" s="329"/>
      <c r="K7" s="406"/>
      <c r="L7" s="253"/>
    </row>
    <row r="8" spans="1:12">
      <c r="A8" s="289"/>
      <c r="B8" s="289"/>
      <c r="C8" s="419"/>
      <c r="D8" s="289"/>
      <c r="E8" s="329"/>
      <c r="F8" s="203"/>
      <c r="G8" s="406"/>
      <c r="H8" s="329"/>
      <c r="I8" s="329"/>
      <c r="J8" s="329"/>
      <c r="K8" s="406"/>
      <c r="L8" s="253"/>
    </row>
  </sheetData>
  <dataValidations count="10">
    <dataValidation type="list" allowBlank="1" showErrorMessage="1" sqref="N9:N10 K6:K8" xr:uid="{4B32C922-2486-4E63-99E8-F06E0D07AEFA}">
      <formula1>$A$2:$A$10</formula1>
    </dataValidation>
    <dataValidation type="list" allowBlank="1" showErrorMessage="1" sqref="M9" xr:uid="{DB01EDB1-7AF5-4111-B199-8ACCAA6B149E}">
      <formula1>"Open,Inprogress,Closed/Rejected"</formula1>
    </dataValidation>
    <dataValidation type="list" allowBlank="1" showErrorMessage="1" sqref="K9:K10 H2:H5" xr:uid="{575AB855-CD77-42BB-96D6-C6B9648C0971}">
      <formula1>"Manual, Automation"</formula1>
    </dataValidation>
    <dataValidation type="list" allowBlank="1" showErrorMessage="1" sqref="H9" xr:uid="{DBB1C9BA-883A-4C11-8EBE-4CDC7F724D6C}">
      <formula1>"Bounceback/Sub-Defect,Defect,None"</formula1>
    </dataValidation>
    <dataValidation type="list" allowBlank="1" showErrorMessage="1" sqref="H10 E3 E6:E7" xr:uid="{7A7D6EA7-C691-4E16-B362-BF2FD826DB79}">
      <formula1>"Bounceback,Defect,None"</formula1>
    </dataValidation>
    <dataValidation type="list" allowBlank="1" showErrorMessage="1" sqref="J9:J10 G2:G8" xr:uid="{BF69E481-7978-4338-B106-F758BD196252}">
      <formula1>"Minor,Significant,Major"</formula1>
    </dataValidation>
    <dataValidation type="list" allowBlank="1" showErrorMessage="1" sqref="M10 J2:J5 I6:I8" xr:uid="{CAB2CD3B-DC89-47AF-97C4-36FA3C703FEB}">
      <formula1>"Open,Inprogress,Closed"</formula1>
    </dataValidation>
    <dataValidation type="list" allowBlank="1" showErrorMessage="1" sqref="L9:L10 I2:I5 H6:H8" xr:uid="{E92B9CFE-2ED3-4714-A221-35C81CFEC362}">
      <formula1>"Internal,External"</formula1>
    </dataValidation>
    <dataValidation type="list" allowBlank="1" showErrorMessage="1" sqref="E2 E8 E4:E5" xr:uid="{40E880CD-415A-438F-B96B-073E568CEAC9}">
      <formula1>"Bounceback,Defect,DefectFromEscalation,None"</formula1>
    </dataValidation>
    <dataValidation type="list" allowBlank="1" showInputMessage="1" showErrorMessage="1" sqref="D2:D8" xr:uid="{8B6DC9EF-577B-4F58-A248-7E6FCA0045BE}">
      <formula1>"Qadir,Rijo,Karthik, Rijo-Karthik, Qadir-Rijo-Karthik"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E7BE5EC-A907-4D63-8C0C-E603527700CD}">
          <x14:formula1>
            <xm:f>Details!$A$2:$A$10</xm:f>
          </x14:formula1>
          <xm:sqref>K2:K5 J6:J8</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2FCBE-A3B2-4C58-B396-B1704233534E}">
  <dimension ref="A1:AM29"/>
  <sheetViews>
    <sheetView workbookViewId="0">
      <pane ySplit="1" topLeftCell="X11" activePane="bottomLeft" state="frozen"/>
      <selection pane="bottomLeft" activeCell="S5" sqref="S5"/>
    </sheetView>
  </sheetViews>
  <sheetFormatPr defaultRowHeight="12.75"/>
  <cols>
    <col min="1" max="1" width="7" style="310" customWidth="1"/>
    <col min="2" max="2" width="14.28515625" style="310" customWidth="1"/>
    <col min="3" max="3" width="12.28515625" style="310" customWidth="1"/>
    <col min="4" max="4" width="10.140625" style="310" customWidth="1"/>
    <col min="5" max="5" width="14.5703125" style="311" customWidth="1"/>
    <col min="6" max="6" width="14.140625" style="111" customWidth="1"/>
    <col min="7" max="7" width="13.28515625" style="111" customWidth="1"/>
    <col min="8" max="8" width="58.5703125" style="282" customWidth="1"/>
    <col min="9" max="9" width="22.85546875" style="111" customWidth="1"/>
    <col min="10" max="10" width="11.42578125" style="111" bestFit="1" customWidth="1"/>
    <col min="11" max="12" width="14.42578125" style="111" customWidth="1"/>
    <col min="13" max="13" width="12.42578125" style="282" customWidth="1"/>
    <col min="14" max="14" width="13.85546875" style="282" customWidth="1"/>
    <col min="15" max="15" width="23.140625" style="311" customWidth="1"/>
    <col min="16" max="16" width="15.5703125" style="282" customWidth="1"/>
    <col min="17" max="17" width="22.140625" style="282" customWidth="1"/>
    <col min="18" max="18" width="31.5703125" style="282" customWidth="1"/>
    <col min="19" max="19" width="12.7109375" style="282" customWidth="1"/>
    <col min="20" max="20" width="13.42578125" style="282" customWidth="1"/>
    <col min="21" max="21" width="13.7109375" style="282" customWidth="1"/>
    <col min="22" max="22" width="23.7109375" style="282" customWidth="1"/>
    <col min="23" max="23" width="26" style="282" customWidth="1"/>
    <col min="24" max="24" width="17.140625" style="282" customWidth="1"/>
    <col min="25" max="25" width="19.85546875" style="282" customWidth="1"/>
    <col min="26" max="26" width="27.140625" style="311" customWidth="1"/>
    <col min="27" max="27" width="65.140625" style="282" customWidth="1"/>
    <col min="28" max="28" width="68.140625" style="282" customWidth="1"/>
    <col min="29" max="31" width="30.7109375" style="311" customWidth="1"/>
    <col min="32" max="37" width="25.42578125" style="311" customWidth="1"/>
    <col min="38" max="38" width="30.7109375" style="282" customWidth="1"/>
    <col min="39" max="39" width="16.42578125" style="282" bestFit="1" customWidth="1"/>
    <col min="40" max="16384" width="9.140625" style="282"/>
  </cols>
  <sheetData>
    <row r="1" spans="1:39" ht="27">
      <c r="A1" s="338" t="s">
        <v>266</v>
      </c>
      <c r="B1" s="108" t="s">
        <v>4</v>
      </c>
      <c r="C1" s="108" t="s">
        <v>2</v>
      </c>
      <c r="D1" s="108" t="s">
        <v>3</v>
      </c>
      <c r="E1" s="338" t="s">
        <v>278</v>
      </c>
      <c r="F1" s="338" t="s">
        <v>269</v>
      </c>
      <c r="G1" s="338" t="s">
        <v>279</v>
      </c>
      <c r="H1" s="338" t="s">
        <v>280</v>
      </c>
      <c r="I1" s="338" t="s">
        <v>275</v>
      </c>
      <c r="J1" s="396" t="s">
        <v>281</v>
      </c>
      <c r="K1" s="396" t="s">
        <v>282</v>
      </c>
      <c r="L1" s="396" t="s">
        <v>283</v>
      </c>
      <c r="M1" s="338" t="s">
        <v>286</v>
      </c>
      <c r="N1" s="338" t="s">
        <v>287</v>
      </c>
      <c r="O1" s="338" t="s">
        <v>288</v>
      </c>
      <c r="P1" s="338" t="s">
        <v>289</v>
      </c>
      <c r="Q1" s="338" t="s">
        <v>290</v>
      </c>
      <c r="R1" s="338" t="s">
        <v>291</v>
      </c>
      <c r="S1" s="339" t="s">
        <v>292</v>
      </c>
      <c r="T1" s="339" t="s">
        <v>293</v>
      </c>
      <c r="U1" s="338" t="s">
        <v>294</v>
      </c>
      <c r="V1" s="338" t="s">
        <v>295</v>
      </c>
      <c r="W1" s="338" t="s">
        <v>296</v>
      </c>
      <c r="X1" s="339" t="s">
        <v>297</v>
      </c>
      <c r="Y1" s="338" t="s">
        <v>298</v>
      </c>
      <c r="Z1" s="338" t="s">
        <v>299</v>
      </c>
      <c r="AA1" s="338" t="s">
        <v>300</v>
      </c>
      <c r="AB1" s="340" t="s">
        <v>277</v>
      </c>
      <c r="AC1" s="346" t="s">
        <v>3397</v>
      </c>
      <c r="AD1" s="346" t="s">
        <v>3398</v>
      </c>
      <c r="AE1" s="346" t="s">
        <v>3399</v>
      </c>
      <c r="AF1" s="346" t="s">
        <v>3400</v>
      </c>
      <c r="AG1" s="346" t="s">
        <v>3401</v>
      </c>
      <c r="AH1" s="346" t="s">
        <v>3402</v>
      </c>
      <c r="AI1" s="346" t="s">
        <v>3403</v>
      </c>
      <c r="AJ1" s="346" t="s">
        <v>3404</v>
      </c>
      <c r="AK1" s="346" t="s">
        <v>3405</v>
      </c>
      <c r="AL1" s="346" t="s">
        <v>3296</v>
      </c>
      <c r="AM1" s="371" t="s">
        <v>3297</v>
      </c>
    </row>
    <row r="2" spans="1:39" ht="58.5">
      <c r="A2" s="311">
        <v>1</v>
      </c>
      <c r="B2" s="311" t="str">
        <f>Dashboard!$J$1</f>
        <v>MSB Accounting</v>
      </c>
      <c r="C2" s="377">
        <v>45700</v>
      </c>
      <c r="D2" s="377">
        <v>45713</v>
      </c>
      <c r="E2" s="382" t="s">
        <v>96</v>
      </c>
      <c r="F2" s="311" t="s">
        <v>315</v>
      </c>
      <c r="G2" s="378">
        <v>47082</v>
      </c>
      <c r="H2" s="311" t="s">
        <v>3406</v>
      </c>
      <c r="I2" s="411" t="s">
        <v>306</v>
      </c>
      <c r="J2" s="378">
        <v>1</v>
      </c>
      <c r="K2" s="378">
        <v>3</v>
      </c>
      <c r="L2" s="378">
        <v>12</v>
      </c>
      <c r="M2" s="311" t="s">
        <v>12</v>
      </c>
      <c r="N2" s="311" t="s">
        <v>313</v>
      </c>
      <c r="O2" s="311" t="s">
        <v>316</v>
      </c>
      <c r="P2" s="311" t="s">
        <v>317</v>
      </c>
      <c r="Q2" s="311" t="s">
        <v>115</v>
      </c>
      <c r="R2" s="369" t="s">
        <v>3407</v>
      </c>
      <c r="S2" s="377">
        <v>45709</v>
      </c>
      <c r="T2" s="377">
        <v>45709</v>
      </c>
      <c r="U2" s="311" t="s">
        <v>12</v>
      </c>
      <c r="V2" s="311" t="s">
        <v>3226</v>
      </c>
      <c r="W2" s="311" t="s">
        <v>12</v>
      </c>
      <c r="X2" s="377" t="s">
        <v>320</v>
      </c>
      <c r="Y2" s="311" t="s">
        <v>115</v>
      </c>
      <c r="Z2" s="251" t="s">
        <v>3408</v>
      </c>
      <c r="AA2" s="311" t="s">
        <v>3409</v>
      </c>
      <c r="AB2" s="311" t="s">
        <v>3410</v>
      </c>
      <c r="AC2" s="311" t="s">
        <v>3411</v>
      </c>
      <c r="AD2" s="251" t="s">
        <v>3412</v>
      </c>
      <c r="AE2" s="251" t="s">
        <v>3413</v>
      </c>
      <c r="AF2" s="251" t="s">
        <v>3414</v>
      </c>
      <c r="AG2" s="251" t="s">
        <v>3415</v>
      </c>
      <c r="AH2" s="251" t="s">
        <v>3416</v>
      </c>
      <c r="AI2" s="251" t="s">
        <v>3417</v>
      </c>
      <c r="AJ2" s="251" t="s">
        <v>3418</v>
      </c>
      <c r="AK2" s="251"/>
      <c r="AL2" s="251"/>
      <c r="AM2" s="311"/>
    </row>
    <row r="3" spans="1:39" ht="69">
      <c r="A3" s="311">
        <v>2</v>
      </c>
      <c r="B3" s="311" t="str">
        <f>Dashboard!$J$1</f>
        <v>MSB Accounting</v>
      </c>
      <c r="C3" s="377">
        <v>45700</v>
      </c>
      <c r="D3" s="377">
        <v>45713</v>
      </c>
      <c r="E3" s="382" t="s">
        <v>96</v>
      </c>
      <c r="F3" s="311" t="s">
        <v>317</v>
      </c>
      <c r="G3" s="378">
        <v>24666</v>
      </c>
      <c r="H3" s="377" t="s">
        <v>3419</v>
      </c>
      <c r="I3" s="411" t="s">
        <v>376</v>
      </c>
      <c r="J3" s="378">
        <v>3</v>
      </c>
      <c r="K3" s="378">
        <v>4</v>
      </c>
      <c r="L3" s="383">
        <v>17</v>
      </c>
      <c r="M3" s="311" t="s">
        <v>12</v>
      </c>
      <c r="N3" s="311" t="s">
        <v>315</v>
      </c>
      <c r="O3" s="311" t="s">
        <v>316</v>
      </c>
      <c r="P3" s="311" t="s">
        <v>315</v>
      </c>
      <c r="Q3" s="311" t="s">
        <v>3226</v>
      </c>
      <c r="R3" s="369" t="s">
        <v>320</v>
      </c>
      <c r="S3" s="377" t="s">
        <v>320</v>
      </c>
      <c r="T3" s="377" t="s">
        <v>320</v>
      </c>
      <c r="U3" s="311" t="s">
        <v>320</v>
      </c>
      <c r="V3" s="311" t="s">
        <v>320</v>
      </c>
      <c r="W3" s="311" t="s">
        <v>320</v>
      </c>
      <c r="X3" s="311" t="s">
        <v>320</v>
      </c>
      <c r="Y3" s="311" t="s">
        <v>115</v>
      </c>
      <c r="Z3" s="311" t="s">
        <v>3420</v>
      </c>
      <c r="AA3" s="311" t="s">
        <v>3420</v>
      </c>
      <c r="AB3" s="251" t="s">
        <v>3421</v>
      </c>
      <c r="AC3" s="311" t="s">
        <v>3422</v>
      </c>
      <c r="AD3" s="251" t="s">
        <v>3423</v>
      </c>
      <c r="AE3" s="251" t="s">
        <v>3424</v>
      </c>
      <c r="AF3" s="251" t="s">
        <v>3425</v>
      </c>
      <c r="AG3" s="251" t="s">
        <v>3426</v>
      </c>
      <c r="AH3" s="251" t="s">
        <v>3427</v>
      </c>
      <c r="AI3" s="251" t="s">
        <v>3428</v>
      </c>
      <c r="AJ3" s="251" t="s">
        <v>3429</v>
      </c>
      <c r="AK3" s="251"/>
      <c r="AL3" s="251"/>
      <c r="AM3" s="311"/>
    </row>
    <row r="4" spans="1:39" ht="41.25" customHeight="1">
      <c r="A4" s="311">
        <v>3</v>
      </c>
      <c r="B4" s="311" t="str">
        <f>Dashboard!$J$1</f>
        <v>MSB Accounting</v>
      </c>
      <c r="C4" s="377">
        <v>45700</v>
      </c>
      <c r="D4" s="377">
        <v>45713</v>
      </c>
      <c r="E4" s="382" t="s">
        <v>96</v>
      </c>
      <c r="F4" s="311" t="s">
        <v>313</v>
      </c>
      <c r="G4" s="380">
        <v>46072</v>
      </c>
      <c r="H4" s="311" t="s">
        <v>3430</v>
      </c>
      <c r="I4" s="411" t="s">
        <v>306</v>
      </c>
      <c r="J4" s="378">
        <v>2</v>
      </c>
      <c r="K4" s="378">
        <v>3</v>
      </c>
      <c r="L4" s="378">
        <v>12</v>
      </c>
      <c r="M4" s="311" t="s">
        <v>12</v>
      </c>
      <c r="N4" s="311" t="s">
        <v>315</v>
      </c>
      <c r="O4" s="311" t="s">
        <v>316</v>
      </c>
      <c r="P4" s="311" t="s">
        <v>315</v>
      </c>
      <c r="Q4" s="311" t="s">
        <v>3226</v>
      </c>
      <c r="R4" s="408" t="s">
        <v>3431</v>
      </c>
      <c r="S4" s="377">
        <v>45700</v>
      </c>
      <c r="T4" s="377">
        <v>45700</v>
      </c>
      <c r="U4" s="311" t="s">
        <v>12</v>
      </c>
      <c r="V4" s="311" t="s">
        <v>3226</v>
      </c>
      <c r="W4" s="311" t="s">
        <v>12</v>
      </c>
      <c r="X4" s="377" t="s">
        <v>320</v>
      </c>
      <c r="Y4" s="311" t="s">
        <v>115</v>
      </c>
      <c r="Z4" s="251" t="s">
        <v>2516</v>
      </c>
      <c r="AA4" s="251" t="s">
        <v>2516</v>
      </c>
      <c r="AB4" s="251" t="s">
        <v>3432</v>
      </c>
      <c r="AC4" s="251" t="s">
        <v>3433</v>
      </c>
      <c r="AD4" s="251" t="s">
        <v>3434</v>
      </c>
      <c r="AE4" s="251" t="s">
        <v>3435</v>
      </c>
      <c r="AF4" s="251" t="s">
        <v>3436</v>
      </c>
      <c r="AG4" s="311" t="s">
        <v>3437</v>
      </c>
      <c r="AH4" s="251"/>
      <c r="AI4" s="251"/>
      <c r="AJ4" s="251"/>
      <c r="AK4" s="251"/>
      <c r="AL4" s="251"/>
      <c r="AM4" s="311"/>
    </row>
    <row r="5" spans="1:39" ht="231">
      <c r="A5" s="311">
        <v>4</v>
      </c>
      <c r="B5" s="311" t="str">
        <f>Dashboard!$J$1</f>
        <v>MSB Accounting</v>
      </c>
      <c r="C5" s="377">
        <v>45700</v>
      </c>
      <c r="D5" s="377">
        <v>45713</v>
      </c>
      <c r="E5" s="382" t="s">
        <v>96</v>
      </c>
      <c r="F5" s="311" t="s">
        <v>2038</v>
      </c>
      <c r="G5" s="378" t="s">
        <v>3317</v>
      </c>
      <c r="H5" s="311" t="s">
        <v>3318</v>
      </c>
      <c r="I5" s="411" t="s">
        <v>306</v>
      </c>
      <c r="J5" s="378">
        <v>5</v>
      </c>
      <c r="K5" s="378">
        <v>5</v>
      </c>
      <c r="L5" s="378">
        <v>20</v>
      </c>
      <c r="M5" s="311" t="s">
        <v>320</v>
      </c>
      <c r="N5" s="311" t="s">
        <v>115</v>
      </c>
      <c r="O5" s="311" t="s">
        <v>316</v>
      </c>
      <c r="P5" s="311" t="s">
        <v>115</v>
      </c>
      <c r="Q5" s="311" t="s">
        <v>3226</v>
      </c>
      <c r="R5" s="369" t="s">
        <v>3319</v>
      </c>
      <c r="S5" s="377">
        <v>45712</v>
      </c>
      <c r="T5" s="377"/>
      <c r="U5" s="311" t="s">
        <v>1205</v>
      </c>
      <c r="V5" s="311" t="s">
        <v>3320</v>
      </c>
      <c r="W5" s="311" t="s">
        <v>1205</v>
      </c>
      <c r="X5" s="377"/>
      <c r="Y5" s="311" t="s">
        <v>115</v>
      </c>
      <c r="Z5" s="251" t="s">
        <v>320</v>
      </c>
      <c r="AA5" s="251" t="s">
        <v>320</v>
      </c>
      <c r="AB5" s="251" t="s">
        <v>3438</v>
      </c>
      <c r="AC5" s="251" t="s">
        <v>3439</v>
      </c>
      <c r="AD5" s="251" t="s">
        <v>3440</v>
      </c>
      <c r="AE5" s="251" t="s">
        <v>1601</v>
      </c>
      <c r="AF5" s="251" t="s">
        <v>3441</v>
      </c>
      <c r="AG5" s="251" t="s">
        <v>3442</v>
      </c>
      <c r="AH5" s="251" t="s">
        <v>1763</v>
      </c>
      <c r="AI5" s="251" t="s">
        <v>3443</v>
      </c>
      <c r="AJ5" s="251" t="s">
        <v>3444</v>
      </c>
      <c r="AK5" s="251" t="s">
        <v>3445</v>
      </c>
      <c r="AL5" s="251" t="s">
        <v>3446</v>
      </c>
      <c r="AM5" s="311"/>
    </row>
    <row r="6" spans="1:39" ht="46.5">
      <c r="A6" s="311">
        <v>5</v>
      </c>
      <c r="B6" s="311" t="str">
        <f>Dashboard!$J$1</f>
        <v>MSB Accounting</v>
      </c>
      <c r="C6" s="377">
        <v>45700</v>
      </c>
      <c r="D6" s="377">
        <v>45713</v>
      </c>
      <c r="E6" s="311" t="s">
        <v>3447</v>
      </c>
      <c r="F6" s="311" t="s">
        <v>313</v>
      </c>
      <c r="G6" s="378">
        <v>47194</v>
      </c>
      <c r="H6" s="311" t="s">
        <v>3448</v>
      </c>
      <c r="I6" s="411" t="s">
        <v>306</v>
      </c>
      <c r="J6" s="378">
        <v>3</v>
      </c>
      <c r="K6" s="378">
        <v>4</v>
      </c>
      <c r="L6" s="378">
        <v>16</v>
      </c>
      <c r="M6" s="311" t="s">
        <v>12</v>
      </c>
      <c r="N6" s="311" t="s">
        <v>315</v>
      </c>
      <c r="O6" s="311" t="s">
        <v>316</v>
      </c>
      <c r="P6" s="311" t="s">
        <v>315</v>
      </c>
      <c r="Q6" s="311" t="s">
        <v>3226</v>
      </c>
      <c r="R6" s="369" t="s">
        <v>3449</v>
      </c>
      <c r="S6" s="377">
        <v>45706</v>
      </c>
      <c r="T6" s="377">
        <v>45706</v>
      </c>
      <c r="U6" s="311" t="s">
        <v>12</v>
      </c>
      <c r="V6" s="311" t="s">
        <v>3226</v>
      </c>
      <c r="W6" s="311" t="s">
        <v>12</v>
      </c>
      <c r="X6" s="377" t="s">
        <v>320</v>
      </c>
      <c r="Y6" s="311" t="s">
        <v>115</v>
      </c>
      <c r="Z6" s="311" t="s">
        <v>3450</v>
      </c>
      <c r="AA6" s="251" t="s">
        <v>2516</v>
      </c>
      <c r="AB6" s="251" t="s">
        <v>3451</v>
      </c>
      <c r="AC6" s="251"/>
      <c r="AD6" s="251" t="s">
        <v>3452</v>
      </c>
      <c r="AE6" s="251" t="s">
        <v>3453</v>
      </c>
      <c r="AF6" s="251" t="s">
        <v>3454</v>
      </c>
      <c r="AG6" s="251" t="s">
        <v>3455</v>
      </c>
      <c r="AH6" s="251"/>
      <c r="AI6" s="251"/>
      <c r="AJ6" s="251"/>
      <c r="AK6" s="251"/>
      <c r="AL6" s="251"/>
      <c r="AM6" s="311"/>
    </row>
    <row r="7" spans="1:39" ht="46.5">
      <c r="A7" s="311">
        <v>6</v>
      </c>
      <c r="B7" s="311" t="str">
        <f>Dashboard!$J$1</f>
        <v>MSB Accounting</v>
      </c>
      <c r="C7" s="377">
        <v>45700</v>
      </c>
      <c r="D7" s="377">
        <v>45713</v>
      </c>
      <c r="E7" s="382" t="s">
        <v>96</v>
      </c>
      <c r="F7" s="311" t="s">
        <v>317</v>
      </c>
      <c r="G7" s="380">
        <v>24566</v>
      </c>
      <c r="H7" s="311" t="s">
        <v>3456</v>
      </c>
      <c r="I7" s="411" t="s">
        <v>376</v>
      </c>
      <c r="J7" s="378">
        <v>2</v>
      </c>
      <c r="K7" s="378">
        <v>1</v>
      </c>
      <c r="L7" s="378">
        <v>4.5</v>
      </c>
      <c r="M7" s="311" t="s">
        <v>12</v>
      </c>
      <c r="N7" s="311" t="s">
        <v>315</v>
      </c>
      <c r="O7" s="311" t="s">
        <v>316</v>
      </c>
      <c r="P7" s="311" t="s">
        <v>315</v>
      </c>
      <c r="Q7" s="311" t="s">
        <v>3226</v>
      </c>
      <c r="R7" s="369" t="s">
        <v>3457</v>
      </c>
      <c r="S7" s="377">
        <v>45698</v>
      </c>
      <c r="T7" s="377"/>
      <c r="U7" s="311" t="s">
        <v>12</v>
      </c>
      <c r="V7" s="311" t="s">
        <v>3149</v>
      </c>
      <c r="W7" s="311"/>
      <c r="X7" s="311"/>
      <c r="Y7" s="311"/>
      <c r="Z7" s="251" t="s">
        <v>2516</v>
      </c>
      <c r="AA7" s="311" t="s">
        <v>3229</v>
      </c>
      <c r="AB7" s="311" t="s">
        <v>3458</v>
      </c>
      <c r="AC7" s="251"/>
      <c r="AD7" s="311" t="s">
        <v>3459</v>
      </c>
      <c r="AE7" s="311" t="s">
        <v>576</v>
      </c>
      <c r="AF7" s="311" t="s">
        <v>3460</v>
      </c>
      <c r="AL7" s="311"/>
      <c r="AM7" s="311"/>
    </row>
    <row r="8" spans="1:39" ht="46.5">
      <c r="A8" s="311">
        <v>7</v>
      </c>
      <c r="B8" s="311" t="str">
        <f>Dashboard!$J$1</f>
        <v>MSB Accounting</v>
      </c>
      <c r="C8" s="377">
        <v>45700</v>
      </c>
      <c r="D8" s="377">
        <v>45713</v>
      </c>
      <c r="E8" s="382" t="s">
        <v>96</v>
      </c>
      <c r="F8" s="311" t="s">
        <v>315</v>
      </c>
      <c r="G8" s="378" t="s">
        <v>3461</v>
      </c>
      <c r="H8" s="311" t="s">
        <v>3462</v>
      </c>
      <c r="I8" s="411" t="s">
        <v>376</v>
      </c>
      <c r="J8" s="378">
        <v>4</v>
      </c>
      <c r="K8" s="378">
        <v>4</v>
      </c>
      <c r="L8" s="378">
        <v>15</v>
      </c>
      <c r="M8" s="311" t="s">
        <v>12</v>
      </c>
      <c r="N8" s="311" t="s">
        <v>115</v>
      </c>
      <c r="O8" s="311" t="s">
        <v>316</v>
      </c>
      <c r="P8" s="311" t="s">
        <v>317</v>
      </c>
      <c r="Q8" s="311" t="s">
        <v>3226</v>
      </c>
      <c r="R8" s="369" t="s">
        <v>3463</v>
      </c>
      <c r="S8" s="377">
        <v>45702</v>
      </c>
      <c r="T8" s="377">
        <v>45702</v>
      </c>
      <c r="U8" s="311" t="s">
        <v>12</v>
      </c>
      <c r="V8" s="311" t="s">
        <v>3149</v>
      </c>
      <c r="W8" s="311" t="s">
        <v>12</v>
      </c>
      <c r="X8" s="377" t="s">
        <v>320</v>
      </c>
      <c r="Y8" s="311" t="s">
        <v>115</v>
      </c>
      <c r="Z8" s="251" t="s">
        <v>2516</v>
      </c>
      <c r="AA8" s="311" t="s">
        <v>3229</v>
      </c>
      <c r="AB8" s="311" t="s">
        <v>576</v>
      </c>
      <c r="AD8" s="311" t="s">
        <v>3464</v>
      </c>
      <c r="AE8" s="311" t="s">
        <v>3465</v>
      </c>
      <c r="AF8" s="311" t="s">
        <v>3466</v>
      </c>
      <c r="AG8" s="311" t="s">
        <v>3467</v>
      </c>
      <c r="AH8" s="311" t="s">
        <v>3468</v>
      </c>
      <c r="AI8" s="311" t="s">
        <v>3469</v>
      </c>
      <c r="AJ8" s="311" t="s">
        <v>3470</v>
      </c>
      <c r="AK8" s="311" t="s">
        <v>3471</v>
      </c>
      <c r="AL8" s="311"/>
      <c r="AM8" s="311"/>
    </row>
    <row r="9" spans="1:39" ht="46.5">
      <c r="A9" s="311">
        <v>8</v>
      </c>
      <c r="B9" s="311" t="str">
        <f>Dashboard!$J$1</f>
        <v>MSB Accounting</v>
      </c>
      <c r="C9" s="377">
        <v>45700</v>
      </c>
      <c r="D9" s="377">
        <v>45713</v>
      </c>
      <c r="E9" s="311" t="s">
        <v>3472</v>
      </c>
      <c r="F9" s="311" t="s">
        <v>313</v>
      </c>
      <c r="G9" s="378" t="s">
        <v>3473</v>
      </c>
      <c r="H9" s="311" t="s">
        <v>3324</v>
      </c>
      <c r="I9" s="379" t="s">
        <v>369</v>
      </c>
      <c r="J9" s="378">
        <v>5</v>
      </c>
      <c r="K9" s="378">
        <v>5</v>
      </c>
      <c r="L9" s="378">
        <v>19</v>
      </c>
      <c r="M9" s="311" t="s">
        <v>12</v>
      </c>
      <c r="N9" s="311" t="s">
        <v>315</v>
      </c>
      <c r="O9" s="311" t="s">
        <v>316</v>
      </c>
      <c r="P9" s="311" t="s">
        <v>317</v>
      </c>
      <c r="Q9" s="311" t="s">
        <v>3226</v>
      </c>
      <c r="R9" s="369" t="s">
        <v>3325</v>
      </c>
      <c r="S9" s="377">
        <v>45709</v>
      </c>
      <c r="T9" s="377">
        <v>45709</v>
      </c>
      <c r="U9" s="311" t="s">
        <v>12</v>
      </c>
      <c r="V9" s="311" t="s">
        <v>3149</v>
      </c>
      <c r="W9" s="311" t="s">
        <v>12</v>
      </c>
      <c r="X9" s="377" t="s">
        <v>320</v>
      </c>
      <c r="Y9" s="311" t="s">
        <v>115</v>
      </c>
      <c r="Z9" s="251" t="s">
        <v>2516</v>
      </c>
      <c r="AA9" s="311" t="s">
        <v>3229</v>
      </c>
      <c r="AB9" s="311" t="s">
        <v>3474</v>
      </c>
      <c r="AE9" s="311" t="s">
        <v>3475</v>
      </c>
      <c r="AF9" s="311" t="s">
        <v>3476</v>
      </c>
      <c r="AG9" s="311" t="s">
        <v>3415</v>
      </c>
      <c r="AH9" s="311" t="s">
        <v>3477</v>
      </c>
      <c r="AI9" s="311" t="s">
        <v>3478</v>
      </c>
      <c r="AJ9" s="311" t="s">
        <v>1165</v>
      </c>
      <c r="AL9" s="311"/>
      <c r="AM9" s="311"/>
    </row>
    <row r="10" spans="1:39" ht="39.75" customHeight="1">
      <c r="A10" s="311">
        <v>9</v>
      </c>
      <c r="B10" s="311" t="str">
        <f>Dashboard!$J$1</f>
        <v>MSB Accounting</v>
      </c>
      <c r="C10" s="377">
        <v>45700</v>
      </c>
      <c r="D10" s="377">
        <v>45713</v>
      </c>
      <c r="E10" s="382" t="s">
        <v>96</v>
      </c>
      <c r="F10" s="311" t="s">
        <v>317</v>
      </c>
      <c r="G10" s="380" t="s">
        <v>3479</v>
      </c>
      <c r="H10" s="311" t="s">
        <v>3480</v>
      </c>
      <c r="I10" s="411" t="s">
        <v>306</v>
      </c>
      <c r="J10" s="378">
        <v>0</v>
      </c>
      <c r="K10" s="378">
        <v>2</v>
      </c>
      <c r="L10" s="378">
        <v>8</v>
      </c>
      <c r="M10" s="311" t="s">
        <v>12</v>
      </c>
      <c r="N10" s="311" t="s">
        <v>315</v>
      </c>
      <c r="O10" s="311" t="s">
        <v>316</v>
      </c>
      <c r="P10" s="311" t="s">
        <v>315</v>
      </c>
      <c r="Q10" s="311" t="s">
        <v>3226</v>
      </c>
      <c r="R10" s="369" t="s">
        <v>3481</v>
      </c>
      <c r="S10" s="377">
        <v>45705</v>
      </c>
      <c r="T10" s="377">
        <v>45705</v>
      </c>
      <c r="U10" s="311" t="s">
        <v>12</v>
      </c>
      <c r="V10" s="311" t="s">
        <v>3149</v>
      </c>
      <c r="W10" s="311" t="s">
        <v>12</v>
      </c>
      <c r="X10" s="311" t="s">
        <v>320</v>
      </c>
      <c r="Y10" s="311" t="s">
        <v>115</v>
      </c>
      <c r="Z10" s="251" t="s">
        <v>2516</v>
      </c>
      <c r="AA10" s="251" t="s">
        <v>2516</v>
      </c>
      <c r="AB10" s="311" t="s">
        <v>3482</v>
      </c>
      <c r="AG10" s="311" t="s">
        <v>3483</v>
      </c>
      <c r="AH10" s="311" t="s">
        <v>1122</v>
      </c>
      <c r="AL10" s="311"/>
      <c r="AM10" s="311"/>
    </row>
    <row r="11" spans="1:39" ht="39.75" customHeight="1">
      <c r="A11" s="311">
        <v>10</v>
      </c>
      <c r="B11" s="311" t="str">
        <f>Dashboard!$J$1</f>
        <v>MSB Accounting</v>
      </c>
      <c r="C11" s="377">
        <v>45700</v>
      </c>
      <c r="D11" s="377">
        <v>45713</v>
      </c>
      <c r="E11" s="311" t="s">
        <v>3472</v>
      </c>
      <c r="F11" s="311" t="s">
        <v>315</v>
      </c>
      <c r="G11" s="418">
        <v>47257</v>
      </c>
      <c r="H11" s="311" t="s">
        <v>3484</v>
      </c>
      <c r="I11" s="411" t="s">
        <v>306</v>
      </c>
      <c r="J11" s="378">
        <v>5</v>
      </c>
      <c r="K11" s="378">
        <v>6</v>
      </c>
      <c r="L11" s="378">
        <v>24</v>
      </c>
      <c r="M11" s="311" t="s">
        <v>320</v>
      </c>
      <c r="N11" s="311" t="s">
        <v>320</v>
      </c>
      <c r="O11" s="311" t="s">
        <v>320</v>
      </c>
      <c r="P11" s="311" t="s">
        <v>320</v>
      </c>
      <c r="Q11" s="311" t="s">
        <v>320</v>
      </c>
      <c r="R11" s="311" t="s">
        <v>320</v>
      </c>
      <c r="S11" s="311" t="s">
        <v>320</v>
      </c>
      <c r="T11" s="311" t="s">
        <v>320</v>
      </c>
      <c r="U11" s="311" t="s">
        <v>320</v>
      </c>
      <c r="V11" s="311" t="s">
        <v>320</v>
      </c>
      <c r="W11" s="311" t="s">
        <v>320</v>
      </c>
      <c r="X11" s="311" t="s">
        <v>320</v>
      </c>
      <c r="Y11" s="311" t="s">
        <v>320</v>
      </c>
      <c r="Z11" s="311" t="s">
        <v>320</v>
      </c>
      <c r="AA11" s="311" t="s">
        <v>320</v>
      </c>
      <c r="AB11" s="311" t="s">
        <v>3485</v>
      </c>
      <c r="AH11" s="311" t="s">
        <v>3486</v>
      </c>
      <c r="AI11" s="311" t="s">
        <v>3487</v>
      </c>
      <c r="AJ11" s="311" t="s">
        <v>3488</v>
      </c>
      <c r="AK11" s="311" t="s">
        <v>3489</v>
      </c>
      <c r="AL11" s="311" t="s">
        <v>3490</v>
      </c>
      <c r="AM11" s="311"/>
    </row>
    <row r="12" spans="1:39" ht="35.25">
      <c r="A12" s="311">
        <v>11</v>
      </c>
      <c r="B12" s="311" t="str">
        <f>Dashboard!$J$1</f>
        <v>MSB Accounting</v>
      </c>
      <c r="C12" s="377">
        <v>45700</v>
      </c>
      <c r="D12" s="377">
        <v>45713</v>
      </c>
      <c r="E12" s="311" t="s">
        <v>3472</v>
      </c>
      <c r="F12" s="311" t="s">
        <v>317</v>
      </c>
      <c r="G12" s="378">
        <v>47260</v>
      </c>
      <c r="H12" s="311" t="s">
        <v>3491</v>
      </c>
      <c r="I12" s="379" t="s">
        <v>399</v>
      </c>
      <c r="J12" s="378">
        <v>2</v>
      </c>
      <c r="K12" s="378"/>
      <c r="L12" s="378"/>
      <c r="M12" s="311" t="s">
        <v>12</v>
      </c>
      <c r="N12" s="311"/>
      <c r="P12" s="311"/>
      <c r="Q12" s="311"/>
      <c r="R12" s="311"/>
      <c r="S12" s="311"/>
      <c r="T12" s="311"/>
      <c r="U12" s="311"/>
      <c r="V12" s="311"/>
      <c r="W12" s="311"/>
      <c r="X12" s="311"/>
      <c r="Y12" s="311"/>
      <c r="AA12" s="311" t="s">
        <v>3341</v>
      </c>
      <c r="AB12" s="311"/>
      <c r="AI12" s="311" t="s">
        <v>3492</v>
      </c>
      <c r="AJ12" s="311" t="s">
        <v>3493</v>
      </c>
      <c r="AK12" s="311" t="s">
        <v>3494</v>
      </c>
      <c r="AL12" s="369" t="s">
        <v>3495</v>
      </c>
      <c r="AM12" s="311"/>
    </row>
    <row r="13" spans="1:39">
      <c r="A13" s="311">
        <v>12</v>
      </c>
      <c r="B13" s="311"/>
      <c r="C13" s="377"/>
      <c r="D13" s="377"/>
      <c r="F13" s="311"/>
      <c r="G13" s="378"/>
      <c r="H13" s="311"/>
      <c r="I13" s="422"/>
      <c r="J13" s="378"/>
      <c r="K13" s="378"/>
      <c r="L13" s="378"/>
      <c r="M13" s="311"/>
      <c r="N13" s="311"/>
      <c r="P13" s="311"/>
      <c r="Q13" s="311"/>
      <c r="R13" s="311"/>
      <c r="S13" s="311"/>
      <c r="T13" s="311"/>
      <c r="U13" s="311"/>
      <c r="V13" s="311"/>
      <c r="W13" s="311"/>
      <c r="X13" s="311"/>
      <c r="Y13" s="311"/>
      <c r="AA13" s="311"/>
      <c r="AB13" s="311"/>
      <c r="AL13" s="311"/>
      <c r="AM13" s="311"/>
    </row>
    <row r="14" spans="1:39" ht="35.25">
      <c r="A14" s="311"/>
      <c r="B14" s="311"/>
      <c r="C14" s="377"/>
      <c r="D14" s="377"/>
      <c r="F14" s="311"/>
      <c r="G14" s="378"/>
      <c r="H14" s="311"/>
      <c r="I14" s="311"/>
      <c r="J14" s="378"/>
      <c r="K14" s="378"/>
      <c r="L14" s="378"/>
      <c r="M14" s="311"/>
      <c r="N14" s="311"/>
      <c r="P14" s="311"/>
      <c r="Q14" s="311"/>
      <c r="R14" s="311"/>
      <c r="S14" s="311"/>
      <c r="T14" s="311"/>
      <c r="U14" s="311"/>
      <c r="V14" s="311"/>
      <c r="W14" s="311"/>
      <c r="X14" s="311" t="str">
        <f>UPPER(MID(Table256789[[#This Row],[2/12/2025]], 53, 2))</f>
        <v/>
      </c>
      <c r="Y14" s="311"/>
      <c r="AA14" s="311"/>
      <c r="AB14" s="311"/>
      <c r="AI14" s="311" t="s">
        <v>3496</v>
      </c>
      <c r="AJ14" s="311" t="s">
        <v>3497</v>
      </c>
      <c r="AK14" s="311" t="s">
        <v>3498</v>
      </c>
      <c r="AL14" s="311" t="s">
        <v>3499</v>
      </c>
      <c r="AM14" s="311"/>
    </row>
    <row r="15" spans="1:39">
      <c r="A15" s="282"/>
      <c r="B15" s="282"/>
      <c r="C15" s="282"/>
      <c r="D15" s="282"/>
      <c r="E15" s="282"/>
      <c r="F15" s="282"/>
      <c r="I15" s="282"/>
      <c r="O15" s="282"/>
    </row>
    <row r="16" spans="1:39">
      <c r="A16" s="282"/>
      <c r="B16" s="282"/>
      <c r="C16" s="282"/>
      <c r="D16" s="282"/>
      <c r="E16" s="282"/>
      <c r="F16" s="282"/>
      <c r="I16" s="282"/>
      <c r="O16" s="282"/>
    </row>
    <row r="17" spans="1:15">
      <c r="A17" s="282"/>
      <c r="B17" s="282"/>
      <c r="C17" s="282"/>
      <c r="D17" s="282"/>
      <c r="E17" s="282"/>
      <c r="F17" s="282"/>
      <c r="I17" s="282"/>
      <c r="O17" s="282"/>
    </row>
    <row r="18" spans="1:15">
      <c r="A18" s="282"/>
      <c r="B18" s="282"/>
      <c r="C18" s="282"/>
      <c r="D18" s="282"/>
      <c r="E18" s="282"/>
      <c r="F18" s="282"/>
      <c r="I18" s="282"/>
      <c r="O18" s="282"/>
    </row>
    <row r="19" spans="1:15">
      <c r="A19" s="282"/>
      <c r="B19" s="282"/>
      <c r="C19" s="282"/>
      <c r="D19" s="282"/>
      <c r="E19" s="282"/>
      <c r="F19" s="282"/>
      <c r="I19" s="282"/>
      <c r="O19" s="282"/>
    </row>
    <row r="20" spans="1:15">
      <c r="A20" s="282"/>
      <c r="B20" s="282"/>
      <c r="C20" s="282"/>
      <c r="D20" s="282"/>
      <c r="E20" s="282"/>
      <c r="F20" s="282"/>
      <c r="I20" s="282"/>
      <c r="O20" s="282"/>
    </row>
    <row r="21" spans="1:15">
      <c r="A21" s="282"/>
      <c r="B21" s="282"/>
      <c r="C21" s="282"/>
      <c r="D21" s="282"/>
      <c r="E21" s="282"/>
      <c r="F21" s="282"/>
      <c r="I21" s="282"/>
      <c r="O21" s="282"/>
    </row>
    <row r="22" spans="1:15">
      <c r="A22" s="282"/>
      <c r="B22" s="282"/>
      <c r="C22" s="282"/>
      <c r="D22" s="282"/>
      <c r="E22" s="282"/>
      <c r="F22" s="282"/>
      <c r="I22" s="282"/>
      <c r="O22" s="282"/>
    </row>
    <row r="23" spans="1:15">
      <c r="A23" s="282"/>
      <c r="B23" s="282"/>
      <c r="C23" s="282"/>
      <c r="D23" s="282"/>
      <c r="E23" s="282"/>
      <c r="F23" s="282"/>
      <c r="I23" s="282"/>
      <c r="O23" s="282"/>
    </row>
    <row r="24" spans="1:15">
      <c r="A24" s="282"/>
      <c r="B24" s="282"/>
      <c r="C24" s="282"/>
      <c r="D24" s="282"/>
      <c r="E24" s="282"/>
      <c r="F24" s="282"/>
      <c r="I24" s="282"/>
      <c r="O24" s="282"/>
    </row>
    <row r="25" spans="1:15">
      <c r="A25" s="282"/>
      <c r="B25" s="282"/>
      <c r="C25" s="282"/>
      <c r="D25" s="282"/>
      <c r="E25" s="282"/>
      <c r="F25" s="282"/>
      <c r="I25" s="282"/>
      <c r="O25" s="282"/>
    </row>
    <row r="26" spans="1:15">
      <c r="A26" s="282"/>
      <c r="B26" s="282"/>
      <c r="C26" s="282"/>
      <c r="D26" s="282"/>
      <c r="E26" s="282"/>
      <c r="F26" s="282"/>
      <c r="I26" s="282"/>
      <c r="O26" s="282"/>
    </row>
    <row r="27" spans="1:15">
      <c r="A27" s="282"/>
      <c r="B27" s="282"/>
      <c r="C27" s="282"/>
      <c r="D27" s="282"/>
      <c r="E27" s="282"/>
      <c r="F27" s="282"/>
      <c r="I27" s="282"/>
      <c r="O27" s="282"/>
    </row>
    <row r="28" spans="1:15">
      <c r="A28" s="282"/>
      <c r="B28" s="282"/>
      <c r="C28" s="282"/>
      <c r="D28" s="282"/>
      <c r="E28" s="282"/>
      <c r="F28" s="282"/>
      <c r="I28" s="282"/>
      <c r="O28" s="282"/>
    </row>
    <row r="29" spans="1:15">
      <c r="A29" s="282"/>
      <c r="B29" s="282"/>
      <c r="C29" s="282"/>
      <c r="D29" s="282"/>
      <c r="E29" s="282"/>
      <c r="F29" s="282"/>
      <c r="I29" s="282"/>
      <c r="O29" s="282"/>
    </row>
  </sheetData>
  <conditionalFormatting sqref="J1 I10:I13">
    <cfRule type="containsText" dxfId="317" priority="13" operator="containsText" text="Closed">
      <formula>NOT(ISERROR(SEARCH("Closed",I1)))</formula>
    </cfRule>
    <cfRule type="containsText" dxfId="316" priority="14" operator="containsText" text="Open">
      <formula>NOT(ISERROR(SEARCH("Open",I1)))</formula>
    </cfRule>
    <cfRule type="containsText" dxfId="315" priority="15" operator="containsText" text="Inprogress">
      <formula>NOT(ISERROR(SEARCH("Inprogress",I1)))</formula>
    </cfRule>
  </conditionalFormatting>
  <conditionalFormatting sqref="I3:I9">
    <cfRule type="containsText" dxfId="314" priority="7" operator="containsText" text="Closed">
      <formula>NOT(ISERROR(SEARCH("Closed",I3)))</formula>
    </cfRule>
    <cfRule type="containsText" dxfId="313" priority="8" operator="containsText" text="Open">
      <formula>NOT(ISERROR(SEARCH("Open",I3)))</formula>
    </cfRule>
    <cfRule type="containsText" dxfId="312" priority="9" operator="containsText" text="Inprogress">
      <formula>NOT(ISERROR(SEARCH("Inprogress",I3)))</formula>
    </cfRule>
  </conditionalFormatting>
  <conditionalFormatting sqref="I2">
    <cfRule type="containsText" dxfId="311" priority="1" operator="containsText" text="Closed">
      <formula>NOT(ISERROR(SEARCH("Closed",I2)))</formula>
    </cfRule>
    <cfRule type="containsText" dxfId="310" priority="2" operator="containsText" text="Open">
      <formula>NOT(ISERROR(SEARCH("Open",I2)))</formula>
    </cfRule>
    <cfRule type="containsText" dxfId="309" priority="3" operator="containsText" text="Inprogress">
      <formula>NOT(ISERROR(SEARCH("Inprogress",I2)))</formula>
    </cfRule>
  </conditionalFormatting>
  <dataValidations count="14">
    <dataValidation type="list" allowBlank="1" showErrorMessage="1" sqref="I13" xr:uid="{D85F2135-010E-45C0-B394-4932DEB41EA7}">
      <formula1>"Open,Inprogress,Closed,On Hold"</formula1>
    </dataValidation>
    <dataValidation showErrorMessage="1" sqref="I1" xr:uid="{A9F49504-B4E0-491F-B8BE-B40B241E086B}"/>
    <dataValidation type="list" allowBlank="1" showErrorMessage="1" sqref="J1" xr:uid="{15743DB6-6141-4A70-A70A-CCE516736B56}">
      <formula1>"Open,Inprogress,Closed"</formula1>
    </dataValidation>
    <dataValidation type="list" showErrorMessage="1" sqref="AA1:AB1" xr:uid="{4274A9EB-25A1-433C-9CD3-90FB411471AF}">
      <formula1>"Pending-Waiting for Customer confirmation, Approved-Satisified AC,Not Approved-New minor changes requested(Back to Dev),NA,TBD"</formula1>
    </dataValidation>
    <dataValidation type="list" showErrorMessage="1" sqref="Z1" xr:uid="{69D244E0-3945-4985-9894-A51FDA2EE476}">
      <formula1>"Approved-Satisified AC,Not Approved(Back to Dev),NA,TBD"</formula1>
    </dataValidation>
    <dataValidation type="list" showErrorMessage="1" sqref="P1:P2 P5 P12:P13" xr:uid="{B5B95362-F99E-4A60-A5C5-3A11630D13B0}">
      <formula1>"Qadir,Rijo,Karthik,None,TBD"</formula1>
    </dataValidation>
    <dataValidation type="list" showErrorMessage="1" sqref="P6:P10 N12:N14 N1:N10 P3:P4" xr:uid="{BE03A34E-ADB4-4592-AA64-496412392580}">
      <formula1>"Qadir,Rijo,Karthik,Sushmitha,None,TBD"</formula1>
    </dataValidation>
    <dataValidation type="list" showErrorMessage="1" sqref="O1:O10" xr:uid="{5182731C-C72F-484C-8599-B1FF6FE612CF}">
      <formula1>"Pass,Fail(BacktoDev),DB Script tests in QA DB,TBD"</formula1>
    </dataValidation>
    <dataValidation type="list" showErrorMessage="1" sqref="Q1:R1 V1 Y7 Y1" xr:uid="{AB21878A-7E35-43C8-9614-B1F050202015}">
      <formula1>"No issues found,Issues observed(BacktoDev),DB Script tests in QA DB,NA,TBD"</formula1>
    </dataValidation>
    <dataValidation type="list" showErrorMessage="1" sqref="W1:X1 R4 U12:U13 R8 M1:M13 S11:AA11 N11:Q11 W12:W13 W2:W10 U1:U2 U4:U10 X3" xr:uid="{A3D26C94-D698-471C-847C-9E76FCD436C0}">
      <formula1>"Open,Inprogress,Completed,TBD,NA"</formula1>
    </dataValidation>
    <dataValidation type="list" allowBlank="1" showErrorMessage="1" sqref="M14:M21" xr:uid="{C3B016AC-351A-4560-AF9A-8E4BA336E65D}">
      <formula1>"Open,Inprogress,Closed,TBD,NA"</formula1>
    </dataValidation>
    <dataValidation allowBlank="1" showInputMessage="1" showErrorMessage="1" sqref="Q2:Q10 V12:V14 Y2:Y6 Q12:Q13 V4:V10 Y12:Y13 R3:V3 Y8:Y10 V2 Z2:AA10" xr:uid="{7329C1C2-B0AF-4B37-9523-178A2F4384FF}"/>
    <dataValidation type="list" showErrorMessage="1" sqref="O12:O13" xr:uid="{6CCAAF0A-CE57-4E35-B104-9CCA27861941}">
      <formula1>"Pass,Fail(BacktoDev),DB Script tests in QA DB"</formula1>
    </dataValidation>
    <dataValidation type="list" allowBlank="1" showErrorMessage="1" sqref="I10:I12" xr:uid="{241BA0B9-A4AA-47CB-9C2F-3DC5EF31A022}">
      <formula1>"Story Completed,Story Being Tested,Story Ready For Testing,Story Peer Review,Product Owner - Verify,Story Being Developed,Story Approved"</formula1>
    </dataValidation>
  </dataValidations>
  <hyperlinks>
    <hyperlink ref="R4" r:id="rId1" xr:uid="{D66DFBBE-9098-4D05-AE73-62127985E9E5}"/>
    <hyperlink ref="R7" r:id="rId2" xr:uid="{42862BA3-F1B7-4531-8CB5-968EE870A8DE}"/>
    <hyperlink ref="R8" r:id="rId3" xr:uid="{07F8BBF8-385F-4A4D-A7D7-8DE3CEE0CAA5}"/>
    <hyperlink ref="R10" r:id="rId4" xr:uid="{A31D4A69-D45C-4B8C-A998-AC9D2A7B07F2}"/>
    <hyperlink ref="R6" r:id="rId5" xr:uid="{E69480C0-4B70-46F6-84EB-1DDEFA610494}"/>
    <hyperlink ref="R2" r:id="rId6" xr:uid="{18F62A2B-CB64-4941-AD93-3CB5E270CEBA}"/>
    <hyperlink ref="R9" r:id="rId7" xr:uid="{FD978C53-8B46-4B39-A89C-560D763A1CCA}"/>
    <hyperlink ref="R5" r:id="rId8" xr:uid="{2A455D77-D14D-487C-9661-CB237443D144}"/>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ErrorMessage="1" xr:uid="{FEF54005-6EF0-4686-AE7B-841AA07F400C}">
          <x14:formula1>
            <xm:f>Settings!$C$3:$C$20</xm:f>
          </x14:formula1>
          <xm:sqref>I2:I9</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95EAE-2F0D-4644-8B30-758131E880B8}">
  <dimension ref="A1:L8"/>
  <sheetViews>
    <sheetView workbookViewId="0">
      <selection activeCell="A5" sqref="A5"/>
    </sheetView>
  </sheetViews>
  <sheetFormatPr defaultRowHeight="12.75"/>
  <cols>
    <col min="2" max="3" width="9.85546875" bestFit="1" customWidth="1"/>
    <col min="4" max="4" width="15.5703125" bestFit="1" customWidth="1"/>
    <col min="5" max="5" width="19.140625" style="394" bestFit="1" customWidth="1"/>
    <col min="6" max="6" width="45.85546875" customWidth="1"/>
    <col min="7" max="7" width="9.42578125" bestFit="1" customWidth="1"/>
    <col min="8" max="8" width="14.28515625" style="394" customWidth="1"/>
    <col min="9" max="9" width="9.5703125" bestFit="1" customWidth="1"/>
    <col min="10" max="10" width="19.42578125" customWidth="1"/>
    <col min="11" max="11" width="13.7109375" bestFit="1" customWidth="1"/>
    <col min="12" max="12" width="51.5703125" customWidth="1"/>
  </cols>
  <sheetData>
    <row r="1" spans="1:12" ht="27">
      <c r="A1" s="108" t="s">
        <v>10</v>
      </c>
      <c r="B1" s="404" t="s">
        <v>267</v>
      </c>
      <c r="C1" s="404" t="s">
        <v>268</v>
      </c>
      <c r="D1" s="108" t="s">
        <v>269</v>
      </c>
      <c r="E1" s="108" t="s">
        <v>270</v>
      </c>
      <c r="F1" s="404" t="s">
        <v>271</v>
      </c>
      <c r="G1" s="108" t="s">
        <v>272</v>
      </c>
      <c r="H1" s="155" t="s">
        <v>273</v>
      </c>
      <c r="I1" s="155" t="s">
        <v>274</v>
      </c>
      <c r="J1" s="108" t="s">
        <v>275</v>
      </c>
      <c r="K1" s="332" t="s">
        <v>276</v>
      </c>
      <c r="L1" s="405" t="s">
        <v>277</v>
      </c>
    </row>
    <row r="2" spans="1:12" ht="69">
      <c r="A2" s="289" t="s">
        <v>3500</v>
      </c>
      <c r="B2" s="289">
        <v>24566</v>
      </c>
      <c r="C2" s="289"/>
      <c r="D2" s="289" t="s">
        <v>3501</v>
      </c>
      <c r="E2" s="329" t="s">
        <v>522</v>
      </c>
      <c r="F2" s="281" t="s">
        <v>3339</v>
      </c>
      <c r="G2" s="406" t="s">
        <v>1670</v>
      </c>
      <c r="H2" s="420" t="s">
        <v>518</v>
      </c>
      <c r="I2" s="409" t="s">
        <v>525</v>
      </c>
      <c r="J2" s="421" t="s">
        <v>576</v>
      </c>
      <c r="K2" s="329" t="s">
        <v>529</v>
      </c>
      <c r="L2" s="281" t="s">
        <v>3502</v>
      </c>
    </row>
    <row r="3" spans="1:12" ht="58.5">
      <c r="A3" s="289" t="s">
        <v>3500</v>
      </c>
      <c r="B3" s="289">
        <v>46072</v>
      </c>
      <c r="C3" s="419"/>
      <c r="D3" s="289" t="s">
        <v>313</v>
      </c>
      <c r="E3" s="330" t="s">
        <v>3503</v>
      </c>
      <c r="F3" s="203" t="s">
        <v>3430</v>
      </c>
      <c r="G3" s="406" t="s">
        <v>1670</v>
      </c>
      <c r="H3" s="420" t="s">
        <v>518</v>
      </c>
      <c r="I3" s="409" t="s">
        <v>525</v>
      </c>
      <c r="J3" s="421" t="s">
        <v>576</v>
      </c>
      <c r="K3" s="329" t="s">
        <v>526</v>
      </c>
      <c r="L3" s="281" t="s">
        <v>3504</v>
      </c>
    </row>
    <row r="4" spans="1:12" ht="35.25">
      <c r="A4" s="289" t="s">
        <v>3500</v>
      </c>
      <c r="B4" s="289" t="s">
        <v>3505</v>
      </c>
      <c r="C4" s="419"/>
      <c r="D4" s="289" t="s">
        <v>315</v>
      </c>
      <c r="E4" s="329" t="s">
        <v>3506</v>
      </c>
      <c r="F4" s="203" t="s">
        <v>3507</v>
      </c>
      <c r="G4" s="406" t="s">
        <v>1670</v>
      </c>
      <c r="H4" s="420" t="s">
        <v>518</v>
      </c>
      <c r="I4" s="409" t="s">
        <v>519</v>
      </c>
      <c r="J4" s="421" t="s">
        <v>576</v>
      </c>
      <c r="K4" s="329" t="s">
        <v>1325</v>
      </c>
      <c r="L4" s="284" t="s">
        <v>3508</v>
      </c>
    </row>
    <row r="5" spans="1:12" ht="92.25">
      <c r="A5" s="289" t="s">
        <v>3500</v>
      </c>
      <c r="B5" s="289" t="s">
        <v>3479</v>
      </c>
      <c r="C5" s="419"/>
      <c r="D5" s="289" t="s">
        <v>317</v>
      </c>
      <c r="E5" s="329" t="s">
        <v>3506</v>
      </c>
      <c r="F5" s="203" t="s">
        <v>3509</v>
      </c>
      <c r="G5" s="406" t="s">
        <v>1670</v>
      </c>
      <c r="H5" s="420" t="s">
        <v>518</v>
      </c>
      <c r="I5" s="409" t="s">
        <v>519</v>
      </c>
      <c r="J5" s="421" t="s">
        <v>576</v>
      </c>
      <c r="K5" s="329" t="s">
        <v>529</v>
      </c>
      <c r="L5" s="284" t="s">
        <v>3510</v>
      </c>
    </row>
    <row r="6" spans="1:12">
      <c r="A6" s="289"/>
      <c r="B6" s="289"/>
      <c r="C6" s="157"/>
      <c r="D6" s="289"/>
      <c r="E6" s="7"/>
      <c r="F6" s="77"/>
      <c r="G6" s="11"/>
      <c r="H6" s="329"/>
      <c r="I6" s="329"/>
      <c r="J6" s="329"/>
      <c r="K6" s="11"/>
      <c r="L6" s="93"/>
    </row>
    <row r="7" spans="1:12">
      <c r="A7" s="289"/>
      <c r="B7" s="289"/>
      <c r="C7" s="157"/>
      <c r="D7" s="289"/>
      <c r="E7" s="7"/>
      <c r="F7" s="77"/>
      <c r="G7" s="11"/>
      <c r="H7" s="329"/>
      <c r="I7" s="329"/>
      <c r="J7" s="329"/>
      <c r="K7" s="11"/>
      <c r="L7" s="93"/>
    </row>
    <row r="8" spans="1:12">
      <c r="A8" s="289"/>
      <c r="B8" s="289"/>
      <c r="C8" s="157"/>
      <c r="D8" s="289"/>
      <c r="E8" s="329"/>
      <c r="F8" s="77"/>
      <c r="G8" s="11"/>
      <c r="H8" s="329"/>
      <c r="I8" s="329"/>
      <c r="J8" s="329"/>
      <c r="K8" s="11"/>
      <c r="L8" s="93"/>
    </row>
  </sheetData>
  <dataValidations count="10">
    <dataValidation type="list" allowBlank="1" showInputMessage="1" showErrorMessage="1" sqref="D2:D8" xr:uid="{C18253C1-83CA-4649-B1BE-F8A85AA2DAD8}">
      <formula1>"Qadir,Rijo,Karthik, Rijo-Karthik, Qadir-Rijo-Karthik"</formula1>
    </dataValidation>
    <dataValidation type="list" allowBlank="1" showErrorMessage="1" sqref="E2 E8 E4:E5" xr:uid="{B75EE49F-0440-4469-B0D7-70C17E1175CA}">
      <formula1>"Bounceback,Defect,DefectFromEscalation,None"</formula1>
    </dataValidation>
    <dataValidation type="list" allowBlank="1" showErrorMessage="1" sqref="L9:L10 I2:I5 H6:H8" xr:uid="{2613B750-C8A5-4B03-AEDC-75B22B71BFA6}">
      <formula1>"Internal,External"</formula1>
    </dataValidation>
    <dataValidation type="list" allowBlank="1" showErrorMessage="1" sqref="M10 J2:J5 I6:I8" xr:uid="{6E31FD91-0162-4B8A-B9BC-4F24C8C887C5}">
      <formula1>"Open,Inprogress,Closed"</formula1>
    </dataValidation>
    <dataValidation type="list" allowBlank="1" showErrorMessage="1" sqref="J9:J10 G2:G8" xr:uid="{0EBB353A-8B79-4DDD-B494-E0D77E2ED2A2}">
      <formula1>"Minor,Significant,Major"</formula1>
    </dataValidation>
    <dataValidation type="list" allowBlank="1" showErrorMessage="1" sqref="H10 E3 E6:E7" xr:uid="{CECE562C-5452-464B-9A57-C9DAA948DA37}">
      <formula1>"Bounceback,Defect,None"</formula1>
    </dataValidation>
    <dataValidation type="list" allowBlank="1" showErrorMessage="1" sqref="H9" xr:uid="{5D9AF7A1-1C3F-438D-A5AA-7774E442FD4D}">
      <formula1>"Bounceback/Sub-Defect,Defect,None"</formula1>
    </dataValidation>
    <dataValidation type="list" allowBlank="1" showErrorMessage="1" sqref="K9:K10 H2:H5" xr:uid="{FF88CDC5-99F5-485C-8017-018221BF0192}">
      <formula1>"Manual, Automation"</formula1>
    </dataValidation>
    <dataValidation type="list" allowBlank="1" showErrorMessage="1" sqref="M9" xr:uid="{F1421B78-1735-4D94-BA0D-9AC5D103B47F}">
      <formula1>"Open,Inprogress,Closed/Rejected"</formula1>
    </dataValidation>
    <dataValidation type="list" allowBlank="1" showErrorMessage="1" sqref="N9:N10 K6:K8" xr:uid="{E8DAE0E0-4B8F-4EE6-81F9-80756A77AE6B}">
      <formula1>$A$2:$A$10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2CF44615-71DD-45C2-BC2D-75A83415D66E}">
          <x14:formula1>
            <xm:f>Details!$A$2:$A$10</xm:f>
          </x14:formula1>
          <xm:sqref>K2:K5 J6:J8</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16DB2-CFC6-4EC8-B8AC-62B863082616}">
  <dimension ref="A1:AM30"/>
  <sheetViews>
    <sheetView workbookViewId="0">
      <pane ySplit="1" topLeftCell="E2" activePane="bottomLeft" state="frozen"/>
      <selection pane="bottomLeft" activeCell="E12" sqref="E12"/>
    </sheetView>
  </sheetViews>
  <sheetFormatPr defaultRowHeight="12.75"/>
  <cols>
    <col min="1" max="1" width="7" style="310" customWidth="1"/>
    <col min="2" max="2" width="14.28515625" style="310" customWidth="1"/>
    <col min="3" max="3" width="12.28515625" style="310" customWidth="1"/>
    <col min="4" max="4" width="10.140625" style="310" customWidth="1"/>
    <col min="5" max="5" width="14.5703125" style="311" customWidth="1"/>
    <col min="6" max="6" width="14.140625" style="111" customWidth="1"/>
    <col min="7" max="7" width="13.28515625" style="111" customWidth="1"/>
    <col min="8" max="8" width="58.5703125" style="282" customWidth="1"/>
    <col min="9" max="9" width="22.85546875" style="111" customWidth="1"/>
    <col min="10" max="10" width="11.42578125" style="111" bestFit="1" customWidth="1"/>
    <col min="11" max="12" width="14.42578125" style="111" customWidth="1"/>
    <col min="13" max="13" width="12.42578125" style="282" customWidth="1"/>
    <col min="14" max="14" width="13.85546875" style="282" customWidth="1"/>
    <col min="15" max="15" width="23.140625" style="311" customWidth="1"/>
    <col min="16" max="16" width="15.5703125" style="282" customWidth="1"/>
    <col min="17" max="17" width="22.140625" style="282" customWidth="1"/>
    <col min="18" max="18" width="31.5703125" style="282" customWidth="1"/>
    <col min="19" max="19" width="12.7109375" style="282" customWidth="1"/>
    <col min="20" max="20" width="13.42578125" style="282" customWidth="1"/>
    <col min="21" max="21" width="13.7109375" style="282" customWidth="1"/>
    <col min="22" max="22" width="23.7109375" style="282" customWidth="1"/>
    <col min="23" max="23" width="26" style="282" customWidth="1"/>
    <col min="24" max="24" width="17.140625" style="282" customWidth="1"/>
    <col min="25" max="25" width="19.85546875" style="282" customWidth="1"/>
    <col min="26" max="26" width="27.140625" style="311" customWidth="1"/>
    <col min="27" max="27" width="65.140625" style="282" customWidth="1"/>
    <col min="28" max="28" width="68.140625" style="282" customWidth="1"/>
    <col min="29" max="31" width="30.7109375" style="311" customWidth="1"/>
    <col min="32" max="37" width="25.42578125" style="311" customWidth="1"/>
    <col min="38" max="38" width="30.7109375" style="282" customWidth="1"/>
    <col min="39" max="39" width="16.42578125" style="282" bestFit="1" customWidth="1"/>
    <col min="40" max="16384" width="9.140625" style="282"/>
  </cols>
  <sheetData>
    <row r="1" spans="1:39" ht="27">
      <c r="A1" s="338" t="s">
        <v>266</v>
      </c>
      <c r="B1" s="108" t="s">
        <v>4</v>
      </c>
      <c r="C1" s="108" t="s">
        <v>2</v>
      </c>
      <c r="D1" s="108" t="s">
        <v>3</v>
      </c>
      <c r="E1" s="338" t="s">
        <v>278</v>
      </c>
      <c r="F1" s="338" t="s">
        <v>269</v>
      </c>
      <c r="G1" s="338" t="s">
        <v>279</v>
      </c>
      <c r="H1" s="338" t="s">
        <v>280</v>
      </c>
      <c r="I1" s="338" t="s">
        <v>275</v>
      </c>
      <c r="J1" s="396" t="s">
        <v>281</v>
      </c>
      <c r="K1" s="396" t="s">
        <v>282</v>
      </c>
      <c r="L1" s="396" t="s">
        <v>283</v>
      </c>
      <c r="M1" s="338" t="s">
        <v>286</v>
      </c>
      <c r="N1" s="338" t="s">
        <v>287</v>
      </c>
      <c r="O1" s="338" t="s">
        <v>288</v>
      </c>
      <c r="P1" s="338" t="s">
        <v>289</v>
      </c>
      <c r="Q1" s="338" t="s">
        <v>290</v>
      </c>
      <c r="R1" s="338" t="s">
        <v>291</v>
      </c>
      <c r="S1" s="339" t="s">
        <v>292</v>
      </c>
      <c r="T1" s="339" t="s">
        <v>293</v>
      </c>
      <c r="U1" s="338" t="s">
        <v>294</v>
      </c>
      <c r="V1" s="338" t="s">
        <v>295</v>
      </c>
      <c r="W1" s="338" t="s">
        <v>296</v>
      </c>
      <c r="X1" s="339" t="s">
        <v>297</v>
      </c>
      <c r="Y1" s="338" t="s">
        <v>298</v>
      </c>
      <c r="Z1" s="338" t="s">
        <v>299</v>
      </c>
      <c r="AA1" s="338" t="s">
        <v>300</v>
      </c>
      <c r="AB1" s="340" t="s">
        <v>277</v>
      </c>
      <c r="AC1" s="346" t="s">
        <v>3511</v>
      </c>
      <c r="AD1" s="346" t="s">
        <v>3512</v>
      </c>
      <c r="AE1" s="346" t="s">
        <v>3513</v>
      </c>
      <c r="AF1" s="346" t="s">
        <v>3514</v>
      </c>
      <c r="AG1" s="346" t="s">
        <v>3515</v>
      </c>
      <c r="AH1" s="346" t="s">
        <v>3516</v>
      </c>
      <c r="AI1" s="346" t="s">
        <v>3517</v>
      </c>
      <c r="AJ1" s="346" t="s">
        <v>3518</v>
      </c>
      <c r="AK1" s="346" t="s">
        <v>3519</v>
      </c>
      <c r="AL1" s="371" t="s">
        <v>3520</v>
      </c>
      <c r="AM1" s="371" t="s">
        <v>3297</v>
      </c>
    </row>
    <row r="2" spans="1:39" ht="46.5">
      <c r="A2" s="282">
        <v>1</v>
      </c>
      <c r="B2" s="282" t="str">
        <f>Dashboard!$J$1</f>
        <v>MSB Accounting</v>
      </c>
      <c r="C2" s="331">
        <v>45685</v>
      </c>
      <c r="D2" s="331">
        <v>45699</v>
      </c>
      <c r="E2" s="402" t="s">
        <v>92</v>
      </c>
      <c r="F2" s="282" t="s">
        <v>317</v>
      </c>
      <c r="G2" s="111">
        <v>47052</v>
      </c>
      <c r="H2" s="311" t="s">
        <v>3521</v>
      </c>
      <c r="I2" s="397" t="s">
        <v>306</v>
      </c>
      <c r="J2" s="111">
        <v>1</v>
      </c>
      <c r="K2" s="111">
        <v>1</v>
      </c>
      <c r="L2" s="111">
        <v>4.25</v>
      </c>
      <c r="M2" s="282" t="s">
        <v>12</v>
      </c>
      <c r="N2" s="282" t="s">
        <v>315</v>
      </c>
      <c r="O2" s="282" t="s">
        <v>316</v>
      </c>
      <c r="P2" s="282" t="s">
        <v>315</v>
      </c>
      <c r="Q2" s="311" t="s">
        <v>3226</v>
      </c>
      <c r="R2" s="369" t="s">
        <v>3522</v>
      </c>
      <c r="S2" s="331">
        <v>45685</v>
      </c>
      <c r="T2" s="331">
        <v>45685</v>
      </c>
      <c r="U2" s="251" t="s">
        <v>320</v>
      </c>
      <c r="V2" s="311" t="s">
        <v>115</v>
      </c>
      <c r="W2" s="282" t="s">
        <v>12</v>
      </c>
      <c r="X2" s="282" t="s">
        <v>320</v>
      </c>
      <c r="Y2" s="282" t="s">
        <v>3226</v>
      </c>
      <c r="Z2" s="251" t="s">
        <v>2516</v>
      </c>
      <c r="AA2" s="282" t="s">
        <v>2516</v>
      </c>
      <c r="AB2" s="251" t="s">
        <v>12</v>
      </c>
      <c r="AC2" s="311" t="s">
        <v>3523</v>
      </c>
      <c r="AD2" s="251" t="s">
        <v>434</v>
      </c>
      <c r="AE2" s="251" t="s">
        <v>434</v>
      </c>
      <c r="AF2" s="251" t="s">
        <v>434</v>
      </c>
      <c r="AG2" s="251" t="s">
        <v>434</v>
      </c>
      <c r="AH2" s="251" t="s">
        <v>434</v>
      </c>
      <c r="AI2" s="251" t="s">
        <v>434</v>
      </c>
      <c r="AJ2" s="251" t="s">
        <v>434</v>
      </c>
      <c r="AK2" s="251" t="s">
        <v>434</v>
      </c>
      <c r="AL2" s="251" t="s">
        <v>12</v>
      </c>
    </row>
    <row r="3" spans="1:39" ht="58.5">
      <c r="A3" s="282">
        <v>2</v>
      </c>
      <c r="B3" s="282" t="str">
        <f>Dashboard!$J$1</f>
        <v>MSB Accounting</v>
      </c>
      <c r="C3" s="331">
        <v>45685</v>
      </c>
      <c r="D3" s="331">
        <v>45699</v>
      </c>
      <c r="E3" s="402" t="s">
        <v>92</v>
      </c>
      <c r="F3" s="282" t="s">
        <v>317</v>
      </c>
      <c r="G3" s="111">
        <v>24557</v>
      </c>
      <c r="H3" s="331" t="s">
        <v>3524</v>
      </c>
      <c r="I3" s="397" t="s">
        <v>306</v>
      </c>
      <c r="J3" s="111">
        <v>1</v>
      </c>
      <c r="K3" s="111">
        <v>1</v>
      </c>
      <c r="L3" s="111">
        <v>9.5</v>
      </c>
      <c r="M3" s="282" t="s">
        <v>12</v>
      </c>
      <c r="N3" s="282" t="s">
        <v>315</v>
      </c>
      <c r="O3" s="282" t="s">
        <v>316</v>
      </c>
      <c r="P3" s="282" t="s">
        <v>315</v>
      </c>
      <c r="Q3" s="311" t="s">
        <v>3226</v>
      </c>
      <c r="R3" s="343"/>
      <c r="S3" s="331"/>
      <c r="T3" s="331"/>
      <c r="U3" s="282" t="s">
        <v>320</v>
      </c>
      <c r="V3" s="282" t="s">
        <v>115</v>
      </c>
      <c r="Z3" s="311" t="s">
        <v>2516</v>
      </c>
      <c r="AA3" s="311" t="s">
        <v>2516</v>
      </c>
      <c r="AB3" s="251" t="s">
        <v>3525</v>
      </c>
      <c r="AC3" s="311" t="s">
        <v>3526</v>
      </c>
      <c r="AD3" s="251" t="s">
        <v>3527</v>
      </c>
      <c r="AE3" s="251" t="s">
        <v>3528</v>
      </c>
      <c r="AF3" s="251" t="s">
        <v>3529</v>
      </c>
      <c r="AG3" s="251" t="s">
        <v>3530</v>
      </c>
      <c r="AH3" s="251" t="s">
        <v>3531</v>
      </c>
      <c r="AI3" s="251" t="s">
        <v>3532</v>
      </c>
      <c r="AJ3" s="251" t="s">
        <v>3532</v>
      </c>
      <c r="AK3" s="251" t="s">
        <v>3532</v>
      </c>
      <c r="AL3" s="251" t="s">
        <v>3533</v>
      </c>
      <c r="AM3" s="311"/>
    </row>
    <row r="4" spans="1:39" ht="174">
      <c r="A4" s="282">
        <v>3</v>
      </c>
      <c r="B4" s="282" t="str">
        <f>Dashboard!$J$1</f>
        <v>MSB Accounting</v>
      </c>
      <c r="C4" s="331">
        <v>45685</v>
      </c>
      <c r="D4" s="331">
        <v>45699</v>
      </c>
      <c r="E4" s="402" t="s">
        <v>92</v>
      </c>
      <c r="F4" s="311" t="s">
        <v>3534</v>
      </c>
      <c r="G4" s="393">
        <v>47040</v>
      </c>
      <c r="H4" s="282" t="s">
        <v>3535</v>
      </c>
      <c r="I4" s="397" t="s">
        <v>306</v>
      </c>
      <c r="J4" s="111">
        <v>8</v>
      </c>
      <c r="K4" s="111">
        <v>8</v>
      </c>
      <c r="L4" s="378">
        <v>54</v>
      </c>
      <c r="M4" s="282" t="s">
        <v>320</v>
      </c>
      <c r="N4" s="282" t="s">
        <v>320</v>
      </c>
      <c r="O4" s="282" t="s">
        <v>320</v>
      </c>
      <c r="P4" s="282" t="s">
        <v>320</v>
      </c>
      <c r="Q4" s="282" t="s">
        <v>320</v>
      </c>
      <c r="R4" s="282" t="s">
        <v>320</v>
      </c>
      <c r="S4" s="282" t="s">
        <v>320</v>
      </c>
      <c r="T4" s="282" t="s">
        <v>320</v>
      </c>
      <c r="U4" s="282" t="s">
        <v>320</v>
      </c>
      <c r="V4" s="282" t="s">
        <v>320</v>
      </c>
      <c r="W4" s="282" t="s">
        <v>320</v>
      </c>
      <c r="X4" s="282" t="s">
        <v>320</v>
      </c>
      <c r="Y4" s="282" t="s">
        <v>320</v>
      </c>
      <c r="Z4" s="282" t="s">
        <v>320</v>
      </c>
      <c r="AA4" s="282" t="s">
        <v>320</v>
      </c>
      <c r="AB4" s="251" t="s">
        <v>3536</v>
      </c>
      <c r="AC4" s="251" t="s">
        <v>3537</v>
      </c>
      <c r="AD4" s="251" t="s">
        <v>3538</v>
      </c>
      <c r="AE4" s="251" t="s">
        <v>3539</v>
      </c>
      <c r="AF4" s="251" t="s">
        <v>3540</v>
      </c>
      <c r="AG4" s="311" t="s">
        <v>434</v>
      </c>
      <c r="AH4" s="251" t="s">
        <v>434</v>
      </c>
      <c r="AI4" s="251" t="s">
        <v>434</v>
      </c>
      <c r="AJ4" s="251" t="s">
        <v>434</v>
      </c>
      <c r="AK4" s="251" t="s">
        <v>434</v>
      </c>
      <c r="AL4" s="251" t="s">
        <v>3536</v>
      </c>
    </row>
    <row r="5" spans="1:39" ht="46.5">
      <c r="A5" s="282">
        <v>4</v>
      </c>
      <c r="B5" s="282" t="str">
        <f>Dashboard!$J$1</f>
        <v>MSB Accounting</v>
      </c>
      <c r="C5" s="331">
        <v>45685</v>
      </c>
      <c r="D5" s="331">
        <v>45699</v>
      </c>
      <c r="E5" s="402" t="s">
        <v>92</v>
      </c>
      <c r="F5" s="282" t="s">
        <v>315</v>
      </c>
      <c r="G5" s="111">
        <v>23903</v>
      </c>
      <c r="H5" s="311" t="s">
        <v>3541</v>
      </c>
      <c r="I5" s="397" t="s">
        <v>376</v>
      </c>
      <c r="J5" s="111">
        <v>2</v>
      </c>
      <c r="K5" s="111">
        <v>2</v>
      </c>
      <c r="L5" s="111">
        <v>10</v>
      </c>
      <c r="M5" s="282" t="s">
        <v>12</v>
      </c>
      <c r="N5" s="282" t="s">
        <v>313</v>
      </c>
      <c r="O5" s="282" t="s">
        <v>316</v>
      </c>
      <c r="P5" s="282" t="s">
        <v>317</v>
      </c>
      <c r="Q5" s="282" t="s">
        <v>316</v>
      </c>
      <c r="R5" s="369" t="s">
        <v>3542</v>
      </c>
      <c r="S5" s="331">
        <v>45688</v>
      </c>
      <c r="T5" s="331"/>
      <c r="U5" s="282" t="s">
        <v>12</v>
      </c>
      <c r="V5" s="311" t="s">
        <v>3226</v>
      </c>
      <c r="W5" s="282" t="s">
        <v>12</v>
      </c>
      <c r="X5" s="331" t="s">
        <v>320</v>
      </c>
      <c r="Y5" s="282" t="s">
        <v>115</v>
      </c>
      <c r="Z5" s="251" t="s">
        <v>2516</v>
      </c>
      <c r="AA5" s="282" t="s">
        <v>2516</v>
      </c>
      <c r="AB5" s="251" t="s">
        <v>460</v>
      </c>
      <c r="AC5" s="251" t="s">
        <v>434</v>
      </c>
      <c r="AD5" s="251" t="s">
        <v>3543</v>
      </c>
      <c r="AE5" s="251" t="s">
        <v>2909</v>
      </c>
      <c r="AF5" s="251" t="s">
        <v>3544</v>
      </c>
      <c r="AG5" s="251" t="s">
        <v>3545</v>
      </c>
      <c r="AH5" s="251" t="s">
        <v>434</v>
      </c>
      <c r="AI5" s="251" t="s">
        <v>434</v>
      </c>
      <c r="AJ5" s="251" t="s">
        <v>434</v>
      </c>
      <c r="AK5" s="251" t="s">
        <v>434</v>
      </c>
      <c r="AL5" s="251" t="s">
        <v>460</v>
      </c>
    </row>
    <row r="6" spans="1:39" ht="35.25">
      <c r="A6" s="282">
        <v>5</v>
      </c>
      <c r="B6" s="282" t="str">
        <f>Dashboard!$J$1</f>
        <v>MSB Accounting</v>
      </c>
      <c r="C6" s="331">
        <v>45685</v>
      </c>
      <c r="D6" s="331">
        <v>45699</v>
      </c>
      <c r="E6" s="402" t="s">
        <v>92</v>
      </c>
      <c r="F6" s="282" t="s">
        <v>315</v>
      </c>
      <c r="G6" s="111">
        <v>37082</v>
      </c>
      <c r="H6" s="311" t="s">
        <v>3406</v>
      </c>
      <c r="I6" s="342" t="s">
        <v>399</v>
      </c>
      <c r="J6" s="111">
        <v>3</v>
      </c>
      <c r="O6" s="282"/>
      <c r="R6" s="343"/>
      <c r="S6" s="345"/>
      <c r="T6" s="345"/>
      <c r="AB6" s="251" t="s">
        <v>3546</v>
      </c>
      <c r="AC6" s="251"/>
      <c r="AD6" s="251"/>
      <c r="AE6" s="251" t="s">
        <v>3547</v>
      </c>
      <c r="AF6" s="251" t="s">
        <v>3548</v>
      </c>
      <c r="AG6" s="251" t="s">
        <v>3549</v>
      </c>
      <c r="AH6" s="251" t="s">
        <v>3550</v>
      </c>
      <c r="AI6" s="251" t="s">
        <v>3551</v>
      </c>
      <c r="AJ6" s="251" t="s">
        <v>3552</v>
      </c>
      <c r="AK6" s="251" t="s">
        <v>3553</v>
      </c>
      <c r="AL6" s="251"/>
      <c r="AM6" s="311"/>
    </row>
    <row r="7" spans="1:39" ht="46.5">
      <c r="A7" s="282">
        <v>6</v>
      </c>
      <c r="B7" s="282" t="str">
        <f>Dashboard!$J$1</f>
        <v>MSB Accounting</v>
      </c>
      <c r="C7" s="331">
        <v>45685</v>
      </c>
      <c r="D7" s="331">
        <v>45699</v>
      </c>
      <c r="E7" s="402" t="s">
        <v>92</v>
      </c>
      <c r="F7" s="282" t="s">
        <v>317</v>
      </c>
      <c r="G7" s="393">
        <v>24566</v>
      </c>
      <c r="H7" s="311" t="s">
        <v>3554</v>
      </c>
      <c r="I7" s="342" t="s">
        <v>369</v>
      </c>
      <c r="K7" s="111">
        <v>5</v>
      </c>
      <c r="L7" s="111">
        <v>19.75</v>
      </c>
      <c r="M7" s="282" t="s">
        <v>12</v>
      </c>
      <c r="N7" s="282" t="s">
        <v>315</v>
      </c>
      <c r="O7" s="282" t="s">
        <v>316</v>
      </c>
      <c r="P7" s="282" t="s">
        <v>315</v>
      </c>
      <c r="Q7" s="311" t="s">
        <v>3226</v>
      </c>
      <c r="R7" s="343" t="s">
        <v>3457</v>
      </c>
      <c r="S7" s="331">
        <v>45698</v>
      </c>
      <c r="T7" s="331"/>
      <c r="U7" s="282" t="s">
        <v>12</v>
      </c>
      <c r="V7" s="282" t="s">
        <v>3149</v>
      </c>
      <c r="Z7" s="251" t="s">
        <v>2516</v>
      </c>
      <c r="AB7" s="311" t="s">
        <v>3555</v>
      </c>
      <c r="AC7" s="251"/>
      <c r="AE7" s="311" t="s">
        <v>3556</v>
      </c>
      <c r="AF7" s="311" t="s">
        <v>3557</v>
      </c>
      <c r="AG7" s="311" t="s">
        <v>3558</v>
      </c>
      <c r="AH7" s="311" t="s">
        <v>3559</v>
      </c>
      <c r="AI7" s="311" t="s">
        <v>3560</v>
      </c>
      <c r="AJ7" s="311" t="s">
        <v>3561</v>
      </c>
      <c r="AK7" s="311" t="s">
        <v>3562</v>
      </c>
      <c r="AL7" s="311" t="s">
        <v>3563</v>
      </c>
      <c r="AM7" s="311"/>
    </row>
    <row r="8" spans="1:39" ht="46.5">
      <c r="A8" s="282">
        <v>7</v>
      </c>
      <c r="B8" s="282" t="str">
        <f>Dashboard!$J$1</f>
        <v>MSB Accounting</v>
      </c>
      <c r="C8" s="331">
        <v>45685</v>
      </c>
      <c r="D8" s="331">
        <v>45699</v>
      </c>
      <c r="E8" s="402" t="s">
        <v>92</v>
      </c>
      <c r="F8" s="282" t="s">
        <v>313</v>
      </c>
      <c r="G8" s="111">
        <v>24576</v>
      </c>
      <c r="H8" s="311" t="s">
        <v>3564</v>
      </c>
      <c r="I8" s="342" t="s">
        <v>509</v>
      </c>
      <c r="L8" s="111">
        <v>4</v>
      </c>
      <c r="M8" s="282" t="s">
        <v>320</v>
      </c>
      <c r="N8" s="282" t="s">
        <v>320</v>
      </c>
      <c r="O8" s="282" t="s">
        <v>320</v>
      </c>
      <c r="P8" s="282" t="s">
        <v>320</v>
      </c>
      <c r="Q8" s="282" t="s">
        <v>320</v>
      </c>
      <c r="R8" s="282" t="s">
        <v>320</v>
      </c>
      <c r="S8" s="282" t="s">
        <v>320</v>
      </c>
      <c r="T8" s="282" t="s">
        <v>320</v>
      </c>
      <c r="U8" s="282" t="s">
        <v>320</v>
      </c>
      <c r="V8" s="282" t="s">
        <v>320</v>
      </c>
      <c r="W8" s="282" t="s">
        <v>320</v>
      </c>
      <c r="X8" s="282" t="s">
        <v>320</v>
      </c>
      <c r="Y8" s="282" t="s">
        <v>320</v>
      </c>
      <c r="Z8" s="282" t="s">
        <v>320</v>
      </c>
      <c r="AA8" s="282" t="s">
        <v>320</v>
      </c>
      <c r="AB8" s="311" t="s">
        <v>3565</v>
      </c>
      <c r="AF8" s="282"/>
      <c r="AG8" s="311" t="s">
        <v>3566</v>
      </c>
      <c r="AH8" s="311" t="s">
        <v>434</v>
      </c>
      <c r="AI8" s="311" t="s">
        <v>434</v>
      </c>
      <c r="AJ8" s="311" t="s">
        <v>434</v>
      </c>
      <c r="AK8" s="311" t="s">
        <v>434</v>
      </c>
      <c r="AL8" s="311" t="s">
        <v>3567</v>
      </c>
    </row>
    <row r="9" spans="1:39" ht="46.5">
      <c r="A9" s="282">
        <v>8</v>
      </c>
      <c r="B9" s="282" t="str">
        <f>Dashboard!$J$1</f>
        <v>MSB Accounting</v>
      </c>
      <c r="C9" s="331">
        <v>45685</v>
      </c>
      <c r="D9" s="331">
        <v>45699</v>
      </c>
      <c r="E9" s="402" t="s">
        <v>92</v>
      </c>
      <c r="F9" s="282" t="s">
        <v>315</v>
      </c>
      <c r="G9" s="111">
        <v>24574</v>
      </c>
      <c r="H9" s="282" t="s">
        <v>3568</v>
      </c>
      <c r="I9" s="342" t="s">
        <v>1117</v>
      </c>
      <c r="M9" s="282" t="s">
        <v>12</v>
      </c>
      <c r="N9" s="282" t="s">
        <v>313</v>
      </c>
      <c r="O9" s="282" t="s">
        <v>316</v>
      </c>
      <c r="P9" s="282" t="s">
        <v>317</v>
      </c>
      <c r="Q9" s="282" t="s">
        <v>1977</v>
      </c>
      <c r="R9" s="343" t="s">
        <v>3569</v>
      </c>
      <c r="S9" s="331">
        <v>45694</v>
      </c>
      <c r="T9" s="331"/>
      <c r="Z9" s="311" t="s">
        <v>3570</v>
      </c>
      <c r="AA9" s="311"/>
      <c r="AB9" s="311" t="s">
        <v>3571</v>
      </c>
      <c r="AG9" s="311" t="s">
        <v>3572</v>
      </c>
      <c r="AH9" s="311" t="s">
        <v>3417</v>
      </c>
      <c r="AI9" s="311" t="s">
        <v>3573</v>
      </c>
      <c r="AJ9" s="311" t="s">
        <v>3574</v>
      </c>
      <c r="AK9" s="311" t="s">
        <v>3575</v>
      </c>
      <c r="AL9" s="311" t="s">
        <v>3576</v>
      </c>
    </row>
    <row r="10" spans="1:39" ht="46.5">
      <c r="A10" s="282">
        <v>9</v>
      </c>
      <c r="B10" s="282" t="str">
        <f>Dashboard!$J$1</f>
        <v>MSB Accounting</v>
      </c>
      <c r="C10" s="331">
        <v>45685</v>
      </c>
      <c r="D10" s="331">
        <v>45699</v>
      </c>
      <c r="E10" s="311" t="s">
        <v>3577</v>
      </c>
      <c r="F10" s="282" t="s">
        <v>313</v>
      </c>
      <c r="G10" s="111">
        <v>46564</v>
      </c>
      <c r="H10" s="311" t="s">
        <v>3578</v>
      </c>
      <c r="I10" s="397" t="s">
        <v>306</v>
      </c>
      <c r="J10" s="111">
        <v>3</v>
      </c>
      <c r="K10" s="111">
        <v>3</v>
      </c>
      <c r="L10" s="111">
        <v>18.5</v>
      </c>
      <c r="M10" s="282" t="s">
        <v>12</v>
      </c>
      <c r="N10" s="282" t="s">
        <v>315</v>
      </c>
      <c r="O10" s="282" t="s">
        <v>316</v>
      </c>
      <c r="P10" s="282" t="s">
        <v>317</v>
      </c>
      <c r="Q10" s="282" t="s">
        <v>316</v>
      </c>
      <c r="R10" s="343" t="s">
        <v>3579</v>
      </c>
      <c r="S10" s="331">
        <v>45699</v>
      </c>
      <c r="T10" s="331">
        <v>45699</v>
      </c>
      <c r="U10" s="282" t="s">
        <v>12</v>
      </c>
      <c r="V10" s="282" t="s">
        <v>3149</v>
      </c>
      <c r="W10" s="282" t="s">
        <v>12</v>
      </c>
      <c r="X10" s="282" t="s">
        <v>320</v>
      </c>
      <c r="Y10" s="282" t="s">
        <v>3226</v>
      </c>
      <c r="Z10" s="251" t="s">
        <v>2516</v>
      </c>
      <c r="AA10" s="311" t="s">
        <v>3580</v>
      </c>
      <c r="AB10" s="311" t="s">
        <v>3581</v>
      </c>
      <c r="AH10" s="311" t="s">
        <v>3582</v>
      </c>
      <c r="AI10" s="311" t="s">
        <v>3583</v>
      </c>
      <c r="AJ10" s="311" t="s">
        <v>3584</v>
      </c>
      <c r="AK10" s="311" t="s">
        <v>3585</v>
      </c>
      <c r="AL10" s="311" t="s">
        <v>3581</v>
      </c>
    </row>
    <row r="11" spans="1:39" ht="39.75" customHeight="1">
      <c r="A11" s="282">
        <v>10</v>
      </c>
      <c r="B11" s="282" t="str">
        <f>Dashboard!$J$1</f>
        <v>MSB Accounting</v>
      </c>
      <c r="C11" s="331">
        <v>45685</v>
      </c>
      <c r="D11" s="331">
        <v>45699</v>
      </c>
      <c r="E11" s="311" t="s">
        <v>3577</v>
      </c>
      <c r="F11" s="282" t="s">
        <v>313</v>
      </c>
      <c r="G11" s="393">
        <v>46072</v>
      </c>
      <c r="H11" s="311" t="s">
        <v>3430</v>
      </c>
      <c r="I11" s="342" t="s">
        <v>338</v>
      </c>
      <c r="J11" s="111">
        <v>3</v>
      </c>
      <c r="M11" s="282" t="s">
        <v>12</v>
      </c>
      <c r="O11" s="282"/>
      <c r="X11" s="282" t="str">
        <f>UPPER(MID(Table25678[[#This Row],[1/29/2025]], 53, 2))</f>
        <v/>
      </c>
      <c r="Z11" s="251" t="s">
        <v>2516</v>
      </c>
      <c r="AA11" s="251" t="s">
        <v>2516</v>
      </c>
      <c r="AB11" s="311" t="s">
        <v>3562</v>
      </c>
      <c r="AJ11" s="311" t="s">
        <v>3586</v>
      </c>
      <c r="AK11" s="311" t="s">
        <v>3562</v>
      </c>
      <c r="AL11" s="311" t="s">
        <v>3562</v>
      </c>
    </row>
    <row r="12" spans="1:39" ht="23.25">
      <c r="A12" s="282">
        <v>11</v>
      </c>
      <c r="B12" s="282" t="str">
        <f>Dashboard!$J$1</f>
        <v>MSB Accounting</v>
      </c>
      <c r="C12" s="331">
        <v>45685</v>
      </c>
      <c r="D12" s="331">
        <v>45699</v>
      </c>
      <c r="E12" s="402" t="s">
        <v>92</v>
      </c>
      <c r="F12" s="282" t="s">
        <v>317</v>
      </c>
      <c r="G12" s="111" t="s">
        <v>3587</v>
      </c>
      <c r="H12" s="311" t="s">
        <v>3419</v>
      </c>
      <c r="I12" s="397" t="s">
        <v>306</v>
      </c>
      <c r="L12" s="111">
        <v>2.25</v>
      </c>
      <c r="O12" s="282"/>
      <c r="X12" s="282" t="str">
        <f>UPPER(MID(Table25678[[#This Row],[1/29/2025]], 53, 2))</f>
        <v/>
      </c>
      <c r="AB12" s="311" t="s">
        <v>3588</v>
      </c>
      <c r="AL12" s="282" t="s">
        <v>3589</v>
      </c>
    </row>
    <row r="13" spans="1:39" ht="174">
      <c r="A13" s="282">
        <v>12</v>
      </c>
      <c r="B13" s="282" t="str">
        <f>Dashboard!$J$1</f>
        <v>MSB Accounting</v>
      </c>
      <c r="C13" s="331">
        <v>45685</v>
      </c>
      <c r="D13" s="331">
        <v>45699</v>
      </c>
      <c r="E13" s="402" t="s">
        <v>92</v>
      </c>
      <c r="F13" s="311" t="s">
        <v>1216</v>
      </c>
      <c r="G13" s="111" t="s">
        <v>3590</v>
      </c>
      <c r="H13" s="282" t="s">
        <v>3318</v>
      </c>
      <c r="I13" s="397" t="s">
        <v>306</v>
      </c>
      <c r="J13" s="111">
        <v>2</v>
      </c>
      <c r="K13" s="111">
        <v>2</v>
      </c>
      <c r="L13" s="111">
        <v>9</v>
      </c>
      <c r="O13" s="282"/>
      <c r="X13" s="282" t="str">
        <f>UPPER(MID(Table25678[[#This Row],[1/29/2025]], 53, 2))</f>
        <v/>
      </c>
      <c r="AB13" s="369" t="s">
        <v>3591</v>
      </c>
      <c r="AK13" s="311" t="s">
        <v>3592</v>
      </c>
      <c r="AL13" s="369" t="s">
        <v>3591</v>
      </c>
    </row>
    <row r="14" spans="1:39">
      <c r="A14" s="282"/>
      <c r="B14" s="282"/>
      <c r="C14" s="331"/>
      <c r="D14" s="331"/>
      <c r="E14" s="282"/>
      <c r="F14" s="282"/>
      <c r="I14" s="403"/>
      <c r="O14" s="282"/>
    </row>
    <row r="15" spans="1:39">
      <c r="A15" s="282"/>
      <c r="B15" s="282"/>
      <c r="C15" s="282"/>
      <c r="D15" s="282"/>
      <c r="E15" s="282"/>
      <c r="F15" s="282"/>
      <c r="I15" s="282"/>
      <c r="O15" s="282"/>
    </row>
    <row r="16" spans="1:39">
      <c r="A16" s="282"/>
      <c r="B16" s="282"/>
      <c r="C16" s="282"/>
      <c r="D16" s="282"/>
      <c r="E16" s="282"/>
      <c r="F16" s="282"/>
      <c r="I16" s="282"/>
      <c r="O16" s="282"/>
    </row>
    <row r="17" spans="1:15">
      <c r="A17" s="282"/>
      <c r="B17" s="282"/>
      <c r="C17" s="282"/>
      <c r="D17" s="282"/>
      <c r="E17" s="282"/>
      <c r="F17" s="282"/>
      <c r="I17" s="282"/>
      <c r="O17" s="282"/>
    </row>
    <row r="18" spans="1:15">
      <c r="A18" s="282"/>
      <c r="B18" s="282"/>
      <c r="C18" s="282"/>
      <c r="D18" s="282"/>
      <c r="E18" s="282"/>
      <c r="F18" s="282"/>
      <c r="I18" s="282"/>
      <c r="O18" s="282"/>
    </row>
    <row r="19" spans="1:15">
      <c r="A19" s="282"/>
      <c r="B19" s="282"/>
      <c r="C19" s="282"/>
      <c r="D19" s="282"/>
      <c r="E19" s="282"/>
      <c r="F19" s="282"/>
      <c r="I19" s="282"/>
      <c r="O19" s="282"/>
    </row>
    <row r="20" spans="1:15">
      <c r="A20" s="282"/>
      <c r="B20" s="282"/>
      <c r="C20" s="282"/>
      <c r="D20" s="282"/>
      <c r="E20" s="282"/>
      <c r="F20" s="282"/>
      <c r="I20" s="282"/>
      <c r="O20" s="282"/>
    </row>
    <row r="21" spans="1:15">
      <c r="A21" s="282"/>
      <c r="B21" s="282"/>
      <c r="C21" s="282"/>
      <c r="D21" s="282"/>
      <c r="E21" s="282"/>
      <c r="F21" s="282"/>
      <c r="I21" s="282"/>
      <c r="O21" s="282"/>
    </row>
    <row r="22" spans="1:15">
      <c r="A22" s="282"/>
      <c r="B22" s="282"/>
      <c r="C22" s="282"/>
      <c r="D22" s="282"/>
      <c r="E22" s="282"/>
      <c r="F22" s="282"/>
      <c r="I22" s="282"/>
      <c r="O22" s="282"/>
    </row>
    <row r="23" spans="1:15">
      <c r="A23" s="282"/>
      <c r="B23" s="282"/>
      <c r="C23" s="282"/>
      <c r="D23" s="282"/>
      <c r="E23" s="282"/>
      <c r="F23" s="282"/>
      <c r="I23" s="282"/>
      <c r="O23" s="282"/>
    </row>
    <row r="24" spans="1:15">
      <c r="A24" s="282"/>
      <c r="B24" s="282"/>
      <c r="C24" s="282"/>
      <c r="D24" s="282"/>
      <c r="E24" s="282"/>
      <c r="F24" s="282"/>
      <c r="I24" s="282"/>
      <c r="O24" s="282"/>
    </row>
    <row r="25" spans="1:15">
      <c r="A25" s="282"/>
      <c r="B25" s="282"/>
      <c r="C25" s="282"/>
      <c r="D25" s="282"/>
      <c r="E25" s="282"/>
      <c r="F25" s="282"/>
      <c r="I25" s="282"/>
      <c r="O25" s="282"/>
    </row>
    <row r="26" spans="1:15">
      <c r="A26" s="282"/>
      <c r="B26" s="282"/>
      <c r="C26" s="282"/>
      <c r="D26" s="282"/>
      <c r="E26" s="282"/>
      <c r="F26" s="282"/>
      <c r="I26" s="282"/>
      <c r="O26" s="282"/>
    </row>
    <row r="27" spans="1:15">
      <c r="A27" s="282"/>
      <c r="B27" s="282"/>
      <c r="C27" s="282"/>
      <c r="D27" s="282"/>
      <c r="E27" s="282"/>
      <c r="F27" s="282"/>
      <c r="I27" s="282"/>
      <c r="O27" s="282"/>
    </row>
    <row r="28" spans="1:15">
      <c r="A28" s="282"/>
      <c r="B28" s="282"/>
      <c r="C28" s="282"/>
      <c r="D28" s="282"/>
      <c r="E28" s="282"/>
      <c r="F28" s="282"/>
      <c r="I28" s="282"/>
      <c r="O28" s="282"/>
    </row>
    <row r="29" spans="1:15">
      <c r="A29" s="282"/>
      <c r="B29" s="282"/>
      <c r="C29" s="282"/>
      <c r="D29" s="282"/>
      <c r="E29" s="282"/>
      <c r="F29" s="282"/>
      <c r="I29" s="282"/>
      <c r="O29" s="282"/>
    </row>
    <row r="30" spans="1:15">
      <c r="A30" s="282"/>
      <c r="B30" s="282"/>
      <c r="C30" s="282"/>
      <c r="D30" s="282"/>
      <c r="E30" s="282"/>
      <c r="F30" s="282"/>
      <c r="I30" s="282"/>
      <c r="O30" s="282"/>
    </row>
  </sheetData>
  <conditionalFormatting sqref="J1 I14">
    <cfRule type="containsText" dxfId="266" priority="16" operator="containsText" text="Closed">
      <formula>NOT(ISERROR(SEARCH("Closed",I1)))</formula>
    </cfRule>
    <cfRule type="containsText" dxfId="265" priority="17" operator="containsText" text="Open">
      <formula>NOT(ISERROR(SEARCH("Open",I1)))</formula>
    </cfRule>
    <cfRule type="containsText" dxfId="264" priority="18" operator="containsText" text="Inprogress">
      <formula>NOT(ISERROR(SEARCH("Inprogress",I1)))</formula>
    </cfRule>
  </conditionalFormatting>
  <conditionalFormatting sqref="I2:I9">
    <cfRule type="containsText" dxfId="263" priority="10" operator="containsText" text="Closed">
      <formula>NOT(ISERROR(SEARCH("Closed",I2)))</formula>
    </cfRule>
    <cfRule type="containsText" dxfId="262" priority="11" operator="containsText" text="Open">
      <formula>NOT(ISERROR(SEARCH("Open",I2)))</formula>
    </cfRule>
    <cfRule type="containsText" dxfId="261" priority="12" operator="containsText" text="Inprogress">
      <formula>NOT(ISERROR(SEARCH("Inprogress",I2)))</formula>
    </cfRule>
  </conditionalFormatting>
  <conditionalFormatting sqref="I10:I11">
    <cfRule type="containsText" dxfId="260" priority="7" operator="containsText" text="Closed">
      <formula>NOT(ISERROR(SEARCH("Closed",I10)))</formula>
    </cfRule>
    <cfRule type="containsText" dxfId="259" priority="8" operator="containsText" text="Open">
      <formula>NOT(ISERROR(SEARCH("Open",I10)))</formula>
    </cfRule>
    <cfRule type="containsText" dxfId="258" priority="9" operator="containsText" text="Inprogress">
      <formula>NOT(ISERROR(SEARCH("Inprogress",I10)))</formula>
    </cfRule>
  </conditionalFormatting>
  <conditionalFormatting sqref="I13">
    <cfRule type="containsText" dxfId="257" priority="4" operator="containsText" text="Closed">
      <formula>NOT(ISERROR(SEARCH("Closed",I13)))</formula>
    </cfRule>
    <cfRule type="containsText" dxfId="256" priority="5" operator="containsText" text="Open">
      <formula>NOT(ISERROR(SEARCH("Open",I13)))</formula>
    </cfRule>
    <cfRule type="containsText" dxfId="255" priority="6" operator="containsText" text="Inprogress">
      <formula>NOT(ISERROR(SEARCH("Inprogress",I13)))</formula>
    </cfRule>
  </conditionalFormatting>
  <conditionalFormatting sqref="I12">
    <cfRule type="containsText" dxfId="254" priority="1" operator="containsText" text="Closed">
      <formula>NOT(ISERROR(SEARCH("Closed",I12)))</formula>
    </cfRule>
    <cfRule type="containsText" dxfId="253" priority="2" operator="containsText" text="Open">
      <formula>NOT(ISERROR(SEARCH("Open",I12)))</formula>
    </cfRule>
    <cfRule type="containsText" dxfId="252" priority="3" operator="containsText" text="Inprogress">
      <formula>NOT(ISERROR(SEARCH("Inprogress",I12)))</formula>
    </cfRule>
  </conditionalFormatting>
  <dataValidations count="14">
    <dataValidation type="list" showErrorMessage="1" sqref="O11:O14" xr:uid="{09B147CC-2CCB-43E5-8E47-DA6012038C95}">
      <formula1>"Pass,Fail(BacktoDev),DB Script tests in QA DB"</formula1>
    </dataValidation>
    <dataValidation type="list" allowBlank="1" showErrorMessage="1" sqref="I10:I11" xr:uid="{919FBAAE-A387-49B2-8194-E287463BD1BE}">
      <formula1>"Story Completed,Story Being Tested,Story Ready For Testing,Story Peer Review,Product Owner - Verify,Story Being Developed,Story Approved"</formula1>
    </dataValidation>
    <dataValidation allowBlank="1" showInputMessage="1" showErrorMessage="1" sqref="V5:V7 Y5:Y6 Z9:AA11 Q2:R3 Q9:Q14 V9:V14 Z2:AA3 Y11:Y14 Z5:AA7 V2:V3 Q5:Q7" xr:uid="{90CDAA83-AE20-4759-82AF-6836FCC86377}"/>
    <dataValidation type="list" allowBlank="1" showErrorMessage="1" sqref="M15:M22" xr:uid="{209B85F1-FC22-4B5F-B84B-F73DA0FE7A35}">
      <formula1>"Open,Inprogress,Closed,TBD,NA"</formula1>
    </dataValidation>
    <dataValidation type="list" showErrorMessage="1" sqref="S11:T11 X2 W1:X1 U9:U14 W9:W14 W2:W3 N8:AA8 U5:U7 X9:X10 W5:W7 U1:U3 N4:AA4 M1:M14" xr:uid="{3A3BCF24-B507-4B19-8179-BB807D3F0045}">
      <formula1>"Open,Inprogress,Completed,TBD,NA"</formula1>
    </dataValidation>
    <dataValidation type="list" showErrorMessage="1" sqref="Y1:Y3 Q1:R1 V1 Y7 Y10" xr:uid="{E08DC96F-7E2B-4CA5-B565-E392EAEA5372}">
      <formula1>"No issues found,Issues observed(BacktoDev),DB Script tests in QA DB,NA,TBD"</formula1>
    </dataValidation>
    <dataValidation type="list" showErrorMessage="1" sqref="O9:O10 O1:O3 O5:O7" xr:uid="{8551B422-D558-4E9A-9B7D-50DD88AEBE10}">
      <formula1>"Pass,Fail(BacktoDev),DB Script tests in QA DB,TBD"</formula1>
    </dataValidation>
    <dataValidation type="list" showErrorMessage="1" sqref="P2:P3 N9:N14 N1:N3 N5:N7 P7" xr:uid="{0DBB205C-66DF-4237-9360-BBE140178C07}">
      <formula1>"Qadir,Rijo,Karthik,Sushmitha,None,TBD"</formula1>
    </dataValidation>
    <dataValidation type="list" showErrorMessage="1" sqref="P1 P9:P14 P5:P6" xr:uid="{08BAC637-99C9-4070-A170-8AF0C2E2FCED}">
      <formula1>"Qadir,Rijo,Karthik,None,TBD"</formula1>
    </dataValidation>
    <dataValidation type="list" showErrorMessage="1" sqref="Z1" xr:uid="{3D1A207C-81B3-412E-936D-DB3679447CFE}">
      <formula1>"Approved-Satisified AC,Not Approved(Back to Dev),NA,TBD"</formula1>
    </dataValidation>
    <dataValidation type="list" showErrorMessage="1" sqref="AA1:AB1" xr:uid="{51FCA3E3-DE9B-47C6-9A78-74EE74F8657F}">
      <formula1>"Pending-Waiting for Customer confirmation, Approved-Satisified AC,Not Approved-New minor changes requested(Back to Dev),NA,TBD"</formula1>
    </dataValidation>
    <dataValidation type="list" allowBlank="1" showErrorMessage="1" sqref="J1" xr:uid="{8FFFADE0-A11A-4FA6-8AC3-CB06C6D436C0}">
      <formula1>"Open,Inprogress,Closed"</formula1>
    </dataValidation>
    <dataValidation showErrorMessage="1" sqref="I1" xr:uid="{DAB2E031-65D3-486D-A385-C69D4AA0508D}"/>
    <dataValidation type="list" allowBlank="1" showErrorMessage="1" sqref="I14" xr:uid="{575BE017-D85D-4FFB-A70E-5A45C454B6FA}">
      <formula1>"Open,Inprogress,Closed,On Hold"</formula1>
    </dataValidation>
  </dataValidations>
  <hyperlinks>
    <hyperlink ref="R2" r:id="rId1" xr:uid="{51B1F718-2137-4F8C-914E-749D482721D1}"/>
    <hyperlink ref="R5" r:id="rId2" xr:uid="{AE018BE8-FB40-4F5C-A8C2-76D6EB27BB8C}"/>
    <hyperlink ref="R9" r:id="rId3" xr:uid="{67EB1A6C-0930-4712-B38E-18F9206FB6DA}"/>
    <hyperlink ref="R7" r:id="rId4" xr:uid="{206737A8-3174-4E09-A1E1-A4B9BF86F835}"/>
    <hyperlink ref="R10" r:id="rId5" xr:uid="{5DE8104C-4917-40DD-B8FA-525AE5506E7A}"/>
    <hyperlink ref="AB13" r:id="rId6" location="gid=359784157" xr:uid="{6DCD7AB5-4158-47D7-BC2E-C42D46E699F7}"/>
    <hyperlink ref="AL13" r:id="rId7" location="gid=359784157" xr:uid="{B64F8D4C-0379-42A5-90C5-DF0DBC79C8D4}"/>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7ED0C925-15FC-41C2-B2C1-CD0ECC57AB4E}">
          <x14:formula1>
            <xm:f>Settings!$C$3:$C$20</xm:f>
          </x14:formula1>
          <xm:sqref>I2:I9 I12:I13</xm:sqref>
        </x14:dataValidation>
      </x14:dataValidations>
    </ext>
  </extLst>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8371-4B66-4DE6-8049-5F288E1C49A8}">
  <dimension ref="A1:L8"/>
  <sheetViews>
    <sheetView topLeftCell="L2" workbookViewId="0">
      <selection activeCell="L2" sqref="L2"/>
    </sheetView>
  </sheetViews>
  <sheetFormatPr defaultRowHeight="12.75"/>
  <cols>
    <col min="1" max="2" width="9.140625" style="282"/>
    <col min="3" max="3" width="9.85546875" style="111" bestFit="1" customWidth="1"/>
    <col min="4" max="4" width="10.42578125" style="282" bestFit="1" customWidth="1"/>
    <col min="5" max="5" width="19.140625" style="282" bestFit="1" customWidth="1"/>
    <col min="6" max="6" width="45.85546875" style="282" customWidth="1"/>
    <col min="7" max="7" width="9.42578125" style="282" bestFit="1" customWidth="1"/>
    <col min="8" max="8" width="9.140625" style="282"/>
    <col min="9" max="9" width="9.5703125" style="282" bestFit="1" customWidth="1"/>
    <col min="10" max="10" width="12.42578125" style="282" customWidth="1"/>
    <col min="11" max="11" width="18.7109375" style="282" bestFit="1" customWidth="1"/>
    <col min="12" max="12" width="36.5703125" style="282" bestFit="1" customWidth="1"/>
    <col min="13" max="16384" width="9.140625" style="282"/>
  </cols>
  <sheetData>
    <row r="1" spans="1:12" ht="27">
      <c r="A1" s="108" t="s">
        <v>10</v>
      </c>
      <c r="B1" s="404" t="s">
        <v>267</v>
      </c>
      <c r="C1" s="108" t="s">
        <v>268</v>
      </c>
      <c r="D1" s="108" t="s">
        <v>269</v>
      </c>
      <c r="E1" s="404" t="s">
        <v>270</v>
      </c>
      <c r="F1" s="404" t="s">
        <v>271</v>
      </c>
      <c r="G1" s="108" t="s">
        <v>272</v>
      </c>
      <c r="H1" s="108" t="s">
        <v>273</v>
      </c>
      <c r="I1" s="108" t="s">
        <v>274</v>
      </c>
      <c r="J1" s="108" t="s">
        <v>275</v>
      </c>
      <c r="K1" s="332" t="s">
        <v>276</v>
      </c>
      <c r="L1" s="405" t="s">
        <v>3593</v>
      </c>
    </row>
    <row r="2" spans="1:12" ht="81">
      <c r="A2" s="289">
        <v>1</v>
      </c>
      <c r="B2" s="289" t="s">
        <v>3594</v>
      </c>
      <c r="C2" s="289">
        <v>24566</v>
      </c>
      <c r="D2" s="289" t="s">
        <v>317</v>
      </c>
      <c r="E2" s="329" t="s">
        <v>522</v>
      </c>
      <c r="F2" s="281" t="s">
        <v>3595</v>
      </c>
      <c r="G2" s="329" t="s">
        <v>1670</v>
      </c>
      <c r="H2" s="329"/>
      <c r="I2" s="329" t="s">
        <v>525</v>
      </c>
      <c r="J2" s="329" t="s">
        <v>1671</v>
      </c>
      <c r="K2" s="329" t="s">
        <v>529</v>
      </c>
      <c r="L2" s="281" t="s">
        <v>3596</v>
      </c>
    </row>
    <row r="3" spans="1:12" ht="35.25">
      <c r="A3" s="289">
        <v>2</v>
      </c>
      <c r="B3" s="289" t="s">
        <v>3594</v>
      </c>
      <c r="C3" s="407">
        <v>24575</v>
      </c>
      <c r="D3" s="289" t="s">
        <v>315</v>
      </c>
      <c r="E3" s="406" t="s">
        <v>522</v>
      </c>
      <c r="F3" s="203" t="s">
        <v>3597</v>
      </c>
      <c r="G3" s="406" t="s">
        <v>524</v>
      </c>
      <c r="H3" s="329"/>
      <c r="I3" s="329" t="s">
        <v>525</v>
      </c>
      <c r="J3" s="329" t="s">
        <v>1671</v>
      </c>
      <c r="K3" s="329" t="s">
        <v>529</v>
      </c>
      <c r="L3" s="251" t="s">
        <v>3598</v>
      </c>
    </row>
    <row r="4" spans="1:12" ht="92.25">
      <c r="A4" s="289">
        <v>3</v>
      </c>
      <c r="B4" s="289" t="s">
        <v>3599</v>
      </c>
      <c r="C4" s="407">
        <v>24574</v>
      </c>
      <c r="D4" s="289" t="s">
        <v>315</v>
      </c>
      <c r="E4" s="406" t="s">
        <v>522</v>
      </c>
      <c r="F4" s="203" t="s">
        <v>3568</v>
      </c>
      <c r="G4" s="406" t="s">
        <v>1670</v>
      </c>
      <c r="H4" s="329"/>
      <c r="I4" s="329" t="s">
        <v>525</v>
      </c>
      <c r="J4" s="329" t="s">
        <v>1671</v>
      </c>
      <c r="K4" s="329" t="s">
        <v>529</v>
      </c>
      <c r="L4" s="251" t="s">
        <v>3600</v>
      </c>
    </row>
    <row r="5" spans="1:12" ht="23.25">
      <c r="A5" s="289">
        <v>4</v>
      </c>
      <c r="B5" s="289" t="s">
        <v>3599</v>
      </c>
      <c r="C5" s="407">
        <v>24576</v>
      </c>
      <c r="D5" s="289" t="s">
        <v>313</v>
      </c>
      <c r="E5" s="406" t="s">
        <v>522</v>
      </c>
      <c r="F5" s="203" t="s">
        <v>3564</v>
      </c>
      <c r="G5" s="406" t="s">
        <v>1670</v>
      </c>
      <c r="H5" s="329"/>
      <c r="I5" s="329" t="s">
        <v>525</v>
      </c>
      <c r="J5" s="363" t="s">
        <v>576</v>
      </c>
      <c r="K5" s="329" t="s">
        <v>532</v>
      </c>
      <c r="L5" s="253" t="s">
        <v>3601</v>
      </c>
    </row>
    <row r="6" spans="1:12" ht="35.25">
      <c r="A6" s="289">
        <v>5</v>
      </c>
      <c r="B6" s="289" t="s">
        <v>3599</v>
      </c>
      <c r="C6" s="407">
        <v>23903</v>
      </c>
      <c r="D6" s="289" t="s">
        <v>315</v>
      </c>
      <c r="E6" s="406" t="s">
        <v>522</v>
      </c>
      <c r="F6" s="203" t="s">
        <v>3541</v>
      </c>
      <c r="G6" s="406" t="s">
        <v>1670</v>
      </c>
      <c r="H6" s="329"/>
      <c r="I6" s="329" t="s">
        <v>525</v>
      </c>
      <c r="J6" s="363" t="s">
        <v>576</v>
      </c>
      <c r="K6" s="329" t="s">
        <v>529</v>
      </c>
      <c r="L6" s="251" t="s">
        <v>3602</v>
      </c>
    </row>
    <row r="7" spans="1:12" ht="92.25">
      <c r="A7" s="289">
        <v>6</v>
      </c>
      <c r="B7" s="289" t="s">
        <v>3603</v>
      </c>
      <c r="C7" s="407">
        <v>24557</v>
      </c>
      <c r="D7" s="289" t="s">
        <v>317</v>
      </c>
      <c r="E7" s="406" t="s">
        <v>522</v>
      </c>
      <c r="F7" s="203" t="s">
        <v>3604</v>
      </c>
      <c r="G7" s="406" t="s">
        <v>1670</v>
      </c>
      <c r="H7" s="329"/>
      <c r="I7" s="329" t="s">
        <v>519</v>
      </c>
      <c r="J7" s="363" t="s">
        <v>576</v>
      </c>
      <c r="K7" s="329" t="s">
        <v>1186</v>
      </c>
      <c r="L7" s="251" t="s">
        <v>3605</v>
      </c>
    </row>
    <row r="8" spans="1:12" ht="35.25">
      <c r="A8" s="289">
        <v>7</v>
      </c>
      <c r="B8" s="289" t="s">
        <v>3603</v>
      </c>
      <c r="C8" s="407" t="s">
        <v>3587</v>
      </c>
      <c r="D8" s="289" t="s">
        <v>317</v>
      </c>
      <c r="E8" s="329" t="s">
        <v>3506</v>
      </c>
      <c r="F8" s="203" t="s">
        <v>3606</v>
      </c>
      <c r="G8" s="406" t="s">
        <v>1670</v>
      </c>
      <c r="H8" s="329"/>
      <c r="I8" s="329" t="s">
        <v>519</v>
      </c>
      <c r="J8" s="329" t="s">
        <v>1671</v>
      </c>
      <c r="K8" s="329" t="s">
        <v>1186</v>
      </c>
      <c r="L8" s="251" t="s">
        <v>3607</v>
      </c>
    </row>
  </sheetData>
  <dataValidations count="10">
    <dataValidation type="list" allowBlank="1" showErrorMessage="1" sqref="N9:N10" xr:uid="{338E3FC9-C597-4909-96EC-B24E9170BAAA}">
      <formula1>$A$2:$A$10</formula1>
    </dataValidation>
    <dataValidation type="list" allowBlank="1" showErrorMessage="1" sqref="M9" xr:uid="{9DE88658-364C-4505-87DF-B9BF5A867EE7}">
      <formula1>"Open,Inprogress,Closed/Rejected"</formula1>
    </dataValidation>
    <dataValidation type="list" allowBlank="1" showErrorMessage="1" sqref="K9:K10" xr:uid="{75488254-9327-4BCC-AD58-0E5B1FF22E20}">
      <formula1>"Manual, Automation"</formula1>
    </dataValidation>
    <dataValidation type="list" allowBlank="1" showErrorMessage="1" sqref="H9" xr:uid="{46BE6430-5937-48CE-8157-42AC9D144583}">
      <formula1>"Bounceback/Sub-Defect,Defect,None"</formula1>
    </dataValidation>
    <dataValidation type="list" allowBlank="1" showErrorMessage="1" sqref="H10 E3:E7" xr:uid="{49D7DD14-A400-49EE-978C-4287B2866DBB}">
      <formula1>"Bounceback,Defect,None"</formula1>
    </dataValidation>
    <dataValidation type="list" allowBlank="1" showErrorMessage="1" sqref="J9:J10 G2:G8" xr:uid="{53BA9EDE-BD15-42B6-9A1C-4BD5B477A034}">
      <formula1>"Minor,Significant,Major"</formula1>
    </dataValidation>
    <dataValidation type="list" allowBlank="1" showErrorMessage="1" sqref="M10 J2:J8" xr:uid="{2D8D477C-77F3-4161-BBA3-83A24A09817F}">
      <formula1>"Open,Inprogress,Closed"</formula1>
    </dataValidation>
    <dataValidation type="list" allowBlank="1" showErrorMessage="1" sqref="L9:L10 H2:I8" xr:uid="{6B2CA85E-65E7-4B54-AB8B-46E730DB4EE4}">
      <formula1>"Internal,External"</formula1>
    </dataValidation>
    <dataValidation type="list" allowBlank="1" showErrorMessage="1" sqref="E2 E8" xr:uid="{C764336B-F214-4C46-BFFE-F1042C93C08A}">
      <formula1>"Bounceback,Defect,DefectFromEscalation,None"</formula1>
    </dataValidation>
    <dataValidation type="list" allowBlank="1" showInputMessage="1" showErrorMessage="1" sqref="D2:D8" xr:uid="{14D1CCCE-F335-4E10-A497-C1E1F3D980D7}">
      <formula1>"Qadir,Rijo,Karthik, Rijo-Karthik, Qadir-Rijo-Karthik"</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68027E63-BCA9-4D23-BB1B-9B6AF828A1BE}">
          <x14:formula1>
            <xm:f>Details!$A$2:$A$10</xm:f>
          </x14:formula1>
          <xm:sqref>K2:K8</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02ED4-3D41-49B2-BD61-780CDDD11D48}">
  <dimension ref="A1:AM29"/>
  <sheetViews>
    <sheetView workbookViewId="0">
      <pane ySplit="1" topLeftCell="A2" activePane="bottomLeft" state="frozen"/>
      <selection pane="bottomLeft" activeCell="E4" sqref="E4"/>
    </sheetView>
  </sheetViews>
  <sheetFormatPr defaultRowHeight="12.75"/>
  <cols>
    <col min="1" max="1" width="7" style="310" customWidth="1"/>
    <col min="2" max="2" width="12.7109375" style="310" customWidth="1"/>
    <col min="3" max="3" width="12.28515625" style="310" customWidth="1"/>
    <col min="4" max="4" width="10.140625" style="310" customWidth="1"/>
    <col min="5" max="5" width="14.5703125" style="378" customWidth="1"/>
    <col min="6" max="6" width="14.140625" style="111" customWidth="1"/>
    <col min="7" max="7" width="13.28515625" style="111" customWidth="1"/>
    <col min="8" max="8" width="58.5703125" style="282" customWidth="1"/>
    <col min="9" max="9" width="22.85546875" style="111" customWidth="1"/>
    <col min="10" max="10" width="15.42578125" style="111" customWidth="1"/>
    <col min="11" max="12" width="14.42578125" style="111" customWidth="1"/>
    <col min="13" max="13" width="12.42578125" style="282" customWidth="1"/>
    <col min="14" max="14" width="13.85546875" style="282" customWidth="1"/>
    <col min="15" max="15" width="23.140625" style="311" customWidth="1"/>
    <col min="16" max="16" width="15.5703125" style="282" customWidth="1"/>
    <col min="17" max="17" width="22.140625" style="282" customWidth="1"/>
    <col min="18" max="18" width="31.5703125" style="282" customWidth="1"/>
    <col min="19" max="19" width="12.7109375" style="282" customWidth="1"/>
    <col min="20" max="20" width="13.42578125" style="282" customWidth="1"/>
    <col min="21" max="21" width="13.7109375" style="282" customWidth="1"/>
    <col min="22" max="22" width="23.7109375" style="282" customWidth="1"/>
    <col min="23" max="23" width="26" style="282" customWidth="1"/>
    <col min="24" max="24" width="17.140625" style="282" customWidth="1"/>
    <col min="25" max="25" width="19.85546875" style="282" customWidth="1"/>
    <col min="26" max="26" width="27.140625" style="311" customWidth="1"/>
    <col min="27" max="27" width="65.140625" style="282" customWidth="1"/>
    <col min="28" max="28" width="68.140625" style="282" customWidth="1"/>
    <col min="29" max="31" width="30.7109375" style="311" customWidth="1"/>
    <col min="32" max="37" width="25.42578125" style="311" customWidth="1"/>
    <col min="38" max="38" width="14.85546875" style="282" customWidth="1"/>
    <col min="39" max="39" width="16.42578125" style="282" bestFit="1" customWidth="1"/>
    <col min="40" max="16384" width="9.140625" style="282"/>
  </cols>
  <sheetData>
    <row r="1" spans="1:39" ht="27">
      <c r="A1" s="338" t="s">
        <v>266</v>
      </c>
      <c r="B1" s="108" t="s">
        <v>4</v>
      </c>
      <c r="C1" s="108" t="s">
        <v>2</v>
      </c>
      <c r="D1" s="108" t="s">
        <v>3</v>
      </c>
      <c r="E1" s="338" t="s">
        <v>278</v>
      </c>
      <c r="F1" s="338" t="s">
        <v>269</v>
      </c>
      <c r="G1" s="338" t="s">
        <v>279</v>
      </c>
      <c r="H1" s="338" t="s">
        <v>280</v>
      </c>
      <c r="I1" s="338" t="s">
        <v>275</v>
      </c>
      <c r="J1" s="338" t="s">
        <v>3608</v>
      </c>
      <c r="K1" s="338" t="s">
        <v>3609</v>
      </c>
      <c r="L1" s="338" t="s">
        <v>283</v>
      </c>
      <c r="M1" s="338" t="s">
        <v>286</v>
      </c>
      <c r="N1" s="338" t="s">
        <v>287</v>
      </c>
      <c r="O1" s="338" t="s">
        <v>288</v>
      </c>
      <c r="P1" s="338" t="s">
        <v>289</v>
      </c>
      <c r="Q1" s="338" t="s">
        <v>290</v>
      </c>
      <c r="R1" s="338" t="s">
        <v>291</v>
      </c>
      <c r="S1" s="339" t="s">
        <v>292</v>
      </c>
      <c r="T1" s="339" t="s">
        <v>293</v>
      </c>
      <c r="U1" s="338" t="s">
        <v>294</v>
      </c>
      <c r="V1" s="338" t="s">
        <v>295</v>
      </c>
      <c r="W1" s="338" t="s">
        <v>296</v>
      </c>
      <c r="X1" s="339" t="s">
        <v>297</v>
      </c>
      <c r="Y1" s="338" t="s">
        <v>298</v>
      </c>
      <c r="Z1" s="338" t="s">
        <v>299</v>
      </c>
      <c r="AA1" s="338" t="s">
        <v>300</v>
      </c>
      <c r="AB1" s="340" t="s">
        <v>277</v>
      </c>
      <c r="AC1" s="346" t="s">
        <v>3610</v>
      </c>
      <c r="AD1" s="346" t="s">
        <v>3611</v>
      </c>
      <c r="AE1" s="346" t="s">
        <v>3612</v>
      </c>
      <c r="AF1" s="346" t="s">
        <v>3613</v>
      </c>
      <c r="AG1" s="346" t="s">
        <v>3614</v>
      </c>
      <c r="AH1" s="346" t="s">
        <v>3615</v>
      </c>
      <c r="AI1" s="346" t="s">
        <v>3616</v>
      </c>
      <c r="AJ1" s="346" t="s">
        <v>3617</v>
      </c>
      <c r="AK1" s="346" t="s">
        <v>3618</v>
      </c>
      <c r="AL1" s="371" t="s">
        <v>3619</v>
      </c>
      <c r="AM1" s="371" t="s">
        <v>3620</v>
      </c>
    </row>
    <row r="2" spans="1:39" ht="127.5">
      <c r="A2" s="282">
        <v>1</v>
      </c>
      <c r="B2" s="282" t="str">
        <f>Dashboard!$J$1</f>
        <v>MSB Accounting</v>
      </c>
      <c r="C2" s="331">
        <v>45672</v>
      </c>
      <c r="D2" s="331">
        <v>45685</v>
      </c>
      <c r="E2" s="111" t="s">
        <v>87</v>
      </c>
      <c r="F2" s="282" t="s">
        <v>1692</v>
      </c>
      <c r="G2" s="111">
        <v>46566</v>
      </c>
      <c r="H2" s="282" t="s">
        <v>3621</v>
      </c>
      <c r="I2" s="389" t="s">
        <v>306</v>
      </c>
      <c r="J2" s="111">
        <v>3</v>
      </c>
      <c r="K2" s="111">
        <v>3</v>
      </c>
      <c r="M2" t="s">
        <v>12</v>
      </c>
      <c r="N2" t="s">
        <v>313</v>
      </c>
      <c r="O2" t="s">
        <v>316</v>
      </c>
      <c r="P2" t="s">
        <v>317</v>
      </c>
      <c r="Q2" s="100" t="s">
        <v>3622</v>
      </c>
      <c r="R2" s="369" t="s">
        <v>3623</v>
      </c>
      <c r="S2" s="331">
        <v>45679</v>
      </c>
      <c r="T2" s="331">
        <v>45679</v>
      </c>
      <c r="U2" s="251" t="s">
        <v>12</v>
      </c>
      <c r="V2" s="311" t="s">
        <v>434</v>
      </c>
      <c r="W2" s="282" t="s">
        <v>12</v>
      </c>
      <c r="X2" s="282" t="str">
        <f>UPPER(MID(Table2567[[#This Row],[1/15/2025]], 53, 2))</f>
        <v>NA</v>
      </c>
      <c r="Y2" s="282" t="s">
        <v>3226</v>
      </c>
      <c r="Z2" s="251" t="s">
        <v>3624</v>
      </c>
      <c r="AA2" s="282" t="s">
        <v>115</v>
      </c>
      <c r="AB2" s="251" t="s">
        <v>12</v>
      </c>
      <c r="AC2" s="282" t="s">
        <v>3625</v>
      </c>
      <c r="AD2" s="251" t="s">
        <v>3626</v>
      </c>
      <c r="AE2" s="251"/>
      <c r="AF2" s="251" t="s">
        <v>3627</v>
      </c>
      <c r="AG2" s="251" t="s">
        <v>3628</v>
      </c>
      <c r="AH2" s="251" t="s">
        <v>3629</v>
      </c>
      <c r="AI2" s="251"/>
      <c r="AJ2" s="251" t="s">
        <v>3630</v>
      </c>
      <c r="AK2" s="251" t="s">
        <v>3631</v>
      </c>
      <c r="AL2" s="282" t="s">
        <v>1484</v>
      </c>
    </row>
    <row r="3" spans="1:39" ht="58.5">
      <c r="A3" s="282">
        <v>2</v>
      </c>
      <c r="B3" s="331" t="str">
        <f>Dashboard!$J$1</f>
        <v>MSB Accounting</v>
      </c>
      <c r="C3" s="331">
        <v>45672</v>
      </c>
      <c r="D3" s="331">
        <v>45685</v>
      </c>
      <c r="E3" s="391" t="s">
        <v>87</v>
      </c>
      <c r="F3" s="331" t="s">
        <v>317</v>
      </c>
      <c r="G3" s="111">
        <v>46588</v>
      </c>
      <c r="H3" s="331" t="s">
        <v>3632</v>
      </c>
      <c r="I3" s="389" t="s">
        <v>306</v>
      </c>
      <c r="J3" s="111">
        <v>8</v>
      </c>
      <c r="K3" s="111">
        <v>8</v>
      </c>
      <c r="M3" s="282" t="s">
        <v>12</v>
      </c>
      <c r="N3" s="282" t="s">
        <v>315</v>
      </c>
      <c r="O3" s="282" t="s">
        <v>316</v>
      </c>
      <c r="P3" s="282" t="s">
        <v>315</v>
      </c>
      <c r="Q3" s="311" t="s">
        <v>3226</v>
      </c>
      <c r="R3" s="343" t="s">
        <v>3633</v>
      </c>
      <c r="S3" s="331">
        <v>45680</v>
      </c>
      <c r="T3" s="331">
        <v>45680</v>
      </c>
      <c r="W3" s="282" t="s">
        <v>12</v>
      </c>
      <c r="X3" s="282" t="str">
        <f>UPPER(MID(Table2567[[#This Row],[1/15/2025]], 53, 2))</f>
        <v>CE</v>
      </c>
      <c r="Y3" s="282" t="s">
        <v>3226</v>
      </c>
      <c r="Z3" s="251" t="s">
        <v>3624</v>
      </c>
      <c r="AA3" s="311" t="s">
        <v>2516</v>
      </c>
      <c r="AB3" s="251" t="s">
        <v>3634</v>
      </c>
      <c r="AC3" s="282" t="s">
        <v>3635</v>
      </c>
      <c r="AD3" s="251" t="s">
        <v>3636</v>
      </c>
      <c r="AE3" s="251" t="s">
        <v>3637</v>
      </c>
      <c r="AF3" s="251" t="s">
        <v>494</v>
      </c>
      <c r="AG3" s="251" t="s">
        <v>494</v>
      </c>
      <c r="AH3" s="251" t="s">
        <v>3638</v>
      </c>
      <c r="AI3" s="251"/>
      <c r="AJ3" s="251" t="s">
        <v>3639</v>
      </c>
      <c r="AK3" s="251" t="s">
        <v>3640</v>
      </c>
      <c r="AL3" s="282" t="s">
        <v>3641</v>
      </c>
      <c r="AM3" s="311" t="s">
        <v>3642</v>
      </c>
    </row>
    <row r="4" spans="1:39" ht="46.5">
      <c r="A4" s="282">
        <v>3</v>
      </c>
      <c r="B4" s="331" t="str">
        <f>Dashboard!$J$1</f>
        <v>MSB Accounting</v>
      </c>
      <c r="C4" s="331">
        <v>45672</v>
      </c>
      <c r="D4" s="331">
        <v>45685</v>
      </c>
      <c r="E4" s="391" t="s">
        <v>87</v>
      </c>
      <c r="F4" s="282" t="s">
        <v>313</v>
      </c>
      <c r="G4" s="392">
        <v>44288</v>
      </c>
      <c r="H4" t="s">
        <v>3643</v>
      </c>
      <c r="I4" s="389" t="s">
        <v>306</v>
      </c>
      <c r="J4" s="111">
        <v>5</v>
      </c>
      <c r="K4" s="111">
        <v>5</v>
      </c>
      <c r="M4" s="282" t="s">
        <v>12</v>
      </c>
      <c r="N4" s="282" t="s">
        <v>315</v>
      </c>
      <c r="O4" s="282" t="s">
        <v>316</v>
      </c>
      <c r="P4" s="282" t="s">
        <v>317</v>
      </c>
      <c r="Q4" s="311" t="s">
        <v>3226</v>
      </c>
      <c r="R4" s="369" t="s">
        <v>3644</v>
      </c>
      <c r="S4" s="331">
        <v>45679</v>
      </c>
      <c r="T4" s="331">
        <v>45679</v>
      </c>
      <c r="U4" s="251" t="s">
        <v>12</v>
      </c>
      <c r="V4" s="311" t="s">
        <v>3226</v>
      </c>
      <c r="W4" s="282" t="s">
        <v>12</v>
      </c>
      <c r="X4" s="282" t="s">
        <v>320</v>
      </c>
      <c r="Y4" s="311" t="s">
        <v>3226</v>
      </c>
      <c r="Z4" s="251" t="s">
        <v>3624</v>
      </c>
      <c r="AA4" s="311" t="s">
        <v>3645</v>
      </c>
      <c r="AB4" s="251" t="s">
        <v>12</v>
      </c>
      <c r="AC4" s="251"/>
      <c r="AD4" s="251" t="s">
        <v>3646</v>
      </c>
      <c r="AE4" s="251" t="s">
        <v>3647</v>
      </c>
      <c r="AF4" s="251" t="s">
        <v>3648</v>
      </c>
      <c r="AG4" s="311" t="s">
        <v>3649</v>
      </c>
      <c r="AH4" s="251" t="s">
        <v>3650</v>
      </c>
      <c r="AI4" s="251"/>
      <c r="AJ4" s="251" t="s">
        <v>3651</v>
      </c>
      <c r="AK4" s="251" t="s">
        <v>3652</v>
      </c>
      <c r="AL4" s="311" t="s">
        <v>1484</v>
      </c>
    </row>
    <row r="5" spans="1:39" ht="69">
      <c r="A5" s="282">
        <v>4</v>
      </c>
      <c r="B5" s="331" t="str">
        <f>Dashboard!$J$1</f>
        <v>MSB Accounting</v>
      </c>
      <c r="C5" s="331">
        <v>45672</v>
      </c>
      <c r="D5" s="331">
        <v>45685</v>
      </c>
      <c r="E5" s="391" t="s">
        <v>87</v>
      </c>
      <c r="F5" s="282" t="s">
        <v>2432</v>
      </c>
      <c r="G5" s="111" t="s">
        <v>3653</v>
      </c>
      <c r="H5" s="282" t="s">
        <v>3604</v>
      </c>
      <c r="I5" s="390" t="s">
        <v>1117</v>
      </c>
      <c r="O5" s="282"/>
      <c r="Q5"/>
      <c r="R5" s="343"/>
      <c r="S5" s="331"/>
      <c r="T5" s="331"/>
      <c r="X5" s="331" t="str">
        <f>UPPER(MID(Table2567[[#This Row],[1/15/2025]], 53, 2))</f>
        <v/>
      </c>
      <c r="AB5" s="251" t="s">
        <v>3654</v>
      </c>
      <c r="AC5" s="251"/>
      <c r="AD5" s="251"/>
      <c r="AE5" s="251"/>
      <c r="AF5" s="251" t="s">
        <v>3655</v>
      </c>
      <c r="AG5" s="251" t="s">
        <v>3656</v>
      </c>
      <c r="AH5" s="251" t="s">
        <v>3657</v>
      </c>
      <c r="AI5" s="251"/>
      <c r="AJ5" s="251" t="s">
        <v>3658</v>
      </c>
      <c r="AK5" s="251" t="s">
        <v>3659</v>
      </c>
    </row>
    <row r="6" spans="1:39" ht="35.25">
      <c r="A6" s="282">
        <v>5</v>
      </c>
      <c r="B6" s="331" t="str">
        <f>Dashboard!$J$1</f>
        <v>MSB Accounting</v>
      </c>
      <c r="C6" s="331">
        <v>45672</v>
      </c>
      <c r="D6" s="331">
        <v>45685</v>
      </c>
      <c r="E6" s="391" t="s">
        <v>87</v>
      </c>
      <c r="F6" s="282" t="s">
        <v>3660</v>
      </c>
      <c r="G6" s="111">
        <v>46939</v>
      </c>
      <c r="H6" s="311" t="s">
        <v>3661</v>
      </c>
      <c r="I6" s="390" t="s">
        <v>399</v>
      </c>
      <c r="J6" s="111">
        <v>3</v>
      </c>
      <c r="M6" s="282" t="s">
        <v>1205</v>
      </c>
      <c r="N6" s="282" t="s">
        <v>115</v>
      </c>
      <c r="O6" s="282"/>
      <c r="Q6"/>
      <c r="R6" s="343"/>
      <c r="S6" s="345"/>
      <c r="T6" s="345"/>
      <c r="X6" s="282" t="str">
        <f>UPPER(MID(Table2567[[#This Row],[1/15/2025]], 53, 2))</f>
        <v/>
      </c>
      <c r="AB6" s="251" t="s">
        <v>3662</v>
      </c>
      <c r="AC6" s="251"/>
      <c r="AD6" s="251"/>
      <c r="AE6" s="251"/>
      <c r="AF6" s="251"/>
      <c r="AG6" s="251"/>
      <c r="AH6" s="251" t="s">
        <v>3663</v>
      </c>
      <c r="AI6" s="251"/>
      <c r="AJ6" s="251"/>
      <c r="AK6" s="251" t="s">
        <v>3664</v>
      </c>
      <c r="AL6" s="282" t="s">
        <v>3665</v>
      </c>
      <c r="AM6" s="311" t="s">
        <v>3666</v>
      </c>
    </row>
    <row r="7" spans="1:39" ht="81">
      <c r="A7" s="282">
        <v>6</v>
      </c>
      <c r="B7" s="331" t="str">
        <f>Dashboard!$J$1</f>
        <v>MSB Accounting</v>
      </c>
      <c r="C7" s="331">
        <v>45672</v>
      </c>
      <c r="D7" s="331">
        <v>45685</v>
      </c>
      <c r="E7" s="395" t="s">
        <v>3667</v>
      </c>
      <c r="F7" s="282" t="s">
        <v>315</v>
      </c>
      <c r="G7" s="393">
        <v>46977</v>
      </c>
      <c r="H7" s="282" t="s">
        <v>3668</v>
      </c>
      <c r="I7" s="389" t="s">
        <v>306</v>
      </c>
      <c r="J7" s="111">
        <v>3</v>
      </c>
      <c r="K7" s="111">
        <v>3</v>
      </c>
      <c r="M7" s="282" t="s">
        <v>12</v>
      </c>
      <c r="N7" s="282" t="s">
        <v>313</v>
      </c>
      <c r="O7" s="282" t="s">
        <v>316</v>
      </c>
      <c r="P7" s="282" t="s">
        <v>317</v>
      </c>
      <c r="Q7" t="s">
        <v>115</v>
      </c>
      <c r="R7" s="343" t="s">
        <v>3669</v>
      </c>
      <c r="S7" s="331">
        <v>45679</v>
      </c>
      <c r="T7" s="331">
        <v>45679</v>
      </c>
      <c r="U7" s="282" t="s">
        <v>12</v>
      </c>
      <c r="V7" s="282" t="s">
        <v>434</v>
      </c>
      <c r="W7" s="282" t="s">
        <v>12</v>
      </c>
      <c r="X7" s="282" t="s">
        <v>320</v>
      </c>
      <c r="Y7" s="282" t="s">
        <v>3226</v>
      </c>
      <c r="AA7" s="282" t="s">
        <v>115</v>
      </c>
      <c r="AB7" s="311" t="s">
        <v>3670</v>
      </c>
      <c r="AC7" s="251"/>
      <c r="AH7" s="311" t="s">
        <v>3671</v>
      </c>
      <c r="AJ7" s="311" t="s">
        <v>3672</v>
      </c>
      <c r="AK7" s="311" t="s">
        <v>3673</v>
      </c>
      <c r="AL7" s="282" t="s">
        <v>3674</v>
      </c>
      <c r="AM7" s="311" t="s">
        <v>3642</v>
      </c>
    </row>
    <row r="8" spans="1:39" ht="104.25">
      <c r="A8" s="282">
        <v>7</v>
      </c>
      <c r="B8" s="282" t="str">
        <f>Dashboard!$J$1</f>
        <v>MSB Accounting</v>
      </c>
      <c r="C8" s="331">
        <f ca="1">Dashboard!$F$1</f>
        <v>46148</v>
      </c>
      <c r="D8" s="331">
        <f ca="1">Dashboard!$H$1</f>
        <v>46161</v>
      </c>
      <c r="E8" s="391" t="s">
        <v>87</v>
      </c>
      <c r="F8" s="282" t="s">
        <v>2038</v>
      </c>
      <c r="G8" s="111">
        <v>85807</v>
      </c>
      <c r="H8" s="311" t="s">
        <v>3675</v>
      </c>
      <c r="I8" s="390" t="s">
        <v>1205</v>
      </c>
      <c r="J8" s="378" t="s">
        <v>3676</v>
      </c>
      <c r="K8" s="111">
        <v>4</v>
      </c>
      <c r="O8" s="282"/>
      <c r="R8" s="369" t="s">
        <v>3677</v>
      </c>
      <c r="S8" s="331">
        <v>45678</v>
      </c>
      <c r="T8" s="331">
        <v>45678</v>
      </c>
      <c r="U8" s="282" t="s">
        <v>12</v>
      </c>
      <c r="W8" s="282" t="s">
        <v>12</v>
      </c>
      <c r="X8" s="282" t="str">
        <f>UPPER(MID(Table2567[[#This Row],[1/15/2025]], 53, 2))</f>
        <v/>
      </c>
      <c r="AA8" s="311" t="s">
        <v>3678</v>
      </c>
      <c r="AB8" s="311" t="s">
        <v>3679</v>
      </c>
      <c r="AM8" s="282" t="s">
        <v>3680</v>
      </c>
    </row>
    <row r="9" spans="1:39" ht="69">
      <c r="A9"/>
      <c r="B9"/>
      <c r="C9"/>
      <c r="D9"/>
      <c r="E9" s="394"/>
      <c r="F9"/>
      <c r="G9" s="394"/>
      <c r="H9"/>
      <c r="I9" s="390"/>
      <c r="O9" s="282"/>
      <c r="Q9"/>
      <c r="R9" s="343"/>
      <c r="S9" s="345"/>
      <c r="T9" s="345"/>
      <c r="X9" s="282" t="str">
        <f>UPPER(MID(Table2567[[#This Row],[1/15/2025]], 53, 2))</f>
        <v xml:space="preserve"> T</v>
      </c>
      <c r="AB9" s="311" t="s">
        <v>3681</v>
      </c>
      <c r="AC9" s="311" t="s">
        <v>3682</v>
      </c>
      <c r="AD9" s="311" t="s">
        <v>3681</v>
      </c>
      <c r="AE9" s="311" t="s">
        <v>3683</v>
      </c>
      <c r="AF9" s="311" t="s">
        <v>3684</v>
      </c>
      <c r="AG9" s="311" t="s">
        <v>3685</v>
      </c>
      <c r="AH9" s="311" t="s">
        <v>3686</v>
      </c>
      <c r="AI9" s="311" t="s">
        <v>3687</v>
      </c>
    </row>
    <row r="10" spans="1:39">
      <c r="A10" s="282"/>
      <c r="B10" s="282"/>
      <c r="C10" s="331"/>
      <c r="D10" s="331"/>
      <c r="E10" s="111"/>
      <c r="F10" s="282"/>
      <c r="G10" s="392"/>
      <c r="H10" s="311"/>
      <c r="I10" s="390"/>
      <c r="O10" s="282"/>
      <c r="Q10"/>
      <c r="X10" s="282" t="str">
        <f>UPPER(MID(Table2567[[#This Row],[1/15/2025]], 53, 2))</f>
        <v/>
      </c>
      <c r="AB10" s="311"/>
    </row>
    <row r="11" spans="1:39">
      <c r="A11" s="282"/>
      <c r="B11" s="282"/>
      <c r="C11" s="331"/>
      <c r="D11" s="331"/>
      <c r="E11" s="111"/>
      <c r="F11" s="282"/>
      <c r="H11" s="311"/>
      <c r="I11" s="390"/>
      <c r="O11" s="282"/>
      <c r="Q11"/>
      <c r="X11" s="282" t="str">
        <f>UPPER(MID(Table2567[[#This Row],[1/15/2025]], 53, 2))</f>
        <v/>
      </c>
    </row>
    <row r="12" spans="1:39">
      <c r="A12" s="282"/>
      <c r="B12" s="282"/>
      <c r="C12" s="331"/>
      <c r="D12" s="331"/>
      <c r="E12" s="111"/>
      <c r="F12" s="282"/>
      <c r="I12" s="390"/>
      <c r="O12" s="282"/>
      <c r="Q12"/>
      <c r="X12" s="282" t="str">
        <f>UPPER(MID(Table2567[[#This Row],[1/15/2025]], 53, 2))</f>
        <v/>
      </c>
    </row>
    <row r="13" spans="1:39">
      <c r="A13" s="282"/>
      <c r="B13" s="282"/>
      <c r="C13" s="331"/>
      <c r="D13" s="331"/>
      <c r="E13" s="111"/>
      <c r="F13" s="282"/>
      <c r="I13" s="390"/>
      <c r="O13" s="282"/>
      <c r="Q13"/>
    </row>
    <row r="14" spans="1:39">
      <c r="A14" s="282"/>
      <c r="B14" s="282"/>
      <c r="C14" s="282"/>
      <c r="D14" s="282"/>
      <c r="E14" s="111"/>
      <c r="F14" s="282"/>
      <c r="O14" s="282"/>
    </row>
    <row r="15" spans="1:39">
      <c r="A15" s="282"/>
      <c r="B15" s="282"/>
      <c r="C15" s="282"/>
      <c r="D15" s="282"/>
      <c r="E15" s="111"/>
      <c r="F15" s="282"/>
      <c r="O15" s="282"/>
    </row>
    <row r="16" spans="1:39">
      <c r="A16" s="282"/>
      <c r="B16" s="282"/>
      <c r="C16" s="282"/>
      <c r="D16" s="282"/>
      <c r="E16" s="111"/>
      <c r="F16" s="282"/>
      <c r="O16" s="282"/>
    </row>
    <row r="17" spans="1:15">
      <c r="A17" s="282"/>
      <c r="B17" s="282"/>
      <c r="C17" s="282"/>
      <c r="D17" s="282"/>
      <c r="E17" s="111"/>
      <c r="F17" s="282"/>
      <c r="O17" s="282"/>
    </row>
    <row r="18" spans="1:15">
      <c r="A18" s="282"/>
      <c r="B18" s="282"/>
      <c r="C18" s="282"/>
      <c r="D18" s="282"/>
      <c r="E18" s="111"/>
      <c r="F18" s="282"/>
      <c r="O18" s="282"/>
    </row>
    <row r="19" spans="1:15">
      <c r="A19" s="282"/>
      <c r="B19" s="282"/>
      <c r="C19" s="282"/>
      <c r="D19" s="282"/>
      <c r="E19" s="111"/>
      <c r="F19" s="282"/>
      <c r="O19" s="282"/>
    </row>
    <row r="20" spans="1:15">
      <c r="A20" s="282"/>
      <c r="B20" s="282"/>
      <c r="C20" s="282"/>
      <c r="D20" s="282"/>
      <c r="E20" s="111"/>
      <c r="F20" s="282"/>
      <c r="O20" s="282"/>
    </row>
    <row r="21" spans="1:15">
      <c r="A21" s="282"/>
      <c r="B21" s="282"/>
      <c r="C21" s="282"/>
      <c r="D21" s="282"/>
      <c r="E21" s="111"/>
      <c r="F21" s="282"/>
      <c r="O21" s="282"/>
    </row>
    <row r="22" spans="1:15">
      <c r="A22" s="282"/>
      <c r="B22" s="282"/>
      <c r="C22" s="282"/>
      <c r="D22" s="282"/>
      <c r="E22" s="111"/>
      <c r="F22" s="282"/>
      <c r="O22" s="282"/>
    </row>
    <row r="23" spans="1:15">
      <c r="A23" s="282"/>
      <c r="B23" s="282"/>
      <c r="C23" s="282"/>
      <c r="D23" s="282"/>
      <c r="E23" s="111"/>
      <c r="F23" s="282"/>
      <c r="O23" s="282"/>
    </row>
    <row r="24" spans="1:15">
      <c r="A24" s="282"/>
      <c r="B24" s="282"/>
      <c r="C24" s="282"/>
      <c r="D24" s="282"/>
      <c r="E24" s="111"/>
      <c r="F24" s="282"/>
      <c r="O24" s="282"/>
    </row>
    <row r="25" spans="1:15">
      <c r="A25" s="282"/>
      <c r="B25" s="282"/>
      <c r="C25" s="282"/>
      <c r="D25" s="282"/>
      <c r="E25" s="111"/>
      <c r="F25" s="282"/>
      <c r="O25" s="282"/>
    </row>
    <row r="26" spans="1:15">
      <c r="A26" s="282"/>
      <c r="B26" s="282"/>
      <c r="C26" s="282"/>
      <c r="D26" s="282"/>
      <c r="E26" s="111"/>
      <c r="F26" s="282"/>
      <c r="O26" s="282"/>
    </row>
    <row r="27" spans="1:15">
      <c r="A27" s="282"/>
      <c r="B27" s="282"/>
      <c r="C27" s="282"/>
      <c r="D27" s="282"/>
      <c r="E27" s="111"/>
      <c r="F27" s="282"/>
      <c r="O27" s="282"/>
    </row>
    <row r="28" spans="1:15">
      <c r="A28" s="282"/>
      <c r="B28" s="282"/>
      <c r="C28" s="282"/>
      <c r="D28" s="282"/>
      <c r="E28" s="111"/>
      <c r="F28" s="282"/>
      <c r="O28" s="282"/>
    </row>
    <row r="29" spans="1:15">
      <c r="A29" s="282"/>
      <c r="B29" s="282"/>
      <c r="C29" s="282"/>
      <c r="D29" s="282"/>
      <c r="E29" s="111"/>
      <c r="F29" s="282"/>
      <c r="O29" s="282"/>
    </row>
  </sheetData>
  <conditionalFormatting sqref="J1 I12:I13 I8">
    <cfRule type="containsText" dxfId="209" priority="16" operator="containsText" text="Closed">
      <formula>NOT(ISERROR(SEARCH("Closed",I1)))</formula>
    </cfRule>
    <cfRule type="containsText" dxfId="208" priority="17" operator="containsText" text="Open">
      <formula>NOT(ISERROR(SEARCH("Open",I1)))</formula>
    </cfRule>
    <cfRule type="containsText" dxfId="207" priority="18" operator="containsText" text="Inprogress">
      <formula>NOT(ISERROR(SEARCH("Inprogress",I1)))</formula>
    </cfRule>
  </conditionalFormatting>
  <conditionalFormatting sqref="I10:I11">
    <cfRule type="containsText" dxfId="206" priority="13" operator="containsText" text="Closed">
      <formula>NOT(ISERROR(SEARCH("Closed",I10)))</formula>
    </cfRule>
    <cfRule type="containsText" dxfId="205" priority="14" operator="containsText" text="Open">
      <formula>NOT(ISERROR(SEARCH("Open",I10)))</formula>
    </cfRule>
    <cfRule type="containsText" dxfId="204" priority="15" operator="containsText" text="Inprogress">
      <formula>NOT(ISERROR(SEARCH("Inprogress",I10)))</formula>
    </cfRule>
  </conditionalFormatting>
  <conditionalFormatting sqref="I2:I7">
    <cfRule type="containsText" dxfId="203" priority="10" operator="containsText" text="Closed">
      <formula>NOT(ISERROR(SEARCH("Closed",I2)))</formula>
    </cfRule>
    <cfRule type="containsText" dxfId="202" priority="11" operator="containsText" text="Open">
      <formula>NOT(ISERROR(SEARCH("Open",I2)))</formula>
    </cfRule>
    <cfRule type="containsText" dxfId="201" priority="12" operator="containsText" text="Inprogress">
      <formula>NOT(ISERROR(SEARCH("Inprogress",I2)))</formula>
    </cfRule>
  </conditionalFormatting>
  <conditionalFormatting sqref="I9">
    <cfRule type="containsText" dxfId="200" priority="1" operator="containsText" text="Closed">
      <formula>NOT(ISERROR(SEARCH("Closed",I9)))</formula>
    </cfRule>
    <cfRule type="containsText" dxfId="199" priority="2" operator="containsText" text="Open">
      <formula>NOT(ISERROR(SEARCH("Open",I9)))</formula>
    </cfRule>
    <cfRule type="containsText" dxfId="198" priority="3" operator="containsText" text="Inprogress">
      <formula>NOT(ISERROR(SEARCH("Inprogress",I9)))</formula>
    </cfRule>
  </conditionalFormatting>
  <dataValidations count="14">
    <dataValidation type="list" allowBlank="1" showErrorMessage="1" sqref="I10:I13 I8" xr:uid="{0B012FF2-599F-47E7-9068-C7B434B6C30C}">
      <formula1>"Open,Inprogress,Closed,On Hold"</formula1>
    </dataValidation>
    <dataValidation showErrorMessage="1" sqref="I1" xr:uid="{1199A37C-7124-4800-941C-BD8E85A3921B}"/>
    <dataValidation type="list" allowBlank="1" showErrorMessage="1" sqref="J1" xr:uid="{6AE6C378-BAC5-4E7A-B4D5-64113496C7B4}">
      <formula1>"Open,Inprogress,Closed"</formula1>
    </dataValidation>
    <dataValidation type="list" showErrorMessage="1" sqref="AA1:AB1" xr:uid="{A6C91849-04F5-461A-B12D-1E63D021753F}">
      <formula1>"Pending-Waiting for Customer confirmation, Approved-Satisified AC,Not Approved-New minor changes requested(Back to Dev),NA,TBD"</formula1>
    </dataValidation>
    <dataValidation type="list" showErrorMessage="1" sqref="Z1" xr:uid="{57372F54-1376-4524-BFC6-048E8958691E}">
      <formula1>"Approved-Satisified AC,Not Approved(Back to Dev),NA,TBD"</formula1>
    </dataValidation>
    <dataValidation type="list" showErrorMessage="1" sqref="P1 P4:P13" xr:uid="{166BFB74-5037-48EE-9A24-B0A379ACAB14}">
      <formula1>"Qadir,Rijo,Karthik,None,TBD"</formula1>
    </dataValidation>
    <dataValidation type="list" showErrorMessage="1" sqref="P2:P3 N1:N13" xr:uid="{6F524A61-1286-42B7-B3A8-72F26E3D8B04}">
      <formula1>"Qadir,Rijo,Karthik,Sushmitha,None,TBD"</formula1>
    </dataValidation>
    <dataValidation type="list" showErrorMessage="1" sqref="O1:O7" xr:uid="{7A1EFC41-3E11-47BB-AA99-3E491644199A}">
      <formula1>"Pass,Fail(BacktoDev),DB Script tests in QA DB,TBD"</formula1>
    </dataValidation>
    <dataValidation type="list" showErrorMessage="1" sqref="Y1:Y3 Q1:R1 V1 Y7" xr:uid="{AAFAD263-B192-4C68-BF51-ABD07D932EC2}">
      <formula1>"No issues found,Issues observed(BacktoDev),DB Script tests in QA DB,NA,TBD"</formula1>
    </dataValidation>
    <dataValidation type="list" showErrorMessage="1" sqref="S10:T10 X2 W1:X1 W4:X4 W2:W3 U1:U13 M1:M13 X8 W5:W13" xr:uid="{0229A2D2-AE57-4527-9E0B-FD77334B5326}">
      <formula1>"Open,Inprogress,Completed,TBD,NA"</formula1>
    </dataValidation>
    <dataValidation type="list" allowBlank="1" showErrorMessage="1" sqref="M14:M21" xr:uid="{39D891FE-E17A-4FFD-BD43-B0F89C8912A4}">
      <formula1>"Open,Inprogress,Closed,TBD,NA"</formula1>
    </dataValidation>
    <dataValidation allowBlank="1" showInputMessage="1" showErrorMessage="1" sqref="R2:R4 Y4:Y6 Y9:Y13 Z2:AA10 Q2:Q13 V2:V13" xr:uid="{93BBF001-3C37-4B74-A084-0415A9682D86}"/>
    <dataValidation type="list" allowBlank="1" showErrorMessage="1" sqref="I9" xr:uid="{1A40DE7D-7284-4331-911B-C0520326D01C}">
      <formula1>"Story Completed,Story Being Tested,Story Ready For Testing,Story Peer Review,Product Owner - Verify,Story Being Developed,Story Approved"</formula1>
    </dataValidation>
    <dataValidation type="list" showErrorMessage="1" sqref="O8:O13" xr:uid="{080E6D20-53AA-4764-A7C4-2FE8C8BDB174}">
      <formula1>"Pass,Fail(BacktoDev),DB Script tests in QA DB"</formula1>
    </dataValidation>
  </dataValidations>
  <hyperlinks>
    <hyperlink ref="R2" r:id="rId1" xr:uid="{F8FEC571-59FA-44DA-B1C8-31CAEE207EA3}"/>
    <hyperlink ref="R7" r:id="rId2" xr:uid="{73A31E02-EB16-4D37-A698-725CB7CA5B2B}"/>
    <hyperlink ref="R4" r:id="rId3" xr:uid="{D5B4FC37-DC31-4EB3-89F9-0513C73B61EB}"/>
    <hyperlink ref="R3" r:id="rId4" xr:uid="{7E61BBFF-9C5F-4321-9F51-0BB2712CD47E}"/>
    <hyperlink ref="R8" r:id="rId5" display="https://dev.azure.com/heartlandschools/Accounting/_git/AccountingAutomation/pullrequest/40386" xr:uid="{087F92EC-A654-4BC3-B297-C265A3B99AE8}"/>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F3E4FF58-81EA-4B39-A58D-A5197D9004FF}">
          <x14:formula1>
            <xm:f>Settings!$C$3:$C$20</xm:f>
          </x14:formula1>
          <xm:sqref>I2:I7</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62757-ED3E-4B73-9E6D-1A12281D7F58}">
  <dimension ref="A1:L10"/>
  <sheetViews>
    <sheetView topLeftCell="B1" workbookViewId="0">
      <selection activeCell="J7" sqref="J7"/>
    </sheetView>
  </sheetViews>
  <sheetFormatPr defaultRowHeight="12.75"/>
  <cols>
    <col min="2" max="2" width="8.28515625" customWidth="1"/>
    <col min="3" max="3" width="10.85546875" customWidth="1"/>
    <col min="5" max="5" width="22" customWidth="1"/>
    <col min="6" max="6" width="76.28515625" customWidth="1"/>
    <col min="7" max="7" width="15.42578125" customWidth="1"/>
    <col min="8" max="8" width="9.140625" bestFit="1" customWidth="1"/>
    <col min="9" max="9" width="14.28515625" customWidth="1"/>
    <col min="10" max="10" width="27" customWidth="1"/>
    <col min="11" max="11" width="46.42578125" style="334" customWidth="1"/>
  </cols>
  <sheetData>
    <row r="1" spans="1:12" ht="40.5">
      <c r="A1" s="322" t="s">
        <v>266</v>
      </c>
      <c r="B1" s="323" t="s">
        <v>10</v>
      </c>
      <c r="C1" s="323" t="s">
        <v>267</v>
      </c>
      <c r="D1" s="323" t="s">
        <v>269</v>
      </c>
      <c r="E1" s="323" t="s">
        <v>270</v>
      </c>
      <c r="F1" s="323" t="s">
        <v>271</v>
      </c>
      <c r="G1" s="323" t="s">
        <v>272</v>
      </c>
      <c r="H1" s="323" t="s">
        <v>274</v>
      </c>
      <c r="I1" s="323" t="s">
        <v>275</v>
      </c>
      <c r="J1" s="324" t="s">
        <v>276</v>
      </c>
      <c r="K1" s="332" t="s">
        <v>3688</v>
      </c>
      <c r="L1" s="325" t="s">
        <v>277</v>
      </c>
    </row>
    <row r="2" spans="1:12" s="201" customFormat="1" ht="46.5">
      <c r="A2" s="284">
        <v>1</v>
      </c>
      <c r="B2" s="284" t="s">
        <v>3689</v>
      </c>
      <c r="C2" s="289">
        <v>46566</v>
      </c>
      <c r="D2" s="284" t="s">
        <v>313</v>
      </c>
      <c r="E2" s="329" t="s">
        <v>3503</v>
      </c>
      <c r="F2" s="373" t="s">
        <v>3690</v>
      </c>
      <c r="G2" s="329" t="s">
        <v>1670</v>
      </c>
      <c r="H2" s="329" t="s">
        <v>525</v>
      </c>
      <c r="I2" s="329" t="s">
        <v>576</v>
      </c>
      <c r="J2" s="329" t="s">
        <v>526</v>
      </c>
      <c r="K2" s="284" t="s">
        <v>3691</v>
      </c>
      <c r="L2" s="284"/>
    </row>
    <row r="3" spans="1:12" s="201" customFormat="1" ht="58.5">
      <c r="A3" s="252">
        <v>2</v>
      </c>
      <c r="B3" s="284" t="s">
        <v>3689</v>
      </c>
      <c r="C3" s="256">
        <v>46977</v>
      </c>
      <c r="D3" s="284" t="s">
        <v>315</v>
      </c>
      <c r="E3" s="329" t="s">
        <v>3503</v>
      </c>
      <c r="F3" s="299" t="s">
        <v>3692</v>
      </c>
      <c r="G3" s="329" t="s">
        <v>1670</v>
      </c>
      <c r="H3" s="329" t="s">
        <v>525</v>
      </c>
      <c r="I3" s="329" t="s">
        <v>576</v>
      </c>
      <c r="J3" s="329" t="s">
        <v>526</v>
      </c>
      <c r="K3" s="252" t="s">
        <v>3693</v>
      </c>
      <c r="L3" s="122"/>
    </row>
    <row r="4" spans="1:12" s="201" customFormat="1">
      <c r="A4" s="252"/>
      <c r="B4" s="284"/>
      <c r="C4" s="256"/>
      <c r="D4" s="284"/>
      <c r="E4" s="329"/>
      <c r="F4" s="375"/>
      <c r="G4" s="329"/>
      <c r="H4" s="329"/>
      <c r="I4" s="329"/>
      <c r="J4" s="329"/>
      <c r="K4" s="122"/>
      <c r="L4" s="122"/>
    </row>
    <row r="5" spans="1:12" s="201" customFormat="1">
      <c r="A5" s="146"/>
      <c r="B5" s="146"/>
      <c r="C5" s="197"/>
      <c r="D5" s="197"/>
      <c r="E5" s="197"/>
      <c r="F5" s="197"/>
      <c r="G5" s="197"/>
      <c r="H5" s="197"/>
      <c r="I5" s="165"/>
      <c r="J5" s="165"/>
      <c r="K5" s="197"/>
      <c r="L5" s="197"/>
    </row>
    <row r="6" spans="1:12">
      <c r="A6" s="235"/>
      <c r="B6" s="235"/>
      <c r="C6" s="93"/>
      <c r="D6" s="93"/>
      <c r="E6" s="93"/>
      <c r="F6" s="93"/>
      <c r="G6" s="93"/>
      <c r="H6" s="93"/>
      <c r="I6" s="236"/>
      <c r="J6" s="236"/>
      <c r="K6" s="93"/>
      <c r="L6" s="93"/>
    </row>
    <row r="7" spans="1:12">
      <c r="A7" s="235"/>
      <c r="B7" s="235"/>
      <c r="C7" s="93"/>
      <c r="D7" s="93"/>
      <c r="E7" s="93"/>
      <c r="F7" s="93"/>
      <c r="G7" s="93"/>
      <c r="H7" s="236"/>
      <c r="I7" s="93"/>
      <c r="J7" s="236"/>
      <c r="K7" s="93"/>
      <c r="L7" s="93"/>
    </row>
    <row r="8" spans="1:12">
      <c r="A8" s="235"/>
      <c r="B8" s="235"/>
      <c r="C8" s="93"/>
      <c r="D8" s="93"/>
      <c r="E8" s="93"/>
      <c r="F8" s="93"/>
      <c r="G8" s="93"/>
      <c r="H8" s="236"/>
      <c r="I8" s="236"/>
      <c r="J8" s="236"/>
      <c r="K8" s="93"/>
      <c r="L8" s="93"/>
    </row>
    <row r="9" spans="1:12">
      <c r="A9" s="235"/>
      <c r="B9" s="235"/>
      <c r="C9" s="93"/>
      <c r="D9" s="93"/>
      <c r="E9" s="93"/>
      <c r="F9" s="96"/>
      <c r="G9" s="93"/>
      <c r="H9" s="236"/>
      <c r="I9" s="236"/>
      <c r="J9" s="236"/>
      <c r="K9" s="93"/>
      <c r="L9" s="93"/>
    </row>
    <row r="10" spans="1:12">
      <c r="K10" s="333"/>
    </row>
  </sheetData>
  <dataValidations count="5">
    <dataValidation type="list" allowBlank="1" showInputMessage="1" showErrorMessage="1" sqref="D2:D4" xr:uid="{E6B571C8-2D2E-40FD-AB97-3B6424C4683B}">
      <formula1>"Qadir,Rijo,Karthik, Rijo-Karthik, Qadir-Rijo-Karthik"</formula1>
    </dataValidation>
    <dataValidation type="list" allowBlank="1" showErrorMessage="1" sqref="E2:E4" xr:uid="{9E5F9913-F305-4773-9F59-9DB93C534DD3}">
      <formula1>"Bounceback,Defect,DefectFromEscalation,None"</formula1>
    </dataValidation>
    <dataValidation type="list" allowBlank="1" showErrorMessage="1" sqref="I8:I9 I2:I6" xr:uid="{1ED18420-B4CB-44AF-A0F0-E112BAD94AAC}">
      <formula1>"Open,Inprogress,Closed"</formula1>
    </dataValidation>
    <dataValidation type="list" allowBlank="1" showErrorMessage="1" sqref="H7:H9 H2:H4" xr:uid="{3C5277AF-AA35-4D0C-B9E4-1EBC41F0F25D}">
      <formula1>"Internal,External"</formula1>
    </dataValidation>
    <dataValidation type="list" allowBlank="1" showErrorMessage="1" sqref="G2:G4" xr:uid="{EE80CF66-5784-4625-9991-8423B2FDFF53}">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29B7C12-1F55-43A6-B970-981032A77F9F}">
          <x14:formula1>
            <xm:f>Details!$A$2:$A$10</xm:f>
          </x14:formula1>
          <xm:sqref>J2:J9</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4F3B-1142-4832-B431-53AE4BBA70CA}">
  <dimension ref="A1:AR28"/>
  <sheetViews>
    <sheetView workbookViewId="0">
      <pane xSplit="8" topLeftCell="L6" activePane="topRight" state="frozen"/>
      <selection pane="topRight" activeCell="E8" sqref="E8"/>
    </sheetView>
  </sheetViews>
  <sheetFormatPr defaultRowHeight="12.75"/>
  <cols>
    <col min="1" max="1" width="7" style="310" customWidth="1"/>
    <col min="2" max="2" width="12.7109375" style="310" customWidth="1"/>
    <col min="3" max="3" width="23.5703125" style="310" customWidth="1"/>
    <col min="4" max="4" width="18.5703125" style="310" customWidth="1"/>
    <col min="5" max="5" width="14.5703125" style="311" customWidth="1"/>
    <col min="6" max="6" width="11.42578125" style="111" customWidth="1"/>
    <col min="7" max="7" width="13.28515625" style="111" customWidth="1"/>
    <col min="8" max="8" width="58.5703125" style="282" customWidth="1"/>
    <col min="9" max="9" width="11.140625" style="111" customWidth="1"/>
    <col min="10" max="10" width="11.42578125" style="111" bestFit="1" customWidth="1"/>
    <col min="11" max="12" width="14.42578125" style="111" customWidth="1"/>
    <col min="13" max="13" width="12.42578125" style="282" customWidth="1"/>
    <col min="14" max="14" width="13.85546875" style="282" customWidth="1"/>
    <col min="15" max="15" width="23.140625" style="311" customWidth="1"/>
    <col min="16" max="16" width="15.5703125" style="282" customWidth="1"/>
    <col min="17" max="17" width="22.140625" style="282" customWidth="1"/>
    <col min="18" max="18" width="31.5703125" style="282" customWidth="1"/>
    <col min="19" max="19" width="12.7109375" style="282" customWidth="1"/>
    <col min="20" max="20" width="13.42578125" style="282" customWidth="1"/>
    <col min="21" max="21" width="13.7109375" style="282" customWidth="1"/>
    <col min="22" max="22" width="23.7109375" style="282" customWidth="1"/>
    <col min="23" max="23" width="26" style="282" customWidth="1"/>
    <col min="24" max="24" width="17.140625" style="282" customWidth="1"/>
    <col min="25" max="25" width="19.85546875" style="282" customWidth="1"/>
    <col min="26" max="26" width="27.140625" style="311" customWidth="1"/>
    <col min="27" max="27" width="65.140625" style="282" customWidth="1"/>
    <col min="28" max="28" width="40" style="282" customWidth="1"/>
    <col min="29" max="31" width="30.7109375" style="311" customWidth="1"/>
    <col min="32" max="38" width="25.42578125" style="311" customWidth="1"/>
    <col min="39" max="39" width="26.42578125" style="282" bestFit="1" customWidth="1"/>
    <col min="40" max="40" width="16.7109375" style="282" customWidth="1"/>
    <col min="41" max="41" width="24.140625" style="282" customWidth="1"/>
    <col min="42" max="42" width="34.7109375" style="282" customWidth="1"/>
    <col min="43" max="43" width="17.5703125" style="282" customWidth="1"/>
    <col min="44" max="44" width="24.7109375" style="282" customWidth="1"/>
    <col min="45" max="16384" width="9.140625" style="282"/>
  </cols>
  <sheetData>
    <row r="1" spans="1:44" ht="39.75" customHeight="1">
      <c r="A1" s="338" t="s">
        <v>266</v>
      </c>
      <c r="B1" s="108" t="s">
        <v>4</v>
      </c>
      <c r="C1" s="108" t="s">
        <v>2</v>
      </c>
      <c r="D1" s="108" t="s">
        <v>3</v>
      </c>
      <c r="E1" s="338" t="s">
        <v>278</v>
      </c>
      <c r="F1" s="338" t="s">
        <v>269</v>
      </c>
      <c r="G1" s="338" t="s">
        <v>279</v>
      </c>
      <c r="H1" s="338" t="s">
        <v>280</v>
      </c>
      <c r="I1" s="338" t="s">
        <v>275</v>
      </c>
      <c r="J1" s="338" t="s">
        <v>3608</v>
      </c>
      <c r="K1" s="338" t="s">
        <v>3609</v>
      </c>
      <c r="L1" s="338" t="s">
        <v>283</v>
      </c>
      <c r="M1" s="338" t="s">
        <v>286</v>
      </c>
      <c r="N1" s="338" t="s">
        <v>287</v>
      </c>
      <c r="O1" s="338" t="s">
        <v>288</v>
      </c>
      <c r="P1" s="338" t="s">
        <v>289</v>
      </c>
      <c r="Q1" s="338" t="s">
        <v>290</v>
      </c>
      <c r="R1" s="338" t="s">
        <v>291</v>
      </c>
      <c r="S1" s="339" t="s">
        <v>292</v>
      </c>
      <c r="T1" s="339" t="s">
        <v>293</v>
      </c>
      <c r="U1" s="338" t="s">
        <v>294</v>
      </c>
      <c r="V1" s="338" t="s">
        <v>295</v>
      </c>
      <c r="W1" s="338" t="s">
        <v>296</v>
      </c>
      <c r="X1" s="339" t="s">
        <v>297</v>
      </c>
      <c r="Y1" s="338" t="s">
        <v>298</v>
      </c>
      <c r="Z1" s="338" t="s">
        <v>299</v>
      </c>
      <c r="AA1" s="338" t="s">
        <v>300</v>
      </c>
      <c r="AB1" s="340" t="s">
        <v>277</v>
      </c>
      <c r="AC1" s="346" t="s">
        <v>3694</v>
      </c>
      <c r="AD1" s="346" t="s">
        <v>3695</v>
      </c>
      <c r="AE1" s="346" t="s">
        <v>3696</v>
      </c>
      <c r="AF1" s="346" t="s">
        <v>3697</v>
      </c>
      <c r="AG1" s="346" t="s">
        <v>3698</v>
      </c>
      <c r="AH1" s="346" t="s">
        <v>3699</v>
      </c>
      <c r="AI1" s="346" t="s">
        <v>3700</v>
      </c>
      <c r="AJ1" s="346" t="s">
        <v>3701</v>
      </c>
      <c r="AK1" s="346" t="s">
        <v>3702</v>
      </c>
      <c r="AL1" s="346" t="s">
        <v>3703</v>
      </c>
      <c r="AM1" s="372" t="s">
        <v>3704</v>
      </c>
      <c r="AN1" s="374" t="s">
        <v>3705</v>
      </c>
      <c r="AO1" s="336" t="s">
        <v>3706</v>
      </c>
      <c r="AP1" s="371" t="s">
        <v>3707</v>
      </c>
      <c r="AQ1" s="371" t="s">
        <v>3708</v>
      </c>
      <c r="AR1" s="371" t="s">
        <v>3709</v>
      </c>
    </row>
    <row r="2" spans="1:44" ht="64.5" customHeight="1">
      <c r="A2" s="311">
        <v>1</v>
      </c>
      <c r="B2" s="311" t="str">
        <f>Dashboard!$J$1</f>
        <v>MSB Accounting</v>
      </c>
      <c r="C2" s="377">
        <f ca="1">Dashboard!$F$1</f>
        <v>46148</v>
      </c>
      <c r="D2" s="377">
        <f ca="1">Dashboard!$H$1</f>
        <v>46161</v>
      </c>
      <c r="E2" s="382" t="s">
        <v>83</v>
      </c>
      <c r="F2" s="311" t="s">
        <v>315</v>
      </c>
      <c r="G2" s="378">
        <v>46689</v>
      </c>
      <c r="H2" s="311" t="s">
        <v>3710</v>
      </c>
      <c r="I2" s="379" t="s">
        <v>576</v>
      </c>
      <c r="J2" s="378">
        <v>5</v>
      </c>
      <c r="K2" s="378">
        <v>5</v>
      </c>
      <c r="L2" s="378"/>
      <c r="M2" s="311" t="s">
        <v>12</v>
      </c>
      <c r="N2" s="311" t="s">
        <v>313</v>
      </c>
      <c r="O2" s="311" t="s">
        <v>316</v>
      </c>
      <c r="P2" s="311" t="s">
        <v>313</v>
      </c>
      <c r="Q2" s="311" t="s">
        <v>3226</v>
      </c>
      <c r="R2" s="369" t="s">
        <v>3711</v>
      </c>
      <c r="S2" s="377">
        <v>45649</v>
      </c>
      <c r="T2" s="377">
        <v>45650</v>
      </c>
      <c r="U2" s="251" t="s">
        <v>12</v>
      </c>
      <c r="V2" s="311" t="s">
        <v>3712</v>
      </c>
      <c r="W2" s="311" t="s">
        <v>320</v>
      </c>
      <c r="X2" s="311" t="s">
        <v>320</v>
      </c>
      <c r="Y2" s="311" t="s">
        <v>320</v>
      </c>
      <c r="Z2" s="311" t="s">
        <v>3713</v>
      </c>
      <c r="AA2" s="311" t="s">
        <v>3714</v>
      </c>
      <c r="AB2" s="311" t="s">
        <v>12</v>
      </c>
      <c r="AC2" s="251" t="s">
        <v>3715</v>
      </c>
      <c r="AD2" s="251" t="s">
        <v>3716</v>
      </c>
      <c r="AE2" s="251" t="s">
        <v>3717</v>
      </c>
      <c r="AF2" s="251" t="s">
        <v>3718</v>
      </c>
      <c r="AG2" s="251" t="s">
        <v>3719</v>
      </c>
      <c r="AH2" s="251" t="s">
        <v>3720</v>
      </c>
      <c r="AI2" s="251" t="s">
        <v>3721</v>
      </c>
      <c r="AJ2" s="251" t="s">
        <v>3722</v>
      </c>
      <c r="AK2" s="251" t="s">
        <v>3723</v>
      </c>
      <c r="AL2" s="251" t="s">
        <v>3724</v>
      </c>
      <c r="AM2" s="311" t="s">
        <v>2427</v>
      </c>
      <c r="AN2" s="298" t="s">
        <v>3725</v>
      </c>
      <c r="AO2" s="251" t="s">
        <v>3726</v>
      </c>
      <c r="AP2" s="311" t="s">
        <v>3727</v>
      </c>
      <c r="AQ2" s="311" t="s">
        <v>12</v>
      </c>
      <c r="AR2" s="311" t="s">
        <v>12</v>
      </c>
    </row>
    <row r="3" spans="1:44" ht="69">
      <c r="A3" s="311">
        <v>2</v>
      </c>
      <c r="B3" s="311" t="str">
        <f>Dashboard!$J$1</f>
        <v>MSB Accounting</v>
      </c>
      <c r="C3" s="377">
        <f ca="1">Dashboard!$F$1</f>
        <v>46148</v>
      </c>
      <c r="D3" s="377">
        <f ca="1">Dashboard!$H$1</f>
        <v>46161</v>
      </c>
      <c r="E3" s="382" t="s">
        <v>83</v>
      </c>
      <c r="F3" s="311" t="s">
        <v>317</v>
      </c>
      <c r="G3" s="380">
        <v>46588</v>
      </c>
      <c r="H3" s="311" t="s">
        <v>3728</v>
      </c>
      <c r="I3" s="379" t="s">
        <v>1205</v>
      </c>
      <c r="J3" s="378">
        <v>2</v>
      </c>
      <c r="K3" s="378"/>
      <c r="L3" s="378"/>
      <c r="M3" s="311"/>
      <c r="N3" s="311"/>
      <c r="P3" s="311"/>
      <c r="Q3" s="311"/>
      <c r="R3" s="369"/>
      <c r="S3" s="377"/>
      <c r="T3" s="377"/>
      <c r="U3" s="311"/>
      <c r="V3" s="311"/>
      <c r="W3" s="311"/>
      <c r="X3" s="311"/>
      <c r="Y3" s="311"/>
      <c r="AA3" s="311"/>
      <c r="AB3" s="311" t="s">
        <v>3729</v>
      </c>
      <c r="AC3" s="251" t="s">
        <v>3730</v>
      </c>
      <c r="AD3" s="251" t="s">
        <v>3731</v>
      </c>
      <c r="AE3" s="251" t="s">
        <v>3732</v>
      </c>
      <c r="AF3" s="251" t="s">
        <v>1516</v>
      </c>
      <c r="AG3" s="251" t="s">
        <v>1516</v>
      </c>
      <c r="AH3" s="251" t="s">
        <v>1516</v>
      </c>
      <c r="AI3" s="251" t="s">
        <v>1516</v>
      </c>
      <c r="AJ3" s="251" t="s">
        <v>3733</v>
      </c>
      <c r="AK3" s="251" t="s">
        <v>3734</v>
      </c>
      <c r="AL3" s="251" t="s">
        <v>3735</v>
      </c>
      <c r="AM3" s="311" t="s">
        <v>3736</v>
      </c>
      <c r="AN3" s="298" t="s">
        <v>3737</v>
      </c>
      <c r="AO3" s="251" t="s">
        <v>3738</v>
      </c>
      <c r="AP3" s="311" t="s">
        <v>3739</v>
      </c>
      <c r="AQ3" s="311" t="s">
        <v>3740</v>
      </c>
      <c r="AR3" s="311" t="s">
        <v>3741</v>
      </c>
    </row>
    <row r="4" spans="1:44" ht="104.25">
      <c r="A4" s="311">
        <v>3</v>
      </c>
      <c r="B4" s="311" t="str">
        <f>Dashboard!$J$1</f>
        <v>MSB Accounting</v>
      </c>
      <c r="C4" s="377">
        <f ca="1">Dashboard!$F$1</f>
        <v>46148</v>
      </c>
      <c r="D4" s="377">
        <f ca="1">Dashboard!$H$1</f>
        <v>46161</v>
      </c>
      <c r="E4" s="382" t="s">
        <v>83</v>
      </c>
      <c r="F4" s="311" t="s">
        <v>313</v>
      </c>
      <c r="G4" s="380">
        <v>46782</v>
      </c>
      <c r="H4" s="311" t="s">
        <v>3742</v>
      </c>
      <c r="I4" s="379" t="s">
        <v>576</v>
      </c>
      <c r="J4" s="378">
        <v>5</v>
      </c>
      <c r="K4" s="378">
        <v>5</v>
      </c>
      <c r="L4" s="378"/>
      <c r="M4" s="311" t="s">
        <v>12</v>
      </c>
      <c r="N4" s="311" t="s">
        <v>315</v>
      </c>
      <c r="O4" s="311" t="s">
        <v>316</v>
      </c>
      <c r="P4" s="311" t="s">
        <v>317</v>
      </c>
      <c r="Q4" s="311" t="s">
        <v>3226</v>
      </c>
      <c r="R4" s="369" t="s">
        <v>3711</v>
      </c>
      <c r="S4" s="377">
        <v>45649</v>
      </c>
      <c r="T4" s="377">
        <v>45650</v>
      </c>
      <c r="U4" s="311" t="s">
        <v>12</v>
      </c>
      <c r="V4" s="311" t="s">
        <v>3226</v>
      </c>
      <c r="W4" s="311" t="s">
        <v>320</v>
      </c>
      <c r="X4" s="311" t="s">
        <v>320</v>
      </c>
      <c r="Y4" s="311" t="s">
        <v>320</v>
      </c>
      <c r="Z4" s="251" t="s">
        <v>3624</v>
      </c>
      <c r="AA4" s="311" t="s">
        <v>2516</v>
      </c>
      <c r="AB4" s="311" t="s">
        <v>12</v>
      </c>
      <c r="AC4" s="251" t="s">
        <v>3743</v>
      </c>
      <c r="AD4" s="251" t="s">
        <v>3744</v>
      </c>
      <c r="AE4" s="251" t="s">
        <v>3745</v>
      </c>
      <c r="AF4" s="251" t="s">
        <v>3745</v>
      </c>
      <c r="AG4" s="311" t="s">
        <v>1540</v>
      </c>
      <c r="AH4" s="251" t="s">
        <v>3746</v>
      </c>
      <c r="AI4" s="251" t="s">
        <v>3747</v>
      </c>
      <c r="AJ4" s="251" t="s">
        <v>3748</v>
      </c>
      <c r="AK4" s="251" t="s">
        <v>3749</v>
      </c>
      <c r="AL4" s="251" t="s">
        <v>3750</v>
      </c>
      <c r="AM4" s="311" t="s">
        <v>3751</v>
      </c>
      <c r="AN4" s="298" t="s">
        <v>3752</v>
      </c>
      <c r="AO4" s="251" t="s">
        <v>3753</v>
      </c>
      <c r="AP4" s="311" t="s">
        <v>3754</v>
      </c>
      <c r="AQ4" s="311" t="s">
        <v>3755</v>
      </c>
      <c r="AR4" s="311" t="s">
        <v>943</v>
      </c>
    </row>
    <row r="5" spans="1:44" ht="46.5">
      <c r="A5" s="311">
        <v>4</v>
      </c>
      <c r="B5" s="311" t="str">
        <f>Dashboard!$J$1</f>
        <v>MSB Accounting</v>
      </c>
      <c r="C5" s="377">
        <f ca="1">Dashboard!$F$1</f>
        <v>46148</v>
      </c>
      <c r="D5" s="377">
        <f ca="1">Dashboard!$H$1</f>
        <v>46161</v>
      </c>
      <c r="E5" s="382" t="s">
        <v>83</v>
      </c>
      <c r="F5" s="311" t="s">
        <v>317</v>
      </c>
      <c r="G5" s="378">
        <v>46796</v>
      </c>
      <c r="H5" s="311" t="s">
        <v>3756</v>
      </c>
      <c r="I5" s="379" t="s">
        <v>576</v>
      </c>
      <c r="J5" s="378">
        <v>2</v>
      </c>
      <c r="K5" s="378">
        <v>2</v>
      </c>
      <c r="L5" s="378"/>
      <c r="M5" s="311" t="s">
        <v>12</v>
      </c>
      <c r="N5" s="311" t="s">
        <v>315</v>
      </c>
      <c r="O5" s="311" t="s">
        <v>316</v>
      </c>
      <c r="P5" s="311" t="s">
        <v>317</v>
      </c>
      <c r="Q5" s="311" t="s">
        <v>3226</v>
      </c>
      <c r="R5" s="369" t="s">
        <v>3757</v>
      </c>
      <c r="S5" s="377">
        <v>45304</v>
      </c>
      <c r="T5" s="377"/>
      <c r="U5" s="311" t="s">
        <v>12</v>
      </c>
      <c r="V5" s="311"/>
      <c r="W5" s="311"/>
      <c r="X5" s="377"/>
      <c r="Y5" s="311"/>
      <c r="AA5" s="311" t="s">
        <v>2516</v>
      </c>
      <c r="AB5" s="311" t="s">
        <v>3758</v>
      </c>
      <c r="AC5" s="251" t="s">
        <v>3759</v>
      </c>
      <c r="AD5" s="251" t="s">
        <v>3760</v>
      </c>
      <c r="AE5" s="251" t="s">
        <v>3761</v>
      </c>
      <c r="AF5" s="251" t="s">
        <v>3762</v>
      </c>
      <c r="AG5" s="251" t="s">
        <v>3762</v>
      </c>
      <c r="AH5" s="251" t="s">
        <v>3762</v>
      </c>
      <c r="AI5" s="251" t="s">
        <v>3762</v>
      </c>
      <c r="AJ5" s="251" t="s">
        <v>3762</v>
      </c>
      <c r="AK5" s="251" t="s">
        <v>3762</v>
      </c>
      <c r="AL5" s="251" t="s">
        <v>3763</v>
      </c>
      <c r="AM5" s="311" t="s">
        <v>3764</v>
      </c>
      <c r="AN5" s="298" t="s">
        <v>3764</v>
      </c>
      <c r="AO5" s="251" t="s">
        <v>3765</v>
      </c>
      <c r="AP5" s="251" t="s">
        <v>3766</v>
      </c>
      <c r="AQ5" s="251" t="s">
        <v>3766</v>
      </c>
      <c r="AR5" s="311" t="s">
        <v>3767</v>
      </c>
    </row>
    <row r="6" spans="1:44" ht="138.75">
      <c r="A6" s="311">
        <v>5</v>
      </c>
      <c r="B6" s="311" t="str">
        <f>Dashboard!$J$1</f>
        <v>MSB Accounting</v>
      </c>
      <c r="C6" s="377">
        <f ca="1">Dashboard!$F$1</f>
        <v>46148</v>
      </c>
      <c r="D6" s="377">
        <f ca="1">Dashboard!$H$1</f>
        <v>46161</v>
      </c>
      <c r="E6" s="382" t="s">
        <v>83</v>
      </c>
      <c r="F6" s="311" t="s">
        <v>1216</v>
      </c>
      <c r="G6" s="378">
        <v>46690</v>
      </c>
      <c r="H6" s="311" t="s">
        <v>3768</v>
      </c>
      <c r="I6" s="379" t="s">
        <v>576</v>
      </c>
      <c r="J6" s="378">
        <v>8</v>
      </c>
      <c r="K6" s="378">
        <v>8</v>
      </c>
      <c r="L6" s="378"/>
      <c r="M6" s="311" t="s">
        <v>12</v>
      </c>
      <c r="N6" s="311"/>
      <c r="P6" s="311"/>
      <c r="Q6" s="311"/>
      <c r="R6" s="369"/>
      <c r="S6" s="381"/>
      <c r="T6" s="381"/>
      <c r="U6" s="311"/>
      <c r="V6" s="311"/>
      <c r="W6" s="311"/>
      <c r="X6" s="311"/>
      <c r="Y6" s="311"/>
      <c r="AA6" s="311"/>
      <c r="AB6" s="311" t="s">
        <v>3769</v>
      </c>
      <c r="AC6" s="251" t="s">
        <v>434</v>
      </c>
      <c r="AD6" s="251" t="s">
        <v>3770</v>
      </c>
      <c r="AE6" s="251" t="s">
        <v>3771</v>
      </c>
      <c r="AF6" s="251" t="s">
        <v>3772</v>
      </c>
      <c r="AG6" s="251" t="s">
        <v>3772</v>
      </c>
      <c r="AH6" s="251" t="s">
        <v>3772</v>
      </c>
      <c r="AI6" s="251" t="s">
        <v>3772</v>
      </c>
      <c r="AJ6" s="251" t="s">
        <v>3772</v>
      </c>
      <c r="AK6" s="251" t="s">
        <v>3772</v>
      </c>
      <c r="AL6" s="251" t="s">
        <v>3772</v>
      </c>
      <c r="AM6" s="298" t="s">
        <v>3772</v>
      </c>
      <c r="AN6" s="298" t="s">
        <v>3772</v>
      </c>
      <c r="AO6" s="251" t="s">
        <v>3773</v>
      </c>
      <c r="AP6" s="311" t="s">
        <v>3774</v>
      </c>
      <c r="AQ6" s="311" t="s">
        <v>3775</v>
      </c>
      <c r="AR6" s="311" t="s">
        <v>3776</v>
      </c>
    </row>
    <row r="7" spans="1:44" ht="63" customHeight="1">
      <c r="A7" s="311">
        <v>6</v>
      </c>
      <c r="B7" s="311" t="str">
        <f>Dashboard!$J$1</f>
        <v>MSB Accounting</v>
      </c>
      <c r="C7" s="377">
        <f ca="1">Dashboard!$F$1</f>
        <v>46148</v>
      </c>
      <c r="D7" s="377">
        <f ca="1">Dashboard!$H$1</f>
        <v>46161</v>
      </c>
      <c r="E7" s="311" t="s">
        <v>3777</v>
      </c>
      <c r="F7" s="311" t="s">
        <v>3778</v>
      </c>
      <c r="G7" s="380">
        <v>46740</v>
      </c>
      <c r="H7" s="311" t="s">
        <v>3779</v>
      </c>
      <c r="I7" s="379" t="s">
        <v>3762</v>
      </c>
      <c r="J7" s="383">
        <v>8</v>
      </c>
      <c r="K7" s="383">
        <v>4</v>
      </c>
      <c r="L7" s="383"/>
      <c r="M7" s="311"/>
      <c r="N7" s="311"/>
      <c r="P7" s="311"/>
      <c r="Q7" s="311"/>
      <c r="R7" s="369"/>
      <c r="S7" s="377"/>
      <c r="T7" s="311"/>
      <c r="U7" s="311"/>
      <c r="V7" s="311"/>
      <c r="W7" s="311"/>
      <c r="X7" s="311"/>
      <c r="Y7" s="311"/>
      <c r="AA7" s="311"/>
      <c r="AB7" s="311" t="s">
        <v>3780</v>
      </c>
      <c r="AC7" s="251"/>
      <c r="AH7" s="311" t="s">
        <v>3781</v>
      </c>
      <c r="AI7" s="311" t="s">
        <v>3782</v>
      </c>
      <c r="AJ7" s="311" t="s">
        <v>3783</v>
      </c>
      <c r="AK7" s="311" t="s">
        <v>1241</v>
      </c>
      <c r="AL7" s="311" t="s">
        <v>1241</v>
      </c>
      <c r="AM7" s="311" t="s">
        <v>1241</v>
      </c>
      <c r="AN7" s="298" t="s">
        <v>1241</v>
      </c>
      <c r="AO7" s="251" t="s">
        <v>1241</v>
      </c>
      <c r="AP7" s="251" t="s">
        <v>1241</v>
      </c>
      <c r="AQ7" s="251" t="s">
        <v>1241</v>
      </c>
      <c r="AR7" s="311"/>
    </row>
    <row r="8" spans="1:44" ht="46.5">
      <c r="A8" s="311">
        <v>7</v>
      </c>
      <c r="B8" s="311" t="str">
        <f>Dashboard!$J$1</f>
        <v>MSB Accounting</v>
      </c>
      <c r="C8" s="377">
        <f ca="1">Dashboard!$F$1</f>
        <v>46148</v>
      </c>
      <c r="D8" s="377">
        <f ca="1">Dashboard!$H$1</f>
        <v>46161</v>
      </c>
      <c r="E8" s="382" t="s">
        <v>83</v>
      </c>
      <c r="F8" s="311" t="s">
        <v>315</v>
      </c>
      <c r="G8" s="378">
        <v>24467</v>
      </c>
      <c r="H8" s="311" t="s">
        <v>3784</v>
      </c>
      <c r="I8" s="379" t="s">
        <v>576</v>
      </c>
      <c r="J8" s="378"/>
      <c r="K8" s="378"/>
      <c r="L8" s="378"/>
      <c r="M8" s="311" t="s">
        <v>320</v>
      </c>
      <c r="N8" s="311"/>
      <c r="P8" s="311"/>
      <c r="Q8" s="311"/>
      <c r="R8" s="369"/>
      <c r="S8" s="377"/>
      <c r="T8" s="377"/>
      <c r="U8" s="311"/>
      <c r="V8" s="311"/>
      <c r="W8" s="311"/>
      <c r="X8" s="311"/>
      <c r="Y8" s="311"/>
      <c r="AA8" s="311"/>
      <c r="AB8" s="311" t="s">
        <v>3785</v>
      </c>
      <c r="AM8" s="311"/>
      <c r="AN8" s="311"/>
      <c r="AO8" s="311"/>
      <c r="AP8" s="311"/>
      <c r="AQ8" s="311"/>
      <c r="AR8" s="311" t="s">
        <v>3786</v>
      </c>
    </row>
    <row r="9" spans="1:44">
      <c r="A9" s="311"/>
      <c r="B9" s="311"/>
      <c r="C9" s="377"/>
      <c r="D9" s="377"/>
      <c r="F9" s="311"/>
      <c r="G9" s="378"/>
      <c r="H9" s="311"/>
      <c r="I9" s="379"/>
      <c r="J9" s="378"/>
      <c r="K9" s="378"/>
      <c r="L9" s="378"/>
      <c r="M9" s="311"/>
      <c r="N9" s="311"/>
      <c r="P9" s="311"/>
      <c r="Q9" s="311"/>
      <c r="R9" s="369"/>
      <c r="S9" s="381"/>
      <c r="T9" s="381"/>
      <c r="U9" s="311"/>
      <c r="V9" s="311"/>
      <c r="W9" s="311"/>
      <c r="X9" s="311"/>
      <c r="Y9" s="311"/>
      <c r="AA9" s="311"/>
      <c r="AB9" s="311"/>
      <c r="AM9" s="311"/>
      <c r="AN9" s="311"/>
      <c r="AO9" s="311"/>
      <c r="AP9" s="311"/>
      <c r="AQ9" s="311"/>
      <c r="AR9" s="311"/>
    </row>
    <row r="10" spans="1:44">
      <c r="A10" s="311"/>
      <c r="B10" s="311"/>
      <c r="C10" s="377"/>
      <c r="D10" s="377"/>
      <c r="F10" s="311"/>
      <c r="G10" s="380"/>
      <c r="H10" s="311"/>
      <c r="I10" s="379"/>
      <c r="J10" s="378"/>
      <c r="K10" s="378"/>
      <c r="L10" s="378"/>
      <c r="M10" s="311"/>
      <c r="N10" s="311"/>
      <c r="P10" s="311"/>
      <c r="Q10" s="311"/>
      <c r="R10" s="311"/>
      <c r="S10" s="311"/>
      <c r="T10" s="311"/>
      <c r="U10" s="311"/>
      <c r="V10" s="311"/>
      <c r="W10" s="311"/>
      <c r="X10" s="311"/>
      <c r="Y10" s="311"/>
      <c r="AA10" s="311"/>
      <c r="AB10" s="311"/>
      <c r="AM10" s="311"/>
      <c r="AN10" s="311"/>
      <c r="AO10" s="311"/>
      <c r="AP10" s="311"/>
      <c r="AQ10" s="311"/>
      <c r="AR10" s="311"/>
    </row>
    <row r="11" spans="1:44">
      <c r="A11" s="311"/>
      <c r="B11" s="311"/>
      <c r="C11" s="377"/>
      <c r="D11" s="377"/>
      <c r="F11" s="311"/>
      <c r="G11" s="378"/>
      <c r="H11" s="311"/>
      <c r="I11" s="379"/>
      <c r="J11" s="378"/>
      <c r="K11" s="378"/>
      <c r="L11" s="378"/>
      <c r="M11" s="311"/>
      <c r="N11" s="311"/>
      <c r="P11" s="311"/>
      <c r="Q11" s="311"/>
      <c r="R11" s="311"/>
      <c r="S11" s="311"/>
      <c r="T11" s="311"/>
      <c r="U11" s="311"/>
      <c r="V11" s="311"/>
      <c r="W11" s="311"/>
      <c r="X11" s="311"/>
      <c r="Y11" s="311"/>
      <c r="AA11" s="311"/>
      <c r="AB11" s="311"/>
      <c r="AM11" s="311"/>
      <c r="AN11" s="311"/>
      <c r="AO11" s="311"/>
      <c r="AP11" s="311"/>
      <c r="AQ11" s="311"/>
      <c r="AR11" s="311"/>
    </row>
    <row r="12" spans="1:44">
      <c r="A12" s="311"/>
      <c r="B12" s="311"/>
      <c r="C12" s="377"/>
      <c r="D12" s="377"/>
      <c r="F12" s="311"/>
      <c r="G12" s="378"/>
      <c r="H12" s="311"/>
      <c r="I12" s="379"/>
      <c r="J12" s="378"/>
      <c r="K12" s="378"/>
      <c r="L12" s="378"/>
      <c r="M12" s="311"/>
      <c r="N12" s="311"/>
      <c r="P12" s="311"/>
      <c r="Q12" s="311"/>
      <c r="R12" s="311"/>
      <c r="S12" s="311"/>
      <c r="T12" s="311"/>
      <c r="U12" s="311"/>
      <c r="V12" s="311"/>
      <c r="W12" s="311"/>
      <c r="X12" s="311"/>
      <c r="Y12" s="311"/>
      <c r="AA12" s="311"/>
      <c r="AB12" s="311"/>
      <c r="AM12" s="311"/>
      <c r="AN12" s="311"/>
      <c r="AO12" s="311"/>
      <c r="AP12" s="311"/>
      <c r="AQ12" s="311"/>
      <c r="AR12" s="311"/>
    </row>
    <row r="13" spans="1:44">
      <c r="A13" s="282"/>
      <c r="B13" s="282"/>
      <c r="C13" s="282"/>
      <c r="D13" s="282"/>
      <c r="E13" s="282"/>
      <c r="F13" s="282"/>
      <c r="I13" s="282"/>
      <c r="O13" s="282"/>
    </row>
    <row r="14" spans="1:44">
      <c r="A14" s="282"/>
      <c r="B14" s="282"/>
      <c r="C14" s="282"/>
      <c r="D14" s="282"/>
      <c r="E14" s="282"/>
      <c r="F14" s="282"/>
      <c r="I14" s="282"/>
      <c r="O14" s="282"/>
    </row>
    <row r="15" spans="1:44">
      <c r="A15" s="282"/>
      <c r="B15" s="282"/>
      <c r="C15" s="282"/>
      <c r="D15" s="282"/>
      <c r="E15" s="282"/>
      <c r="F15" s="282"/>
      <c r="I15" s="282"/>
      <c r="O15" s="282"/>
    </row>
    <row r="16" spans="1:44">
      <c r="A16" s="282"/>
      <c r="B16" s="282"/>
      <c r="C16" s="282"/>
      <c r="D16" s="282"/>
      <c r="E16" s="282"/>
      <c r="F16" s="282"/>
      <c r="I16" s="282"/>
      <c r="O16" s="282"/>
    </row>
    <row r="17" spans="1:15">
      <c r="A17" s="282"/>
      <c r="B17" s="282"/>
      <c r="C17" s="282"/>
      <c r="D17" s="282"/>
      <c r="E17" s="282"/>
      <c r="F17" s="282"/>
      <c r="I17" s="282"/>
      <c r="O17" s="282"/>
    </row>
    <row r="18" spans="1:15">
      <c r="A18" s="282"/>
      <c r="B18" s="282"/>
      <c r="C18" s="282"/>
      <c r="D18" s="282"/>
      <c r="E18" s="282"/>
      <c r="F18" s="282"/>
      <c r="I18" s="282"/>
      <c r="O18" s="282"/>
    </row>
    <row r="19" spans="1:15">
      <c r="A19" s="282"/>
      <c r="B19" s="282"/>
      <c r="C19" s="282"/>
      <c r="D19" s="282"/>
      <c r="E19" s="282"/>
      <c r="F19" s="282"/>
      <c r="I19" s="282"/>
      <c r="O19" s="282"/>
    </row>
    <row r="20" spans="1:15">
      <c r="A20" s="282"/>
      <c r="B20" s="282"/>
      <c r="C20" s="282"/>
      <c r="D20" s="282"/>
      <c r="E20" s="282"/>
      <c r="F20" s="282"/>
      <c r="I20" s="282"/>
      <c r="O20" s="282"/>
    </row>
    <row r="21" spans="1:15">
      <c r="A21" s="282"/>
      <c r="B21" s="282"/>
      <c r="C21" s="282"/>
      <c r="D21" s="282"/>
      <c r="E21" s="282"/>
      <c r="F21" s="282"/>
      <c r="I21" s="282"/>
      <c r="O21" s="282"/>
    </row>
    <row r="22" spans="1:15">
      <c r="A22" s="282"/>
      <c r="B22" s="282"/>
      <c r="C22" s="282"/>
      <c r="D22" s="282"/>
      <c r="E22" s="282"/>
      <c r="F22" s="282"/>
      <c r="I22" s="282"/>
      <c r="O22" s="282"/>
    </row>
    <row r="23" spans="1:15">
      <c r="A23" s="282"/>
      <c r="B23" s="282"/>
      <c r="C23" s="282"/>
      <c r="D23" s="282"/>
      <c r="E23" s="282"/>
      <c r="F23" s="282"/>
      <c r="I23" s="282"/>
      <c r="O23" s="282"/>
    </row>
    <row r="24" spans="1:15">
      <c r="A24" s="282"/>
      <c r="B24" s="282"/>
      <c r="C24" s="282"/>
      <c r="D24" s="282"/>
      <c r="E24" s="282"/>
      <c r="F24" s="282"/>
      <c r="I24" s="282"/>
      <c r="O24" s="282"/>
    </row>
    <row r="25" spans="1:15">
      <c r="A25" s="282"/>
      <c r="B25" s="282"/>
      <c r="C25" s="282"/>
      <c r="D25" s="282"/>
      <c r="E25" s="282"/>
      <c r="F25" s="282"/>
      <c r="I25" s="282"/>
      <c r="O25" s="282"/>
    </row>
    <row r="26" spans="1:15">
      <c r="A26" s="282"/>
      <c r="B26" s="282"/>
      <c r="C26" s="282"/>
      <c r="D26" s="282"/>
      <c r="E26" s="282"/>
      <c r="F26" s="282"/>
      <c r="I26" s="282"/>
      <c r="O26" s="282"/>
    </row>
    <row r="27" spans="1:15">
      <c r="A27" s="282"/>
      <c r="B27" s="282"/>
      <c r="C27" s="282"/>
      <c r="D27" s="282"/>
      <c r="E27" s="282"/>
      <c r="F27" s="282"/>
      <c r="I27" s="282"/>
      <c r="O27" s="282"/>
    </row>
    <row r="28" spans="1:15">
      <c r="A28" s="282"/>
      <c r="B28" s="282"/>
      <c r="C28" s="282"/>
      <c r="D28" s="282"/>
      <c r="E28" s="282"/>
      <c r="F28" s="282"/>
      <c r="I28" s="282"/>
      <c r="O28" s="282"/>
    </row>
  </sheetData>
  <conditionalFormatting sqref="J1 I12">
    <cfRule type="containsText" dxfId="155" priority="13" operator="containsText" text="Closed">
      <formula>NOT(ISERROR(SEARCH("Closed",I1)))</formula>
    </cfRule>
    <cfRule type="containsText" dxfId="154" priority="14" operator="containsText" text="Open">
      <formula>NOT(ISERROR(SEARCH("Open",I1)))</formula>
    </cfRule>
    <cfRule type="containsText" dxfId="153" priority="15" operator="containsText" text="Inprogress">
      <formula>NOT(ISERROR(SEARCH("Inprogress",I1)))</formula>
    </cfRule>
  </conditionalFormatting>
  <conditionalFormatting sqref="I5:I11">
    <cfRule type="containsText" dxfId="152" priority="10" operator="containsText" text="Closed">
      <formula>NOT(ISERROR(SEARCH("Closed",I5)))</formula>
    </cfRule>
    <cfRule type="containsText" dxfId="151" priority="11" operator="containsText" text="Open">
      <formula>NOT(ISERROR(SEARCH("Open",I5)))</formula>
    </cfRule>
    <cfRule type="containsText" dxfId="150" priority="12" operator="containsText" text="Inprogress">
      <formula>NOT(ISERROR(SEARCH("Inprogress",I5)))</formula>
    </cfRule>
  </conditionalFormatting>
  <conditionalFormatting sqref="I2">
    <cfRule type="containsText" dxfId="149" priority="7" operator="containsText" text="Closed">
      <formula>NOT(ISERROR(SEARCH("Closed",I2)))</formula>
    </cfRule>
    <cfRule type="containsText" dxfId="148" priority="8" operator="containsText" text="Open">
      <formula>NOT(ISERROR(SEARCH("Open",I2)))</formula>
    </cfRule>
    <cfRule type="containsText" dxfId="147" priority="9" operator="containsText" text="Inprogress">
      <formula>NOT(ISERROR(SEARCH("Inprogress",I2)))</formula>
    </cfRule>
  </conditionalFormatting>
  <conditionalFormatting sqref="I3">
    <cfRule type="containsText" dxfId="146" priority="4" operator="containsText" text="Closed">
      <formula>NOT(ISERROR(SEARCH("Closed",I3)))</formula>
    </cfRule>
    <cfRule type="containsText" dxfId="145" priority="5" operator="containsText" text="Open">
      <formula>NOT(ISERROR(SEARCH("Open",I3)))</formula>
    </cfRule>
    <cfRule type="containsText" dxfId="144" priority="6" operator="containsText" text="Inprogress">
      <formula>NOT(ISERROR(SEARCH("Inprogress",I3)))</formula>
    </cfRule>
  </conditionalFormatting>
  <conditionalFormatting sqref="I4">
    <cfRule type="containsText" dxfId="143" priority="1" operator="containsText" text="Closed">
      <formula>NOT(ISERROR(SEARCH("Closed",I4)))</formula>
    </cfRule>
    <cfRule type="containsText" dxfId="142" priority="2" operator="containsText" text="Open">
      <formula>NOT(ISERROR(SEARCH("Open",I4)))</formula>
    </cfRule>
    <cfRule type="containsText" dxfId="141" priority="3" operator="containsText" text="Inprogress">
      <formula>NOT(ISERROR(SEARCH("Inprogress",I4)))</formula>
    </cfRule>
  </conditionalFormatting>
  <dataValidations count="13">
    <dataValidation allowBlank="1" showInputMessage="1" showErrorMessage="1" sqref="R2:R4 Z2:AA10 V2:V12 Y3 Y5:Y12" xr:uid="{2A2845EC-80EE-4EDC-9D7A-C6F3D62B01F6}"/>
    <dataValidation type="list" allowBlank="1" showErrorMessage="1" sqref="M13:M20" xr:uid="{E2EA527A-3AAD-48B7-8325-E431A25026C6}">
      <formula1>"Open,Inprogress,Closed,TBD,NA"</formula1>
    </dataValidation>
    <dataValidation type="list" showErrorMessage="1" sqref="W2:W12 S10:T10 X2 W1:X1 X4 U1:U12 M1:M12 X8" xr:uid="{3C71121A-6BA3-46C2-8C9C-E0A4EB1F822C}">
      <formula1>"Open,Inprogress,Completed,TBD,NA"</formula1>
    </dataValidation>
    <dataValidation type="list" showErrorMessage="1" sqref="O8:O12" xr:uid="{3B9A753D-86B7-4036-B196-42DFF042E1F2}">
      <formula1>"Pass,Fail(BacktoDev),DB Script tests in QA DB"</formula1>
    </dataValidation>
    <dataValidation type="list" showErrorMessage="1" sqref="Q2:Q12 Q1:R1 V1 Y4 Y1:Y2" xr:uid="{3FDD256E-CDAD-4FEF-8AB6-C6140B23E2A1}">
      <formula1>"No issues found,Issues observed(BacktoDev),DB Script tests in QA DB,NA,TBD"</formula1>
    </dataValidation>
    <dataValidation type="list" showErrorMessage="1" sqref="O1:O7" xr:uid="{0ADF62C1-4815-4D59-A893-36A2BD8EEB30}">
      <formula1>"Pass,Fail(BacktoDev),DB Script tests in QA DB,TBD"</formula1>
    </dataValidation>
    <dataValidation type="list" showErrorMessage="1" sqref="P2 N1:N12" xr:uid="{7D891A4D-7748-42F4-9F57-5C016D0594D3}">
      <formula1>"Qadir,Rijo,Karthik,Sushmitha,None,TBD"</formula1>
    </dataValidation>
    <dataValidation type="list" showErrorMessage="1" sqref="P1 P3:P12" xr:uid="{98275953-5441-4625-AC20-92B1153177A2}">
      <formula1>"Qadir,Rijo,Karthik,None,TBD"</formula1>
    </dataValidation>
    <dataValidation type="list" showErrorMessage="1" sqref="Z1" xr:uid="{6B55A392-0262-429E-9D86-A48EE34AD3B3}">
      <formula1>"Approved-Satisified AC,Not Approved(Back to Dev),NA,TBD"</formula1>
    </dataValidation>
    <dataValidation type="list" showErrorMessage="1" sqref="AA1:AB1" xr:uid="{F1705435-0C66-4E2C-B3D7-C95957EDAE32}">
      <formula1>"Pending-Waiting for Customer confirmation, Approved-Satisified AC,Not Approved-New minor changes requested(Back to Dev),NA,TBD"</formula1>
    </dataValidation>
    <dataValidation type="list" allowBlank="1" showErrorMessage="1" sqref="J1" xr:uid="{962B779F-19BB-4F6C-AB04-AE2DD461E5F9}">
      <formula1>"Open,Inprogress,Closed"</formula1>
    </dataValidation>
    <dataValidation showErrorMessage="1" sqref="I1" xr:uid="{B99348C0-3243-4AC2-B775-D3BB37EA9F8A}"/>
    <dataValidation type="list" allowBlank="1" showErrorMessage="1" sqref="I2:I12" xr:uid="{A981D6DC-C52D-4768-8896-3BE21E77417E}">
      <formula1>"Open,Inprogress,Closed,On Hold"</formula1>
    </dataValidation>
  </dataValidations>
  <hyperlinks>
    <hyperlink ref="R2" r:id="rId1" xr:uid="{886A87DF-660F-4BE6-9056-A59EEC8E7071}"/>
    <hyperlink ref="R4" r:id="rId2" xr:uid="{EF83254A-8643-430C-B9F1-ED5C46D01F5C}"/>
    <hyperlink ref="R5" r:id="rId3" xr:uid="{6E58B7BF-84FC-4278-93D7-6B7D19CADC25}"/>
  </hyperlinks>
  <pageMargins left="0.7" right="0.7" top="0.75" bottom="0.75" header="0.3" footer="0.3"/>
  <tableParts count="1">
    <tablePart r:id="rId4"/>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4E8E4-5FB2-4338-9BBF-27C64542B2CE}">
  <dimension ref="A1:L10"/>
  <sheetViews>
    <sheetView topLeftCell="B3" workbookViewId="0">
      <selection activeCell="G4" sqref="G4"/>
    </sheetView>
  </sheetViews>
  <sheetFormatPr defaultRowHeight="12.75"/>
  <cols>
    <col min="2" max="2" width="8.28515625" customWidth="1"/>
    <col min="3" max="3" width="10.85546875" customWidth="1"/>
    <col min="5" max="5" width="22" customWidth="1"/>
    <col min="6" max="6" width="76.28515625" customWidth="1"/>
    <col min="7" max="7" width="15.42578125" customWidth="1"/>
    <col min="8" max="8" width="9.140625" bestFit="1" customWidth="1"/>
    <col min="9" max="9" width="14.28515625" customWidth="1"/>
    <col min="10" max="10" width="27" customWidth="1"/>
    <col min="11" max="11" width="46.42578125" style="334" customWidth="1"/>
  </cols>
  <sheetData>
    <row r="1" spans="1:12" ht="40.5">
      <c r="A1" s="322" t="s">
        <v>266</v>
      </c>
      <c r="B1" s="323" t="s">
        <v>10</v>
      </c>
      <c r="C1" s="323" t="s">
        <v>267</v>
      </c>
      <c r="D1" s="323" t="s">
        <v>269</v>
      </c>
      <c r="E1" s="323" t="s">
        <v>270</v>
      </c>
      <c r="F1" s="323" t="s">
        <v>271</v>
      </c>
      <c r="G1" s="323" t="s">
        <v>272</v>
      </c>
      <c r="H1" s="323" t="s">
        <v>274</v>
      </c>
      <c r="I1" s="323" t="s">
        <v>275</v>
      </c>
      <c r="J1" s="324" t="s">
        <v>276</v>
      </c>
      <c r="K1" s="332" t="s">
        <v>3688</v>
      </c>
      <c r="L1" s="325" t="s">
        <v>277</v>
      </c>
    </row>
    <row r="2" spans="1:12" s="201" customFormat="1" ht="93" customHeight="1">
      <c r="A2" s="284">
        <v>1</v>
      </c>
      <c r="B2" s="284" t="s">
        <v>83</v>
      </c>
      <c r="C2" s="289">
        <v>46689</v>
      </c>
      <c r="D2" s="284" t="s">
        <v>3787</v>
      </c>
      <c r="E2" s="329" t="s">
        <v>3503</v>
      </c>
      <c r="F2" s="281" t="s">
        <v>3788</v>
      </c>
      <c r="G2" s="329" t="s">
        <v>1670</v>
      </c>
      <c r="H2" s="329" t="s">
        <v>525</v>
      </c>
      <c r="I2" s="329" t="s">
        <v>576</v>
      </c>
      <c r="J2" s="329" t="s">
        <v>1325</v>
      </c>
      <c r="K2" s="326" t="s">
        <v>3789</v>
      </c>
      <c r="L2" s="284"/>
    </row>
    <row r="3" spans="1:12" s="201" customFormat="1" ht="115.5">
      <c r="A3" s="252">
        <v>2</v>
      </c>
      <c r="B3" s="284" t="s">
        <v>83</v>
      </c>
      <c r="C3" s="256">
        <v>24467</v>
      </c>
      <c r="D3" s="284" t="s">
        <v>315</v>
      </c>
      <c r="E3" s="329" t="s">
        <v>522</v>
      </c>
      <c r="F3" s="299" t="s">
        <v>3790</v>
      </c>
      <c r="G3" s="329" t="s">
        <v>1670</v>
      </c>
      <c r="H3" s="329" t="s">
        <v>525</v>
      </c>
      <c r="I3" s="329" t="s">
        <v>576</v>
      </c>
      <c r="J3" s="329" t="s">
        <v>1186</v>
      </c>
      <c r="K3" s="376" t="s">
        <v>3791</v>
      </c>
      <c r="L3" s="122"/>
    </row>
    <row r="4" spans="1:12" s="201" customFormat="1" ht="115.5">
      <c r="A4" s="252">
        <v>3</v>
      </c>
      <c r="B4" s="284" t="s">
        <v>83</v>
      </c>
      <c r="C4" s="256">
        <v>24484</v>
      </c>
      <c r="D4" s="284" t="s">
        <v>313</v>
      </c>
      <c r="E4" s="329" t="s">
        <v>522</v>
      </c>
      <c r="F4" s="299" t="s">
        <v>3792</v>
      </c>
      <c r="G4" s="329" t="s">
        <v>1670</v>
      </c>
      <c r="H4" s="329" t="s">
        <v>525</v>
      </c>
      <c r="I4" s="329" t="s">
        <v>1671</v>
      </c>
      <c r="J4" s="329" t="s">
        <v>529</v>
      </c>
      <c r="K4" s="376" t="s">
        <v>3793</v>
      </c>
      <c r="L4" s="122"/>
    </row>
    <row r="5" spans="1:12" s="201" customFormat="1">
      <c r="A5" s="146"/>
      <c r="B5" s="146"/>
      <c r="C5" s="197"/>
      <c r="D5" s="197"/>
      <c r="E5" s="197"/>
      <c r="F5" s="197"/>
      <c r="G5" s="197"/>
      <c r="H5" s="197"/>
      <c r="I5" s="165"/>
      <c r="J5" s="165"/>
      <c r="K5" s="197"/>
      <c r="L5" s="197"/>
    </row>
    <row r="6" spans="1:12">
      <c r="A6" s="235"/>
      <c r="B6" s="235"/>
      <c r="C6" s="93"/>
      <c r="D6" s="93"/>
      <c r="E6" s="93"/>
      <c r="F6" s="93"/>
      <c r="G6" s="93"/>
      <c r="H6" s="93"/>
      <c r="I6" s="236"/>
      <c r="J6" s="236"/>
      <c r="K6" s="93"/>
      <c r="L6" s="93"/>
    </row>
    <row r="7" spans="1:12">
      <c r="A7" s="235"/>
      <c r="B7" s="235"/>
      <c r="C7" s="93"/>
      <c r="D7" s="93"/>
      <c r="E7" s="93"/>
      <c r="F7" s="93"/>
      <c r="G7" s="93"/>
      <c r="H7" s="236"/>
      <c r="I7" s="93"/>
      <c r="J7" s="236"/>
      <c r="K7" s="93"/>
      <c r="L7" s="93"/>
    </row>
    <row r="8" spans="1:12">
      <c r="A8" s="235"/>
      <c r="B8" s="235"/>
      <c r="C8" s="93"/>
      <c r="D8" s="93"/>
      <c r="E8" s="93"/>
      <c r="F8" s="93"/>
      <c r="G8" s="93"/>
      <c r="H8" s="236"/>
      <c r="I8" s="236"/>
      <c r="J8" s="236"/>
      <c r="K8" s="93"/>
      <c r="L8" s="93"/>
    </row>
    <row r="9" spans="1:12">
      <c r="A9" s="235"/>
      <c r="B9" s="235"/>
      <c r="C9" s="93"/>
      <c r="D9" s="93"/>
      <c r="E9" s="93"/>
      <c r="F9" s="96"/>
      <c r="G9" s="93"/>
      <c r="H9" s="236"/>
      <c r="I9" s="236"/>
      <c r="J9" s="236"/>
      <c r="K9" s="93"/>
      <c r="L9" s="93"/>
    </row>
    <row r="10" spans="1:12">
      <c r="K10" s="333"/>
    </row>
  </sheetData>
  <dataValidations count="5">
    <dataValidation type="list" allowBlank="1" showErrorMessage="1" sqref="G2:G4" xr:uid="{3859CBDC-E650-4237-B09E-2846E0AFB253}">
      <formula1>"Minor,Significant,Major"</formula1>
    </dataValidation>
    <dataValidation type="list" allowBlank="1" showErrorMessage="1" sqref="H7:H9 H2:H4" xr:uid="{F5D2DD2F-EB2F-40B6-B72D-4BE8A558BBA6}">
      <formula1>"Internal,External"</formula1>
    </dataValidation>
    <dataValidation type="list" allowBlank="1" showErrorMessage="1" sqref="I8:I9 I2:I6" xr:uid="{A48D1B40-A471-447C-98C0-A969E87B74B6}">
      <formula1>"Open,Inprogress,Closed"</formula1>
    </dataValidation>
    <dataValidation type="list" allowBlank="1" showErrorMessage="1" sqref="E2:E4" xr:uid="{7CC2A545-CA27-4CDD-8A3B-BCA6D020AC64}">
      <formula1>"Bounceback,Defect,DefectFromEscalation,None"</formula1>
    </dataValidation>
    <dataValidation type="list" allowBlank="1" showInputMessage="1" showErrorMessage="1" sqref="D2:D4" xr:uid="{97788B82-2EF4-47D6-A973-242E3B60B31A}">
      <formula1>"Qadir,Rijo,Karthik, Rijo-Karthik, Qadir-Rijo-Karthik"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DC84536-BBAA-4C28-A922-BDA1ECC8FE7A}">
          <x14:formula1>
            <xm:f>Details!$A$2:$A$10</xm:f>
          </x14:formula1>
          <xm:sqref>J2:J9</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6F23-80ED-4A0F-A49F-BF000CE43CCB}">
  <dimension ref="A1:L10"/>
  <sheetViews>
    <sheetView workbookViewId="0">
      <selection activeCell="A3" sqref="A3"/>
    </sheetView>
  </sheetViews>
  <sheetFormatPr defaultRowHeight="12.75"/>
  <cols>
    <col min="2" max="2" width="8.28515625" customWidth="1"/>
    <col min="3" max="3" width="10.85546875" customWidth="1"/>
    <col min="5" max="5" width="22" customWidth="1"/>
    <col min="6" max="6" width="76.28515625" customWidth="1"/>
    <col min="7" max="7" width="15.42578125" customWidth="1"/>
    <col min="8" max="8" width="9.140625" bestFit="1" customWidth="1"/>
    <col min="9" max="9" width="14.28515625" customWidth="1"/>
    <col min="10" max="10" width="27" customWidth="1"/>
    <col min="11" max="11" width="46.42578125" style="334" customWidth="1"/>
  </cols>
  <sheetData>
    <row r="1" spans="1:12" ht="40.5">
      <c r="A1" s="322" t="s">
        <v>266</v>
      </c>
      <c r="B1" s="323" t="s">
        <v>10</v>
      </c>
      <c r="C1" s="323" t="s">
        <v>267</v>
      </c>
      <c r="D1" s="323" t="s">
        <v>269</v>
      </c>
      <c r="E1" s="323" t="s">
        <v>270</v>
      </c>
      <c r="F1" s="323" t="s">
        <v>271</v>
      </c>
      <c r="G1" s="323" t="s">
        <v>272</v>
      </c>
      <c r="H1" s="323" t="s">
        <v>274</v>
      </c>
      <c r="I1" s="323" t="s">
        <v>275</v>
      </c>
      <c r="J1" s="324" t="s">
        <v>276</v>
      </c>
      <c r="K1" s="332" t="s">
        <v>3688</v>
      </c>
      <c r="L1" s="325" t="s">
        <v>277</v>
      </c>
    </row>
    <row r="2" spans="1:12" s="201" customFormat="1" ht="76.5" customHeight="1">
      <c r="A2" s="284">
        <v>1</v>
      </c>
      <c r="B2" s="284" t="s">
        <v>3794</v>
      </c>
      <c r="C2" s="289">
        <v>24315</v>
      </c>
      <c r="D2" s="284" t="s">
        <v>317</v>
      </c>
      <c r="E2" s="329" t="s">
        <v>3506</v>
      </c>
      <c r="F2" s="281" t="s">
        <v>1204</v>
      </c>
      <c r="G2" s="329" t="s">
        <v>1670</v>
      </c>
      <c r="H2" s="329" t="s">
        <v>519</v>
      </c>
      <c r="I2" s="363" t="s">
        <v>576</v>
      </c>
      <c r="J2" s="329" t="s">
        <v>529</v>
      </c>
      <c r="K2" s="368" t="s">
        <v>3795</v>
      </c>
      <c r="L2" s="284"/>
    </row>
    <row r="3" spans="1:12" s="201" customFormat="1" ht="81">
      <c r="A3" s="252">
        <v>2</v>
      </c>
      <c r="B3" s="284" t="s">
        <v>3603</v>
      </c>
      <c r="C3" s="256">
        <v>46200</v>
      </c>
      <c r="D3" s="284" t="s">
        <v>315</v>
      </c>
      <c r="E3" s="329" t="s">
        <v>3503</v>
      </c>
      <c r="F3" s="299" t="s">
        <v>3796</v>
      </c>
      <c r="G3" s="329" t="s">
        <v>1670</v>
      </c>
      <c r="H3" s="329" t="s">
        <v>525</v>
      </c>
      <c r="I3" s="363" t="s">
        <v>576</v>
      </c>
      <c r="J3" s="329" t="s">
        <v>526</v>
      </c>
      <c r="K3" s="255" t="s">
        <v>3797</v>
      </c>
      <c r="L3" s="122"/>
    </row>
    <row r="4" spans="1:12" s="201" customFormat="1">
      <c r="A4" s="252"/>
      <c r="B4" s="284"/>
      <c r="C4" s="256"/>
      <c r="D4" s="284"/>
      <c r="E4" s="329"/>
      <c r="F4" s="299"/>
      <c r="G4" s="329"/>
      <c r="H4" s="329"/>
      <c r="I4" s="329"/>
      <c r="J4" s="329"/>
      <c r="K4" s="122"/>
      <c r="L4" s="122"/>
    </row>
    <row r="5" spans="1:12" s="201" customFormat="1">
      <c r="A5" s="146"/>
      <c r="B5" s="146"/>
      <c r="C5" s="197"/>
      <c r="D5" s="197"/>
      <c r="E5" s="197"/>
      <c r="F5" s="197"/>
      <c r="G5" s="197"/>
      <c r="H5" s="197"/>
      <c r="I5" s="165"/>
      <c r="J5" s="165"/>
      <c r="K5" s="197"/>
      <c r="L5" s="197"/>
    </row>
    <row r="6" spans="1:12">
      <c r="A6" s="235"/>
      <c r="B6" s="235"/>
      <c r="C6" s="93"/>
      <c r="D6" s="93"/>
      <c r="E6" s="93"/>
      <c r="F6" s="93"/>
      <c r="G6" s="93"/>
      <c r="H6" s="93"/>
      <c r="I6" s="236"/>
      <c r="J6" s="236"/>
      <c r="K6" s="93"/>
      <c r="L6" s="93"/>
    </row>
    <row r="7" spans="1:12">
      <c r="A7" s="235"/>
      <c r="B7" s="235"/>
      <c r="C7" s="93"/>
      <c r="D7" s="93"/>
      <c r="E7" s="93"/>
      <c r="F7" s="93"/>
      <c r="G7" s="93"/>
      <c r="H7" s="236"/>
      <c r="I7" s="93"/>
      <c r="J7" s="236"/>
      <c r="K7" s="93"/>
      <c r="L7" s="93"/>
    </row>
    <row r="8" spans="1:12">
      <c r="A8" s="235"/>
      <c r="B8" s="235"/>
      <c r="C8" s="93"/>
      <c r="D8" s="93"/>
      <c r="E8" s="93"/>
      <c r="F8" s="93"/>
      <c r="G8" s="93"/>
      <c r="H8" s="236"/>
      <c r="I8" s="236"/>
      <c r="J8" s="236"/>
      <c r="K8" s="93"/>
      <c r="L8" s="93"/>
    </row>
    <row r="9" spans="1:12">
      <c r="A9" s="235"/>
      <c r="B9" s="235"/>
      <c r="C9" s="93"/>
      <c r="D9" s="93"/>
      <c r="E9" s="93"/>
      <c r="F9" s="96"/>
      <c r="G9" s="93"/>
      <c r="H9" s="236"/>
      <c r="I9" s="236"/>
      <c r="J9" s="236"/>
      <c r="K9" s="93"/>
      <c r="L9" s="93"/>
    </row>
    <row r="10" spans="1:12">
      <c r="K10" s="333"/>
    </row>
  </sheetData>
  <dataValidations count="5">
    <dataValidation type="list" allowBlank="1" showInputMessage="1" showErrorMessage="1" sqref="D2:D4" xr:uid="{236C1C70-A6C0-4995-9471-1A6D20056F21}">
      <formula1>"Qadir,Rijo,Karthik, Rijo-Karthik, Qadir-Rijo-Karthik"</formula1>
    </dataValidation>
    <dataValidation type="list" allowBlank="1" showErrorMessage="1" sqref="E2:E4" xr:uid="{88A3AC0B-9AAA-4FBD-9EB6-21AEBBF2A20F}">
      <formula1>"Bounceback,Defect,DefectFromEscalation,None"</formula1>
    </dataValidation>
    <dataValidation type="list" allowBlank="1" showErrorMessage="1" sqref="I8:I9 I2:I6" xr:uid="{86144489-C5F8-469A-B14A-5475E89FF2B6}">
      <formula1>"Open,Inprogress,Closed"</formula1>
    </dataValidation>
    <dataValidation type="list" allowBlank="1" showErrorMessage="1" sqref="H7:H9 H2:H4" xr:uid="{645A65FC-E208-44A0-A50E-3C564612A886}">
      <formula1>"Internal,External"</formula1>
    </dataValidation>
    <dataValidation type="list" allowBlank="1" showErrorMessage="1" sqref="G2:G4" xr:uid="{2ED4059A-BFC3-4FB9-B783-ADF780391AE1}">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05AD2DB-3563-481D-8EDD-93708F96E3AE}">
          <x14:formula1>
            <xm:f>Details!$A$2:$A$10</xm:f>
          </x14:formula1>
          <xm:sqref>J2:J9</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63BF5-6201-4CF2-B78C-FBE5EA85AF4B}">
  <dimension ref="A1:AH27"/>
  <sheetViews>
    <sheetView workbookViewId="0">
      <pane xSplit="6" topLeftCell="H2" activePane="topRight" state="frozen"/>
      <selection pane="topRight" activeCell="V2" sqref="V2"/>
    </sheetView>
  </sheetViews>
  <sheetFormatPr defaultRowHeight="12.75"/>
  <cols>
    <col min="1" max="1" width="4.5703125" style="310" customWidth="1"/>
    <col min="2" max="2" width="8.28515625" style="311" customWidth="1"/>
    <col min="3" max="3" width="11.42578125" style="111" customWidth="1"/>
    <col min="4" max="4" width="10.5703125" style="111" customWidth="1"/>
    <col min="5" max="5" width="58.5703125" style="311" customWidth="1"/>
    <col min="6" max="6" width="11.140625" style="111" customWidth="1"/>
    <col min="7" max="7" width="11.42578125" style="111" bestFit="1" customWidth="1"/>
    <col min="8" max="8" width="14.42578125" style="111" customWidth="1"/>
    <col min="9" max="9" width="12.42578125" style="282" customWidth="1"/>
    <col min="10" max="10" width="13.85546875" style="282" customWidth="1"/>
    <col min="11" max="11" width="23.140625" style="311" customWidth="1"/>
    <col min="12" max="12" width="15.5703125" style="282" customWidth="1"/>
    <col min="13" max="13" width="22.140625" style="282" customWidth="1"/>
    <col min="14" max="14" width="31.5703125" style="282" customWidth="1"/>
    <col min="15" max="15" width="12.7109375" style="282" customWidth="1"/>
    <col min="16" max="16" width="13.42578125" style="282" customWidth="1"/>
    <col min="17" max="17" width="13.7109375" style="282" customWidth="1"/>
    <col min="18" max="18" width="23.7109375" style="282" customWidth="1"/>
    <col min="19" max="19" width="26" style="282" customWidth="1"/>
    <col min="20" max="20" width="17.140625" style="282" customWidth="1"/>
    <col min="21" max="21" width="19.85546875" style="282" customWidth="1"/>
    <col min="22" max="22" width="27.140625" style="311" customWidth="1"/>
    <col min="23" max="23" width="26.7109375" style="282" customWidth="1"/>
    <col min="24" max="24" width="40" style="282" customWidth="1"/>
    <col min="25" max="27" width="30.7109375" style="311" customWidth="1"/>
    <col min="28" max="34" width="25.42578125" style="311" customWidth="1"/>
    <col min="35" max="16384" width="9.140625" style="282"/>
  </cols>
  <sheetData>
    <row r="1" spans="1:34" ht="39.75" customHeight="1">
      <c r="A1" s="287" t="s">
        <v>266</v>
      </c>
      <c r="B1" s="287" t="s">
        <v>278</v>
      </c>
      <c r="C1" s="287" t="s">
        <v>269</v>
      </c>
      <c r="D1" s="287" t="s">
        <v>279</v>
      </c>
      <c r="E1" s="287" t="s">
        <v>280</v>
      </c>
      <c r="F1" s="287" t="s">
        <v>275</v>
      </c>
      <c r="G1" s="287" t="s">
        <v>3608</v>
      </c>
      <c r="H1" s="287" t="s">
        <v>3609</v>
      </c>
      <c r="I1" s="287" t="s">
        <v>286</v>
      </c>
      <c r="J1" s="287" t="s">
        <v>287</v>
      </c>
      <c r="K1" s="287" t="s">
        <v>288</v>
      </c>
      <c r="L1" s="287" t="s">
        <v>289</v>
      </c>
      <c r="M1" s="287" t="s">
        <v>290</v>
      </c>
      <c r="N1" s="287" t="s">
        <v>291</v>
      </c>
      <c r="O1" s="350" t="s">
        <v>292</v>
      </c>
      <c r="P1" s="350" t="s">
        <v>293</v>
      </c>
      <c r="Q1" s="287" t="s">
        <v>294</v>
      </c>
      <c r="R1" s="287" t="s">
        <v>295</v>
      </c>
      <c r="S1" s="287" t="s">
        <v>296</v>
      </c>
      <c r="T1" s="350" t="s">
        <v>297</v>
      </c>
      <c r="U1" s="287" t="s">
        <v>298</v>
      </c>
      <c r="V1" s="287" t="s">
        <v>299</v>
      </c>
      <c r="W1" s="287" t="s">
        <v>300</v>
      </c>
      <c r="X1" s="351" t="s">
        <v>277</v>
      </c>
      <c r="Y1" s="352" t="s">
        <v>3798</v>
      </c>
      <c r="Z1" s="352" t="s">
        <v>3799</v>
      </c>
      <c r="AA1" s="352" t="s">
        <v>3800</v>
      </c>
      <c r="AB1" s="352" t="s">
        <v>3801</v>
      </c>
      <c r="AC1" s="352" t="s">
        <v>3802</v>
      </c>
      <c r="AD1" s="352" t="s">
        <v>3803</v>
      </c>
      <c r="AE1" s="352" t="s">
        <v>3804</v>
      </c>
      <c r="AF1" s="352" t="s">
        <v>3805</v>
      </c>
      <c r="AG1" s="352" t="s">
        <v>3806</v>
      </c>
      <c r="AH1" s="352" t="s">
        <v>3807</v>
      </c>
    </row>
    <row r="2" spans="1:34" ht="46.5">
      <c r="A2" s="251">
        <v>1</v>
      </c>
      <c r="B2" s="364" t="s">
        <v>3794</v>
      </c>
      <c r="C2" s="252" t="s">
        <v>317</v>
      </c>
      <c r="D2" s="358">
        <v>24315</v>
      </c>
      <c r="E2" s="359" t="s">
        <v>1204</v>
      </c>
      <c r="F2" s="354" t="s">
        <v>576</v>
      </c>
      <c r="G2" s="252">
        <v>3</v>
      </c>
      <c r="H2" s="361">
        <v>3</v>
      </c>
      <c r="I2" s="251" t="s">
        <v>12</v>
      </c>
      <c r="J2" s="251" t="s">
        <v>313</v>
      </c>
      <c r="K2" s="251" t="s">
        <v>316</v>
      </c>
      <c r="L2" s="251" t="s">
        <v>313</v>
      </c>
      <c r="M2" s="251" t="s">
        <v>3808</v>
      </c>
      <c r="N2" s="355" t="s">
        <v>3809</v>
      </c>
      <c r="O2" s="356">
        <v>45636</v>
      </c>
      <c r="P2" s="356">
        <v>45636</v>
      </c>
      <c r="Q2" s="251" t="s">
        <v>12</v>
      </c>
      <c r="R2" s="251" t="s">
        <v>3226</v>
      </c>
      <c r="S2" s="251" t="s">
        <v>320</v>
      </c>
      <c r="T2" s="251"/>
      <c r="U2" s="251" t="s">
        <v>3226</v>
      </c>
      <c r="V2" s="251" t="s">
        <v>3624</v>
      </c>
      <c r="W2" s="251" t="s">
        <v>2516</v>
      </c>
      <c r="X2" s="251" t="s">
        <v>576</v>
      </c>
      <c r="Y2" s="251" t="s">
        <v>3810</v>
      </c>
      <c r="Z2" s="251" t="s">
        <v>350</v>
      </c>
      <c r="AA2" s="251" t="s">
        <v>350</v>
      </c>
      <c r="AB2" s="251" t="s">
        <v>3811</v>
      </c>
      <c r="AC2" s="251" t="s">
        <v>3812</v>
      </c>
      <c r="AD2" s="251" t="s">
        <v>3813</v>
      </c>
      <c r="AE2" s="251" t="s">
        <v>3814</v>
      </c>
      <c r="AF2" s="251" t="s">
        <v>3815</v>
      </c>
      <c r="AG2" s="251" t="s">
        <v>576</v>
      </c>
      <c r="AH2" s="251"/>
    </row>
    <row r="3" spans="1:34" ht="92.25">
      <c r="A3" s="251">
        <f>A2+1</f>
        <v>2</v>
      </c>
      <c r="B3" s="364" t="s">
        <v>3794</v>
      </c>
      <c r="C3" s="252" t="s">
        <v>315</v>
      </c>
      <c r="D3" s="252">
        <v>46200</v>
      </c>
      <c r="E3" s="251" t="s">
        <v>3816</v>
      </c>
      <c r="F3" s="354" t="s">
        <v>576</v>
      </c>
      <c r="G3" s="252">
        <v>3</v>
      </c>
      <c r="H3" s="361">
        <v>3</v>
      </c>
      <c r="I3" s="251" t="s">
        <v>12</v>
      </c>
      <c r="J3" s="251" t="s">
        <v>317</v>
      </c>
      <c r="K3" s="251" t="s">
        <v>316</v>
      </c>
      <c r="L3" s="251" t="s">
        <v>317</v>
      </c>
      <c r="M3" s="251" t="s">
        <v>3226</v>
      </c>
      <c r="N3" s="355" t="s">
        <v>3817</v>
      </c>
      <c r="O3" s="356">
        <v>45632</v>
      </c>
      <c r="P3" s="356">
        <v>45635</v>
      </c>
      <c r="Q3" s="251" t="s">
        <v>12</v>
      </c>
      <c r="R3" s="251" t="s">
        <v>3226</v>
      </c>
      <c r="S3" s="251" t="s">
        <v>320</v>
      </c>
      <c r="T3" s="251"/>
      <c r="U3" s="251" t="s">
        <v>320</v>
      </c>
      <c r="V3" s="251" t="s">
        <v>3818</v>
      </c>
      <c r="W3" s="251" t="s">
        <v>3819</v>
      </c>
      <c r="X3" s="251" t="s">
        <v>3820</v>
      </c>
      <c r="Y3" s="251" t="s">
        <v>3821</v>
      </c>
      <c r="Z3" s="251"/>
      <c r="AA3" s="251" t="s">
        <v>3822</v>
      </c>
      <c r="AB3" s="251" t="s">
        <v>3823</v>
      </c>
      <c r="AC3" s="251" t="s">
        <v>3824</v>
      </c>
      <c r="AD3" s="251" t="s">
        <v>3825</v>
      </c>
      <c r="AE3" s="251" t="s">
        <v>3826</v>
      </c>
      <c r="AF3" s="251" t="s">
        <v>3827</v>
      </c>
      <c r="AG3" s="251" t="s">
        <v>3820</v>
      </c>
      <c r="AH3" s="251" t="s">
        <v>3828</v>
      </c>
    </row>
    <row r="4" spans="1:34" ht="69">
      <c r="A4" s="251">
        <f>A3+1</f>
        <v>3</v>
      </c>
      <c r="B4" s="364" t="s">
        <v>3794</v>
      </c>
      <c r="C4" s="252" t="s">
        <v>315</v>
      </c>
      <c r="D4" s="361">
        <v>46689</v>
      </c>
      <c r="E4" s="251" t="s">
        <v>3710</v>
      </c>
      <c r="F4" s="354" t="s">
        <v>1205</v>
      </c>
      <c r="G4" s="252">
        <v>8</v>
      </c>
      <c r="H4" s="252"/>
      <c r="I4" s="251" t="s">
        <v>12</v>
      </c>
      <c r="J4" s="251"/>
      <c r="K4" s="251"/>
      <c r="L4" s="251"/>
      <c r="M4" s="251"/>
      <c r="N4" s="251"/>
      <c r="O4" s="356"/>
      <c r="P4" s="356"/>
      <c r="Q4" s="251"/>
      <c r="R4" s="251"/>
      <c r="S4" s="251"/>
      <c r="T4" s="251"/>
      <c r="U4" s="251"/>
      <c r="V4" s="251" t="s">
        <v>3713</v>
      </c>
      <c r="W4" s="251" t="s">
        <v>3829</v>
      </c>
      <c r="X4" s="353" t="s">
        <v>3830</v>
      </c>
      <c r="Y4" s="251" t="s">
        <v>434</v>
      </c>
      <c r="Z4" s="251" t="s">
        <v>3486</v>
      </c>
      <c r="AA4" s="251" t="s">
        <v>3831</v>
      </c>
      <c r="AB4" s="251" t="s">
        <v>3832</v>
      </c>
      <c r="AC4" s="251" t="s">
        <v>434</v>
      </c>
      <c r="AD4" s="251" t="s">
        <v>3833</v>
      </c>
      <c r="AE4" s="251" t="s">
        <v>3834</v>
      </c>
      <c r="AF4" s="251"/>
      <c r="AG4" s="251" t="s">
        <v>3835</v>
      </c>
      <c r="AH4" s="251" t="s">
        <v>3836</v>
      </c>
    </row>
    <row r="5" spans="1:34" ht="46.5">
      <c r="A5" s="251">
        <f>A4+1</f>
        <v>4</v>
      </c>
      <c r="B5" s="364" t="s">
        <v>3794</v>
      </c>
      <c r="C5" s="252" t="s">
        <v>313</v>
      </c>
      <c r="D5" s="252">
        <v>46691</v>
      </c>
      <c r="E5" s="251" t="s">
        <v>3837</v>
      </c>
      <c r="F5" s="354" t="s">
        <v>576</v>
      </c>
      <c r="G5" s="252">
        <v>3</v>
      </c>
      <c r="H5" s="361">
        <v>3</v>
      </c>
      <c r="I5" s="251" t="s">
        <v>12</v>
      </c>
      <c r="J5" s="251" t="s">
        <v>317</v>
      </c>
      <c r="K5" s="251" t="s">
        <v>316</v>
      </c>
      <c r="L5" s="251" t="s">
        <v>317</v>
      </c>
      <c r="M5" s="251" t="s">
        <v>3226</v>
      </c>
      <c r="N5" s="355" t="s">
        <v>3838</v>
      </c>
      <c r="O5" s="357">
        <v>45631</v>
      </c>
      <c r="P5" s="357">
        <v>45631</v>
      </c>
      <c r="Q5" s="251" t="s">
        <v>12</v>
      </c>
      <c r="R5" s="251" t="s">
        <v>3226</v>
      </c>
      <c r="S5" s="251" t="s">
        <v>320</v>
      </c>
      <c r="T5" s="251"/>
      <c r="U5" s="251" t="s">
        <v>320</v>
      </c>
      <c r="V5" s="251" t="s">
        <v>3624</v>
      </c>
      <c r="W5" s="251"/>
      <c r="X5" s="251"/>
      <c r="Y5" s="251" t="s">
        <v>3839</v>
      </c>
      <c r="Z5" s="251" t="s">
        <v>3840</v>
      </c>
      <c r="AA5" s="251" t="s">
        <v>3841</v>
      </c>
      <c r="AB5" s="251" t="s">
        <v>576</v>
      </c>
      <c r="AC5" s="251" t="s">
        <v>576</v>
      </c>
      <c r="AD5" s="251" t="s">
        <v>576</v>
      </c>
      <c r="AE5" s="251" t="s">
        <v>434</v>
      </c>
      <c r="AF5" s="251" t="s">
        <v>434</v>
      </c>
      <c r="AG5" s="251"/>
      <c r="AH5" s="251"/>
    </row>
    <row r="6" spans="1:34" ht="115.5">
      <c r="A6" s="251">
        <f>A5+1</f>
        <v>5</v>
      </c>
      <c r="B6" s="364" t="s">
        <v>3794</v>
      </c>
      <c r="C6" s="252" t="s">
        <v>317</v>
      </c>
      <c r="D6" s="360">
        <v>46588</v>
      </c>
      <c r="E6" s="251" t="s">
        <v>3728</v>
      </c>
      <c r="F6" s="354" t="s">
        <v>1205</v>
      </c>
      <c r="G6" s="252">
        <v>2</v>
      </c>
      <c r="H6" s="252"/>
      <c r="I6" s="251"/>
      <c r="J6" s="251"/>
      <c r="K6" s="251"/>
      <c r="L6" s="251"/>
      <c r="M6" s="251"/>
      <c r="N6" s="355"/>
      <c r="O6" s="356"/>
      <c r="P6" s="251"/>
      <c r="Q6" s="251"/>
      <c r="R6" s="251"/>
      <c r="S6" s="251"/>
      <c r="T6" s="251"/>
      <c r="U6" s="251"/>
      <c r="V6" s="251"/>
      <c r="W6" s="251"/>
      <c r="X6" s="353" t="s">
        <v>3842</v>
      </c>
      <c r="Y6" s="251" t="s">
        <v>434</v>
      </c>
      <c r="Z6" s="251" t="s">
        <v>3843</v>
      </c>
      <c r="AA6" s="251" t="s">
        <v>3844</v>
      </c>
      <c r="AB6" s="251" t="s">
        <v>3845</v>
      </c>
      <c r="AC6" s="251" t="s">
        <v>1241</v>
      </c>
      <c r="AD6" s="251" t="s">
        <v>599</v>
      </c>
      <c r="AE6" s="251" t="s">
        <v>3846</v>
      </c>
      <c r="AF6" s="251" t="s">
        <v>3847</v>
      </c>
      <c r="AG6" s="251" t="s">
        <v>3842</v>
      </c>
      <c r="AH6" s="251" t="s">
        <v>3848</v>
      </c>
    </row>
    <row r="7" spans="1:34" ht="58.5">
      <c r="A7" s="251">
        <f>A6+1</f>
        <v>6</v>
      </c>
      <c r="B7" s="364" t="s">
        <v>3794</v>
      </c>
      <c r="C7" s="252" t="s">
        <v>1216</v>
      </c>
      <c r="D7" s="252">
        <v>85655</v>
      </c>
      <c r="E7" s="251" t="s">
        <v>3849</v>
      </c>
      <c r="F7" s="354" t="s">
        <v>576</v>
      </c>
      <c r="G7" s="252">
        <v>0</v>
      </c>
      <c r="H7" s="365">
        <v>4.7</v>
      </c>
      <c r="I7" s="251" t="s">
        <v>12</v>
      </c>
      <c r="J7" s="251" t="s">
        <v>313</v>
      </c>
      <c r="K7" s="251" t="s">
        <v>316</v>
      </c>
      <c r="L7" s="251" t="s">
        <v>317</v>
      </c>
      <c r="M7" s="251" t="s">
        <v>3226</v>
      </c>
      <c r="N7" s="355" t="s">
        <v>3850</v>
      </c>
      <c r="O7" s="356">
        <v>45643</v>
      </c>
      <c r="P7" s="356">
        <v>45643</v>
      </c>
      <c r="Q7" s="251" t="s">
        <v>12</v>
      </c>
      <c r="R7" s="251" t="s">
        <v>3226</v>
      </c>
      <c r="S7" s="251"/>
      <c r="T7" s="251"/>
      <c r="U7" s="251"/>
      <c r="V7" s="251"/>
      <c r="W7" s="251"/>
      <c r="X7" s="251" t="s">
        <v>3851</v>
      </c>
      <c r="Y7" s="251" t="s">
        <v>3852</v>
      </c>
      <c r="Z7" s="251" t="s">
        <v>3853</v>
      </c>
      <c r="AA7" s="251" t="s">
        <v>3854</v>
      </c>
      <c r="AB7" s="251" t="s">
        <v>3855</v>
      </c>
      <c r="AC7" s="251" t="s">
        <v>3856</v>
      </c>
      <c r="AD7" s="251" t="s">
        <v>3857</v>
      </c>
      <c r="AE7" s="251" t="s">
        <v>3858</v>
      </c>
      <c r="AF7" s="251" t="s">
        <v>599</v>
      </c>
      <c r="AG7" s="251" t="s">
        <v>3851</v>
      </c>
      <c r="AH7" s="251" t="s">
        <v>3859</v>
      </c>
    </row>
    <row r="8" spans="1:34" ht="23.25">
      <c r="A8" s="251">
        <f>A7+1</f>
        <v>7</v>
      </c>
      <c r="B8" s="294" t="s">
        <v>3860</v>
      </c>
      <c r="C8" s="252"/>
      <c r="D8" s="252">
        <v>46690</v>
      </c>
      <c r="E8" s="251" t="s">
        <v>3768</v>
      </c>
      <c r="F8" s="354" t="s">
        <v>1671</v>
      </c>
      <c r="G8" s="252">
        <v>8</v>
      </c>
      <c r="H8" s="252"/>
      <c r="I8" s="251"/>
      <c r="J8" s="251"/>
      <c r="K8" s="251"/>
      <c r="L8" s="251"/>
      <c r="M8" s="251"/>
      <c r="N8" s="355"/>
      <c r="O8" s="356"/>
      <c r="P8" s="356"/>
      <c r="Q8" s="251"/>
      <c r="R8" s="251"/>
      <c r="S8" s="251"/>
      <c r="T8" s="356"/>
      <c r="U8" s="251"/>
      <c r="V8" s="251"/>
      <c r="W8" s="251"/>
      <c r="X8" s="251"/>
      <c r="Y8" s="251" t="s">
        <v>434</v>
      </c>
      <c r="Z8" s="251" t="s">
        <v>434</v>
      </c>
      <c r="AA8" s="251" t="s">
        <v>434</v>
      </c>
      <c r="AB8" s="251" t="s">
        <v>434</v>
      </c>
      <c r="AC8" s="251"/>
      <c r="AD8" s="251" t="s">
        <v>434</v>
      </c>
      <c r="AE8" s="251" t="s">
        <v>434</v>
      </c>
      <c r="AF8" s="251" t="s">
        <v>434</v>
      </c>
      <c r="AG8" s="251"/>
      <c r="AH8" s="251"/>
    </row>
    <row r="9" spans="1:34" ht="69">
      <c r="A9" s="251">
        <f>A8+1</f>
        <v>8</v>
      </c>
      <c r="B9" s="294" t="s">
        <v>3860</v>
      </c>
      <c r="C9" s="252" t="s">
        <v>313</v>
      </c>
      <c r="D9" s="252" t="s">
        <v>3861</v>
      </c>
      <c r="E9" s="251" t="s">
        <v>3862</v>
      </c>
      <c r="F9" s="354" t="s">
        <v>576</v>
      </c>
      <c r="G9" s="252">
        <v>0</v>
      </c>
      <c r="H9" s="365">
        <v>4</v>
      </c>
      <c r="I9" s="251" t="s">
        <v>12</v>
      </c>
      <c r="J9" s="251" t="s">
        <v>317</v>
      </c>
      <c r="K9" s="251" t="s">
        <v>316</v>
      </c>
      <c r="L9" s="251" t="s">
        <v>317</v>
      </c>
      <c r="M9" s="251" t="s">
        <v>3226</v>
      </c>
      <c r="N9" s="355" t="s">
        <v>3863</v>
      </c>
      <c r="O9" s="357">
        <v>45636</v>
      </c>
      <c r="P9" s="357">
        <v>45637</v>
      </c>
      <c r="Q9" s="251" t="s">
        <v>12</v>
      </c>
      <c r="R9" s="251" t="s">
        <v>3226</v>
      </c>
      <c r="S9" s="251" t="s">
        <v>320</v>
      </c>
      <c r="T9" s="251"/>
      <c r="U9" s="251" t="s">
        <v>320</v>
      </c>
      <c r="V9" s="251" t="s">
        <v>3624</v>
      </c>
      <c r="W9" s="251" t="s">
        <v>3624</v>
      </c>
      <c r="X9" s="251" t="s">
        <v>3864</v>
      </c>
      <c r="Y9" s="251"/>
      <c r="Z9" s="251"/>
      <c r="AA9" s="251"/>
      <c r="AB9" s="251"/>
      <c r="AC9" s="251" t="s">
        <v>3865</v>
      </c>
      <c r="AD9" s="251" t="s">
        <v>3825</v>
      </c>
      <c r="AE9" s="251" t="s">
        <v>3866</v>
      </c>
      <c r="AF9" s="251" t="s">
        <v>3428</v>
      </c>
      <c r="AG9" s="251" t="s">
        <v>3864</v>
      </c>
      <c r="AH9" s="251"/>
    </row>
    <row r="10" spans="1:34" ht="35.25">
      <c r="A10" s="251">
        <f>A9+1</f>
        <v>9</v>
      </c>
      <c r="B10" s="294" t="s">
        <v>3860</v>
      </c>
      <c r="C10" s="252" t="s">
        <v>313</v>
      </c>
      <c r="D10" s="358">
        <v>46782</v>
      </c>
      <c r="E10" s="251" t="s">
        <v>3742</v>
      </c>
      <c r="F10" s="354" t="s">
        <v>1205</v>
      </c>
      <c r="G10" s="252"/>
      <c r="H10" s="252"/>
      <c r="I10" s="251"/>
      <c r="J10" s="251"/>
      <c r="K10" s="251"/>
      <c r="L10" s="251"/>
      <c r="M10" s="251"/>
      <c r="N10" s="251"/>
      <c r="O10" s="251"/>
      <c r="P10" s="251"/>
      <c r="Q10" s="251"/>
      <c r="R10" s="251"/>
      <c r="S10" s="251"/>
      <c r="T10" s="251"/>
      <c r="U10" s="251"/>
      <c r="V10" s="251"/>
      <c r="W10" s="251"/>
      <c r="X10" s="251" t="s">
        <v>3867</v>
      </c>
      <c r="Y10" s="251"/>
      <c r="Z10" s="251"/>
      <c r="AA10" s="251"/>
      <c r="AB10" s="251"/>
      <c r="AC10" s="251"/>
      <c r="AD10" s="251"/>
      <c r="AE10" s="251"/>
      <c r="AF10" s="251"/>
      <c r="AG10" s="251" t="s">
        <v>3867</v>
      </c>
      <c r="AH10" s="251" t="s">
        <v>3868</v>
      </c>
    </row>
    <row r="11" spans="1:34">
      <c r="A11" s="251"/>
      <c r="B11" s="251"/>
      <c r="C11" s="252"/>
      <c r="D11" s="252"/>
      <c r="E11" s="251"/>
      <c r="F11" s="362"/>
      <c r="G11" s="252"/>
      <c r="H11" s="252"/>
      <c r="I11" s="251"/>
      <c r="J11" s="251"/>
      <c r="K11" s="251"/>
      <c r="L11" s="251"/>
      <c r="M11" s="251"/>
      <c r="N11" s="251"/>
      <c r="O11" s="251"/>
      <c r="P11" s="251"/>
      <c r="Q11" s="251"/>
      <c r="R11" s="251"/>
      <c r="S11" s="251"/>
      <c r="T11" s="251"/>
      <c r="U11" s="251"/>
      <c r="V11" s="251"/>
      <c r="W11" s="251"/>
      <c r="X11" s="251"/>
      <c r="Y11" s="251"/>
      <c r="Z11" s="251"/>
      <c r="AA11" s="251"/>
      <c r="AB11" s="251"/>
      <c r="AC11" s="251"/>
      <c r="AD11" s="251"/>
      <c r="AE11" s="251"/>
      <c r="AF11" s="251"/>
      <c r="AG11" s="251"/>
      <c r="AH11" s="251"/>
    </row>
    <row r="12" spans="1:34">
      <c r="A12" s="282"/>
      <c r="B12" s="282"/>
      <c r="K12" s="282"/>
    </row>
    <row r="13" spans="1:34">
      <c r="A13" s="282"/>
      <c r="B13" s="282"/>
      <c r="K13" s="282"/>
    </row>
    <row r="14" spans="1:34">
      <c r="A14" s="282"/>
      <c r="B14" s="282"/>
      <c r="K14" s="282"/>
    </row>
    <row r="15" spans="1:34">
      <c r="A15" s="282"/>
      <c r="B15" s="282"/>
      <c r="K15" s="282"/>
    </row>
    <row r="16" spans="1:34">
      <c r="A16" s="282"/>
      <c r="B16" s="282"/>
      <c r="K16" s="282"/>
    </row>
    <row r="17" spans="1:11">
      <c r="A17" s="282"/>
      <c r="B17" s="282"/>
      <c r="K17" s="282"/>
    </row>
    <row r="18" spans="1:11">
      <c r="A18" s="282"/>
      <c r="B18" s="282"/>
      <c r="K18" s="282"/>
    </row>
    <row r="19" spans="1:11">
      <c r="A19" s="282"/>
      <c r="B19" s="282"/>
      <c r="K19" s="282"/>
    </row>
    <row r="20" spans="1:11">
      <c r="A20" s="282"/>
      <c r="B20" s="282"/>
      <c r="K20" s="282"/>
    </row>
    <row r="21" spans="1:11">
      <c r="A21" s="282"/>
      <c r="B21" s="282"/>
      <c r="K21" s="282"/>
    </row>
    <row r="22" spans="1:11">
      <c r="A22" s="282"/>
      <c r="B22" s="282"/>
      <c r="K22" s="282"/>
    </row>
    <row r="23" spans="1:11">
      <c r="A23" s="282"/>
      <c r="B23" s="282"/>
      <c r="K23" s="282"/>
    </row>
    <row r="24" spans="1:11">
      <c r="A24" s="282"/>
      <c r="B24" s="282"/>
      <c r="K24" s="282"/>
    </row>
    <row r="25" spans="1:11">
      <c r="A25" s="282"/>
      <c r="B25" s="282"/>
      <c r="K25" s="282"/>
    </row>
    <row r="26" spans="1:11">
      <c r="A26" s="282"/>
      <c r="B26" s="282"/>
      <c r="K26" s="282"/>
    </row>
    <row r="27" spans="1:11">
      <c r="A27" s="282"/>
      <c r="B27" s="282"/>
      <c r="K27" s="282"/>
    </row>
  </sheetData>
  <conditionalFormatting sqref="G1 F2:F11">
    <cfRule type="containsText" dxfId="93" priority="4" operator="containsText" text="Closed">
      <formula>NOT(ISERROR(SEARCH("Closed",F1)))</formula>
    </cfRule>
    <cfRule type="containsText" dxfId="92" priority="5" operator="containsText" text="Open">
      <formula>NOT(ISERROR(SEARCH("Open",F1)))</formula>
    </cfRule>
    <cfRule type="containsText" dxfId="91" priority="6" operator="containsText" text="Inprogress">
      <formula>NOT(ISERROR(SEARCH("Inprogress",F1)))</formula>
    </cfRule>
  </conditionalFormatting>
  <dataValidations count="13">
    <dataValidation showErrorMessage="1" sqref="F1" xr:uid="{6EEEF6C0-7BBA-40D1-8C64-C3823E0571C4}"/>
    <dataValidation type="list" allowBlank="1" showErrorMessage="1" sqref="G1" xr:uid="{256A1A6B-42B3-4DC1-90B5-A0BDBE192C7E}">
      <formula1>"Open,Inprogress,Closed"</formula1>
    </dataValidation>
    <dataValidation type="list" showErrorMessage="1" sqref="W1:X1" xr:uid="{E7EB002B-7D71-4956-9E4E-FD8C95E7BD36}">
      <formula1>"Pending-Waiting for Customer confirmation, Approved-Satisified AC,Not Approved-New minor changes requested(Back to Dev),NA,TBD"</formula1>
    </dataValidation>
    <dataValidation type="list" showErrorMessage="1" sqref="V1" xr:uid="{05090D7F-E512-4519-85C1-1ACA85E55F89}">
      <formula1>"Approved-Satisified AC,Not Approved(Back to Dev),NA,TBD"</formula1>
    </dataValidation>
    <dataValidation type="list" showErrorMessage="1" sqref="N1 R1:R11 U8:U11 U1:U6 M1:M11" xr:uid="{21EA3A42-E35F-446E-8BF4-3868D17B5458}">
      <formula1>"No issues found,Issues observed(BacktoDev),DB Script tests in QA DB,NA,TBD"</formula1>
    </dataValidation>
    <dataValidation type="list" showErrorMessage="1" sqref="K7:K11" xr:uid="{F74A5953-22CC-4361-8885-8E7F39066E85}">
      <formula1>"Pass,Fail(BacktoDev),DB Script tests in QA DB"</formula1>
    </dataValidation>
    <dataValidation type="list" showErrorMessage="1" sqref="S1:T2 T4 T7:U8 O10:P10 I1:I11 S3:S11 Q1:Q11" xr:uid="{7DC02C28-4F37-4598-B8BD-EC4335477DFB}">
      <formula1>"Open,Inprogress,Completed,TBD,NA"</formula1>
    </dataValidation>
    <dataValidation type="list" allowBlank="1" showErrorMessage="1" sqref="I12:I19" xr:uid="{F42C71CD-1627-4062-B677-56314B902D5C}">
      <formula1>"Open,Inprogress,Closed,TBD,NA"</formula1>
    </dataValidation>
    <dataValidation allowBlank="1" showInputMessage="1" showErrorMessage="1" sqref="N2:N4 V2:W10" xr:uid="{E363D20B-2DD4-4AEC-BA8D-E62D88B6949B}"/>
    <dataValidation type="list" allowBlank="1" showErrorMessage="1" sqref="F2:F11" xr:uid="{CD2D5F91-881F-4F65-AFCF-95143261527E}">
      <formula1>"Open,Inprogress,Closed,On Hold"</formula1>
    </dataValidation>
    <dataValidation type="list" showErrorMessage="1" sqref="L1:L11" xr:uid="{128F4EEB-DDF1-4863-87CF-5E88E7B9ECA2}">
      <formula1>"Qadir,Rijo,Karthik,None,TBD"</formula1>
    </dataValidation>
    <dataValidation type="list" showErrorMessage="1" sqref="J1:J11" xr:uid="{2F33DCFA-7CCC-4639-BF79-66E8D1E941A7}">
      <formula1>"Qadir,Rijo,Karthik,Sushmitha,None,TBD"</formula1>
    </dataValidation>
    <dataValidation type="list" showErrorMessage="1" sqref="K8 K1:K6" xr:uid="{BF6F370B-96D8-4CE6-8822-13C3049D22D2}">
      <formula1>"Pass,Fail(BacktoDev),DB Script tests in QA DB,TBD"</formula1>
    </dataValidation>
  </dataValidations>
  <hyperlinks>
    <hyperlink ref="N5" r:id="rId1" xr:uid="{10F3E27E-AF40-4CAF-BD3D-BD41F4AC65DC}"/>
    <hyperlink ref="N3" r:id="rId2" xr:uid="{3789E57C-5FF1-47B9-9BAE-1C33A09BC05B}"/>
    <hyperlink ref="N9" r:id="rId3" xr:uid="{59EB6CB8-10E1-4CCE-98FD-1A99EE9520A9}"/>
    <hyperlink ref="N2" r:id="rId4" xr:uid="{915CACAE-8D10-4319-833F-04559ACC6113}"/>
    <hyperlink ref="N7" r:id="rId5" xr:uid="{8343C1B9-63FA-4033-8631-1C4001DAE2D6}"/>
  </hyperlinks>
  <pageMargins left="0.7" right="0.7" top="0.75" bottom="0.75" header="0.3" footer="0.3"/>
  <tableParts count="1">
    <tablePart r:id="rId6"/>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D7802-39DD-44A0-910E-9D2DEFD20D9E}">
  <dimension ref="A1:AH31"/>
  <sheetViews>
    <sheetView workbookViewId="0">
      <pane ySplit="2" topLeftCell="A3" activePane="bottomLeft" state="frozen"/>
      <selection pane="bottomLeft" activeCell="F16" sqref="F16"/>
    </sheetView>
  </sheetViews>
  <sheetFormatPr defaultRowHeight="12.75"/>
  <cols>
    <col min="1" max="1" width="5.42578125" style="310" customWidth="1"/>
    <col min="2" max="2" width="10.28515625" style="311" customWidth="1"/>
    <col min="3" max="3" width="11.140625" style="111" customWidth="1"/>
    <col min="4" max="4" width="11" style="111" customWidth="1"/>
    <col min="5" max="5" width="58.42578125" style="282" customWidth="1"/>
    <col min="6" max="6" width="11.140625" style="111" customWidth="1"/>
    <col min="7" max="7" width="9.140625" style="111" bestFit="1" customWidth="1"/>
    <col min="8" max="8" width="6.140625" style="282" customWidth="1"/>
    <col min="9" max="9" width="10.42578125" style="282" customWidth="1"/>
    <col min="10" max="10" width="11.5703125" style="282" customWidth="1"/>
    <col min="11" max="11" width="20.85546875" style="311" customWidth="1"/>
    <col min="12" max="12" width="13.28515625" style="282" customWidth="1"/>
    <col min="13" max="13" width="14.5703125" style="282" customWidth="1"/>
    <col min="14" max="14" width="31.5703125" style="282" customWidth="1"/>
    <col min="15" max="15" width="10.42578125" style="282" customWidth="1"/>
    <col min="16" max="16" width="11.140625" style="282" customWidth="1"/>
    <col min="17" max="17" width="11.42578125" style="282" customWidth="1"/>
    <col min="18" max="18" width="21.42578125" style="282" customWidth="1"/>
    <col min="19" max="19" width="26" style="282" customWidth="1"/>
    <col min="20" max="20" width="14.85546875" style="282" customWidth="1"/>
    <col min="21" max="21" width="17.5703125" style="282" customWidth="1"/>
    <col min="22" max="22" width="27.140625" style="282" customWidth="1"/>
    <col min="23" max="23" width="26.7109375" style="282" customWidth="1"/>
    <col min="24" max="24" width="40" style="282" customWidth="1"/>
    <col min="25" max="34" width="25.42578125" style="282" customWidth="1"/>
    <col min="35" max="16384" width="9.140625" style="282"/>
  </cols>
  <sheetData>
    <row r="1" spans="1:34" ht="12.75" customHeight="1">
      <c r="A1" s="337" t="s">
        <v>266</v>
      </c>
      <c r="B1" s="695" t="s">
        <v>278</v>
      </c>
      <c r="C1" s="695" t="s">
        <v>269</v>
      </c>
      <c r="D1" s="695" t="s">
        <v>279</v>
      </c>
      <c r="E1" s="695" t="s">
        <v>280</v>
      </c>
      <c r="F1" s="695" t="s">
        <v>1197</v>
      </c>
      <c r="G1" s="695" t="s">
        <v>1195</v>
      </c>
      <c r="H1" s="695" t="s">
        <v>1196</v>
      </c>
      <c r="I1" s="699" t="s">
        <v>1199</v>
      </c>
      <c r="J1" s="700"/>
      <c r="K1" s="700"/>
      <c r="L1" s="700"/>
      <c r="M1" s="700"/>
      <c r="N1" s="700"/>
      <c r="O1" s="700"/>
      <c r="P1" s="700"/>
      <c r="Q1" s="700"/>
      <c r="R1" s="700"/>
      <c r="S1" s="700"/>
      <c r="T1" s="700"/>
      <c r="U1" s="700"/>
      <c r="V1" s="700"/>
      <c r="W1" s="701"/>
      <c r="X1" s="697" t="s">
        <v>1198</v>
      </c>
      <c r="Y1" s="693" t="s">
        <v>1200</v>
      </c>
      <c r="Z1" s="694"/>
      <c r="AA1" s="694"/>
      <c r="AB1" s="694"/>
      <c r="AC1" s="694"/>
      <c r="AD1" s="694"/>
      <c r="AE1" s="694"/>
      <c r="AF1" s="694"/>
      <c r="AG1" s="694"/>
      <c r="AH1" s="694"/>
    </row>
    <row r="2" spans="1:34">
      <c r="A2" s="282"/>
      <c r="B2" s="696"/>
      <c r="C2" s="696"/>
      <c r="D2" s="696"/>
      <c r="E2" s="696"/>
      <c r="F2" s="696"/>
      <c r="G2" s="696"/>
      <c r="H2" s="696"/>
      <c r="I2" s="282" t="s">
        <v>286</v>
      </c>
      <c r="J2" s="282" t="s">
        <v>287</v>
      </c>
      <c r="K2" s="282" t="s">
        <v>288</v>
      </c>
      <c r="L2" s="282" t="s">
        <v>289</v>
      </c>
      <c r="M2" s="282" t="s">
        <v>290</v>
      </c>
      <c r="N2" s="282" t="s">
        <v>291</v>
      </c>
      <c r="O2" s="282" t="s">
        <v>292</v>
      </c>
      <c r="P2" s="282" t="s">
        <v>293</v>
      </c>
      <c r="Q2" s="282" t="s">
        <v>294</v>
      </c>
      <c r="R2" s="282" t="s">
        <v>1201</v>
      </c>
      <c r="S2" s="282" t="s">
        <v>296</v>
      </c>
      <c r="T2" s="282" t="s">
        <v>1202</v>
      </c>
      <c r="U2" s="282" t="s">
        <v>1201</v>
      </c>
      <c r="V2" s="282" t="s">
        <v>299</v>
      </c>
      <c r="W2" s="282" t="s">
        <v>300</v>
      </c>
      <c r="X2" s="698"/>
      <c r="Y2" s="336">
        <v>45616</v>
      </c>
      <c r="Z2" s="336">
        <v>45617</v>
      </c>
      <c r="AA2" s="336">
        <v>45618</v>
      </c>
      <c r="AB2" s="336">
        <v>45621</v>
      </c>
      <c r="AC2" s="336">
        <v>45622</v>
      </c>
      <c r="AD2" s="336">
        <v>45623</v>
      </c>
      <c r="AE2" s="336">
        <v>45624</v>
      </c>
      <c r="AF2" s="336">
        <v>45625</v>
      </c>
      <c r="AG2" s="336">
        <v>45628</v>
      </c>
      <c r="AH2" s="336">
        <v>45629</v>
      </c>
    </row>
    <row r="3" spans="1:34">
      <c r="A3" s="282">
        <v>1</v>
      </c>
      <c r="B3" s="282" t="s">
        <v>1203</v>
      </c>
      <c r="C3" s="282" t="s">
        <v>317</v>
      </c>
      <c r="D3" s="282">
        <v>24315</v>
      </c>
      <c r="E3" s="282" t="s">
        <v>1204</v>
      </c>
      <c r="F3" s="282" t="s">
        <v>1205</v>
      </c>
      <c r="G3" s="282">
        <v>3</v>
      </c>
      <c r="I3" s="282" t="s">
        <v>1207</v>
      </c>
      <c r="J3" s="282" t="s">
        <v>1207</v>
      </c>
      <c r="K3" s="282" t="s">
        <v>1207</v>
      </c>
      <c r="L3" s="282" t="s">
        <v>1207</v>
      </c>
      <c r="M3" s="282" t="s">
        <v>1207</v>
      </c>
      <c r="Q3" s="282" t="s">
        <v>1207</v>
      </c>
      <c r="R3" s="282" t="s">
        <v>1207</v>
      </c>
      <c r="S3" s="282" t="s">
        <v>1207</v>
      </c>
      <c r="U3" s="282" t="s">
        <v>1207</v>
      </c>
      <c r="V3" s="282" t="s">
        <v>1207</v>
      </c>
      <c r="W3" s="282" t="s">
        <v>1207</v>
      </c>
      <c r="X3" s="253" t="s">
        <v>3869</v>
      </c>
      <c r="Y3" s="253" t="s">
        <v>723</v>
      </c>
      <c r="Z3" s="253" t="s">
        <v>3870</v>
      </c>
      <c r="AA3" s="253" t="s">
        <v>3869</v>
      </c>
      <c r="AB3" s="253"/>
      <c r="AC3" s="253"/>
      <c r="AD3" s="253"/>
      <c r="AE3" s="253"/>
      <c r="AF3" s="253"/>
      <c r="AG3" s="253"/>
      <c r="AH3" s="253"/>
    </row>
    <row r="4" spans="1:34">
      <c r="A4" s="282">
        <v>1</v>
      </c>
      <c r="B4" s="282" t="s">
        <v>1203</v>
      </c>
      <c r="C4" s="282" t="s">
        <v>317</v>
      </c>
      <c r="D4" s="282">
        <v>24315</v>
      </c>
      <c r="E4" s="282" t="s">
        <v>1204</v>
      </c>
      <c r="F4" s="282" t="s">
        <v>1205</v>
      </c>
      <c r="G4" s="282">
        <v>3</v>
      </c>
      <c r="I4" s="282" t="s">
        <v>1207</v>
      </c>
      <c r="J4" s="282" t="s">
        <v>1207</v>
      </c>
      <c r="K4" s="282" t="s">
        <v>1207</v>
      </c>
      <c r="L4" s="282" t="s">
        <v>1207</v>
      </c>
      <c r="M4" s="282" t="s">
        <v>1207</v>
      </c>
      <c r="Q4" s="282" t="s">
        <v>1207</v>
      </c>
      <c r="R4" s="282" t="s">
        <v>1207</v>
      </c>
      <c r="S4" s="282" t="s">
        <v>1207</v>
      </c>
      <c r="U4" s="282" t="s">
        <v>1207</v>
      </c>
      <c r="V4" s="282" t="s">
        <v>1207</v>
      </c>
      <c r="W4" s="282" t="s">
        <v>1207</v>
      </c>
      <c r="X4" s="253" t="s">
        <v>3869</v>
      </c>
      <c r="Y4" s="253" t="s">
        <v>723</v>
      </c>
      <c r="Z4" s="253" t="s">
        <v>3870</v>
      </c>
      <c r="AA4" s="253" t="s">
        <v>3869</v>
      </c>
      <c r="AB4" s="253"/>
      <c r="AC4" s="253"/>
      <c r="AD4" s="253"/>
      <c r="AE4" s="253"/>
      <c r="AF4" s="253"/>
      <c r="AG4" s="253"/>
      <c r="AH4" s="253"/>
    </row>
    <row r="5" spans="1:34">
      <c r="A5" s="282">
        <v>2</v>
      </c>
      <c r="B5" s="282" t="s">
        <v>1203</v>
      </c>
      <c r="C5" s="282" t="s">
        <v>317</v>
      </c>
      <c r="D5" s="282">
        <v>24316</v>
      </c>
      <c r="E5" s="282" t="s">
        <v>1208</v>
      </c>
      <c r="F5" s="282" t="s">
        <v>1205</v>
      </c>
      <c r="G5" s="282">
        <v>2</v>
      </c>
      <c r="I5" s="282" t="s">
        <v>12</v>
      </c>
      <c r="J5" s="282" t="s">
        <v>115</v>
      </c>
      <c r="K5" s="282" t="s">
        <v>1207</v>
      </c>
      <c r="L5" s="282" t="s">
        <v>115</v>
      </c>
      <c r="M5" s="282" t="s">
        <v>3871</v>
      </c>
      <c r="Q5" s="282" t="s">
        <v>1207</v>
      </c>
      <c r="R5" s="282" t="s">
        <v>1207</v>
      </c>
      <c r="S5" s="282" t="s">
        <v>320</v>
      </c>
      <c r="U5" s="282" t="s">
        <v>1207</v>
      </c>
      <c r="V5" s="282" t="s">
        <v>1207</v>
      </c>
      <c r="W5" s="282" t="s">
        <v>1207</v>
      </c>
      <c r="X5" s="253" t="s">
        <v>2284</v>
      </c>
      <c r="Y5" s="253" t="s">
        <v>1210</v>
      </c>
      <c r="Z5" s="253" t="s">
        <v>3872</v>
      </c>
      <c r="AA5" s="253" t="s">
        <v>2284</v>
      </c>
      <c r="AB5" s="253"/>
      <c r="AC5" s="253"/>
      <c r="AD5" s="253"/>
      <c r="AE5" s="253"/>
      <c r="AF5" s="253"/>
      <c r="AG5" s="253"/>
      <c r="AH5" s="253"/>
    </row>
    <row r="6" spans="1:34">
      <c r="A6" s="282">
        <v>3</v>
      </c>
      <c r="B6" s="282" t="s">
        <v>1203</v>
      </c>
      <c r="C6" s="282" t="s">
        <v>317</v>
      </c>
      <c r="D6" s="282">
        <v>24317</v>
      </c>
      <c r="E6" s="282" t="s">
        <v>1211</v>
      </c>
      <c r="F6" s="282" t="s">
        <v>1205</v>
      </c>
      <c r="G6" s="282">
        <v>1</v>
      </c>
      <c r="I6" s="282" t="s">
        <v>12</v>
      </c>
      <c r="J6" s="282" t="s">
        <v>115</v>
      </c>
      <c r="K6" s="282" t="s">
        <v>1207</v>
      </c>
      <c r="L6" s="282" t="s">
        <v>115</v>
      </c>
      <c r="M6" s="282" t="s">
        <v>3871</v>
      </c>
      <c r="Q6" s="282" t="s">
        <v>1207</v>
      </c>
      <c r="R6" s="282" t="s">
        <v>1207</v>
      </c>
      <c r="S6" s="282" t="s">
        <v>320</v>
      </c>
      <c r="U6" s="282" t="s">
        <v>1207</v>
      </c>
      <c r="V6" s="282" t="s">
        <v>1207</v>
      </c>
      <c r="W6" s="282" t="s">
        <v>1207</v>
      </c>
      <c r="X6" s="253" t="s">
        <v>2284</v>
      </c>
      <c r="Y6" s="253" t="s">
        <v>1210</v>
      </c>
      <c r="Z6" s="253" t="s">
        <v>3872</v>
      </c>
      <c r="AA6" s="253" t="s">
        <v>2284</v>
      </c>
      <c r="AB6" s="253"/>
      <c r="AC6" s="253"/>
      <c r="AD6" s="253"/>
      <c r="AE6" s="253"/>
      <c r="AF6" s="253"/>
      <c r="AG6" s="253"/>
      <c r="AH6" s="253"/>
    </row>
    <row r="7" spans="1:34">
      <c r="A7" s="282">
        <v>4</v>
      </c>
      <c r="B7" s="282" t="s">
        <v>1203</v>
      </c>
      <c r="C7" s="282" t="s">
        <v>313</v>
      </c>
      <c r="D7" s="282">
        <v>46587</v>
      </c>
      <c r="E7" s="282" t="s">
        <v>1212</v>
      </c>
      <c r="F7" s="282" t="s">
        <v>1205</v>
      </c>
      <c r="G7" s="282">
        <v>3</v>
      </c>
      <c r="I7" s="282" t="s">
        <v>1207</v>
      </c>
      <c r="J7" s="282" t="s">
        <v>1207</v>
      </c>
      <c r="K7" s="282" t="s">
        <v>1207</v>
      </c>
      <c r="L7" s="282" t="s">
        <v>1207</v>
      </c>
      <c r="M7" s="282" t="s">
        <v>1207</v>
      </c>
      <c r="Q7" s="282" t="s">
        <v>1207</v>
      </c>
      <c r="R7" s="282" t="s">
        <v>1207</v>
      </c>
      <c r="S7" s="282" t="s">
        <v>1207</v>
      </c>
      <c r="U7" s="282" t="s">
        <v>1207</v>
      </c>
      <c r="V7" s="282" t="s">
        <v>1207</v>
      </c>
      <c r="W7" s="282" t="s">
        <v>1207</v>
      </c>
      <c r="X7" s="253" t="s">
        <v>3873</v>
      </c>
      <c r="Y7" s="253" t="s">
        <v>1214</v>
      </c>
      <c r="Z7" s="253" t="s">
        <v>3874</v>
      </c>
      <c r="AA7" s="253" t="s">
        <v>3873</v>
      </c>
      <c r="AB7" s="253"/>
      <c r="AC7" s="253"/>
      <c r="AD7" s="253"/>
      <c r="AE7" s="253"/>
      <c r="AF7" s="253"/>
      <c r="AG7" s="253"/>
      <c r="AH7" s="253"/>
    </row>
    <row r="8" spans="1:34">
      <c r="A8" s="282">
        <v>5</v>
      </c>
      <c r="B8" s="282" t="s">
        <v>1203</v>
      </c>
      <c r="C8" s="282" t="s">
        <v>1216</v>
      </c>
      <c r="D8" s="282">
        <v>46303</v>
      </c>
      <c r="E8" s="282" t="s">
        <v>1215</v>
      </c>
      <c r="F8" s="282" t="s">
        <v>1205</v>
      </c>
      <c r="G8" s="282">
        <v>2</v>
      </c>
      <c r="I8" s="282" t="s">
        <v>1207</v>
      </c>
      <c r="J8" s="282" t="s">
        <v>1207</v>
      </c>
      <c r="K8" s="282" t="s">
        <v>1207</v>
      </c>
      <c r="L8" s="282" t="s">
        <v>1207</v>
      </c>
      <c r="M8" s="282" t="s">
        <v>1207</v>
      </c>
      <c r="Q8" s="282" t="s">
        <v>1207</v>
      </c>
      <c r="R8" s="282" t="s">
        <v>1207</v>
      </c>
      <c r="S8" s="282" t="s">
        <v>1207</v>
      </c>
      <c r="U8" s="282" t="s">
        <v>1207</v>
      </c>
      <c r="V8" s="282" t="s">
        <v>1207</v>
      </c>
      <c r="W8" s="282" t="s">
        <v>1207</v>
      </c>
      <c r="X8" s="253" t="s">
        <v>3875</v>
      </c>
      <c r="Y8" s="253" t="s">
        <v>1218</v>
      </c>
      <c r="Z8" s="253" t="s">
        <v>3876</v>
      </c>
      <c r="AA8" s="253" t="s">
        <v>3875</v>
      </c>
      <c r="AB8" s="253"/>
      <c r="AC8" s="253"/>
      <c r="AD8" s="253"/>
      <c r="AE8" s="253"/>
      <c r="AF8" s="253"/>
      <c r="AG8" s="253"/>
      <c r="AH8" s="253"/>
    </row>
    <row r="9" spans="1:34">
      <c r="A9" s="282">
        <v>6</v>
      </c>
      <c r="B9" s="282" t="s">
        <v>1219</v>
      </c>
      <c r="C9" s="282" t="s">
        <v>315</v>
      </c>
      <c r="D9" s="135">
        <v>46200</v>
      </c>
      <c r="E9" s="282" t="s">
        <v>1220</v>
      </c>
      <c r="F9" s="282" t="s">
        <v>1205</v>
      </c>
      <c r="G9" s="282">
        <v>8</v>
      </c>
      <c r="I9" s="282" t="s">
        <v>1207</v>
      </c>
      <c r="J9" s="282" t="s">
        <v>1207</v>
      </c>
      <c r="K9" s="282" t="s">
        <v>1207</v>
      </c>
      <c r="L9" s="282" t="s">
        <v>1207</v>
      </c>
      <c r="M9" s="282" t="s">
        <v>1207</v>
      </c>
      <c r="Q9" s="282" t="s">
        <v>1207</v>
      </c>
      <c r="R9" s="282" t="s">
        <v>1207</v>
      </c>
      <c r="S9" s="282" t="s">
        <v>1207</v>
      </c>
      <c r="U9" s="282" t="s">
        <v>1207</v>
      </c>
      <c r="V9" s="282" t="s">
        <v>1207</v>
      </c>
      <c r="W9" s="282" t="s">
        <v>1207</v>
      </c>
      <c r="X9" s="282" t="s">
        <v>3877</v>
      </c>
      <c r="Y9" s="253" t="s">
        <v>1221</v>
      </c>
      <c r="Z9" s="282" t="s">
        <v>3878</v>
      </c>
      <c r="AA9" s="282" t="s">
        <v>3877</v>
      </c>
    </row>
    <row r="10" spans="1:34">
      <c r="A10" s="282">
        <v>7</v>
      </c>
      <c r="B10" s="282" t="s">
        <v>1203</v>
      </c>
      <c r="C10" s="282" t="s">
        <v>313</v>
      </c>
      <c r="D10" s="282">
        <v>46585</v>
      </c>
      <c r="E10" s="282" t="s">
        <v>3879</v>
      </c>
      <c r="F10" s="282" t="s">
        <v>1205</v>
      </c>
      <c r="G10" s="282">
        <v>3</v>
      </c>
      <c r="I10" s="282" t="s">
        <v>1207</v>
      </c>
      <c r="J10" s="282" t="s">
        <v>1207</v>
      </c>
      <c r="K10" s="282" t="s">
        <v>1207</v>
      </c>
      <c r="L10" s="282" t="s">
        <v>1207</v>
      </c>
      <c r="M10" s="282" t="s">
        <v>1207</v>
      </c>
      <c r="Q10" s="282" t="s">
        <v>1207</v>
      </c>
      <c r="R10" s="282" t="s">
        <v>1207</v>
      </c>
      <c r="S10" s="282" t="s">
        <v>1207</v>
      </c>
      <c r="U10" s="282" t="s">
        <v>1207</v>
      </c>
      <c r="V10" s="282" t="s">
        <v>1207</v>
      </c>
      <c r="W10" s="282" t="s">
        <v>1207</v>
      </c>
      <c r="X10" s="282" t="s">
        <v>3880</v>
      </c>
      <c r="Y10" s="282" t="s">
        <v>434</v>
      </c>
      <c r="Z10" s="282" t="s">
        <v>434</v>
      </c>
      <c r="AA10" s="282" t="s">
        <v>3880</v>
      </c>
    </row>
    <row r="11" spans="1:34">
      <c r="A11" s="282">
        <v>8</v>
      </c>
      <c r="B11" s="282"/>
      <c r="C11" s="282"/>
      <c r="D11" s="282"/>
      <c r="F11" s="282"/>
      <c r="G11" s="282"/>
      <c r="K11" s="282"/>
    </row>
    <row r="12" spans="1:34">
      <c r="A12" s="282">
        <v>9</v>
      </c>
      <c r="B12" s="282"/>
      <c r="C12" s="282"/>
      <c r="D12" s="282"/>
      <c r="F12" s="282"/>
      <c r="G12" s="282"/>
      <c r="K12" s="282"/>
    </row>
    <row r="13" spans="1:34">
      <c r="A13" s="282">
        <v>10</v>
      </c>
      <c r="B13" s="282"/>
      <c r="C13" s="282"/>
      <c r="D13" s="282"/>
      <c r="F13" s="282"/>
      <c r="G13" s="282"/>
      <c r="K13" s="282"/>
    </row>
    <row r="14" spans="1:34">
      <c r="A14" s="282"/>
      <c r="B14" s="282"/>
      <c r="C14" s="282"/>
      <c r="D14" s="282"/>
      <c r="F14" s="282"/>
      <c r="G14" s="282"/>
      <c r="K14" s="282"/>
    </row>
    <row r="15" spans="1:34">
      <c r="A15" s="282"/>
      <c r="B15" s="282"/>
      <c r="C15" s="282"/>
      <c r="D15" s="282"/>
      <c r="F15" s="282"/>
      <c r="G15" s="282"/>
      <c r="K15" s="282"/>
    </row>
    <row r="16" spans="1:34">
      <c r="A16" s="282"/>
      <c r="B16" s="282"/>
      <c r="C16" s="282"/>
      <c r="D16" s="282"/>
      <c r="F16" s="282"/>
      <c r="G16" s="282"/>
      <c r="K16" s="282"/>
    </row>
    <row r="17" s="282" customFormat="1"/>
    <row r="18" s="282" customFormat="1"/>
    <row r="19" s="282" customFormat="1"/>
    <row r="20" s="282" customFormat="1"/>
    <row r="21" s="282" customFormat="1"/>
    <row r="22" s="282" customFormat="1"/>
    <row r="23" s="282" customFormat="1"/>
    <row r="24" s="282" customFormat="1"/>
    <row r="25" s="282" customFormat="1"/>
    <row r="26" s="282" customFormat="1"/>
    <row r="27" s="282" customFormat="1"/>
    <row r="28" s="282" customFormat="1"/>
    <row r="29" s="282" customFormat="1"/>
    <row r="30" s="282" customFormat="1"/>
    <row r="31" s="282" customFormat="1"/>
  </sheetData>
  <mergeCells count="10">
    <mergeCell ref="Y1:AH1"/>
    <mergeCell ref="B1:B2"/>
    <mergeCell ref="D1:D2"/>
    <mergeCell ref="E1:E2"/>
    <mergeCell ref="G1:G2"/>
    <mergeCell ref="C1:C2"/>
    <mergeCell ref="F1:F2"/>
    <mergeCell ref="X1:X2"/>
    <mergeCell ref="I1:W1"/>
    <mergeCell ref="H1:H2"/>
  </mergeCells>
  <conditionalFormatting sqref="F3:F11">
    <cfRule type="containsText" dxfId="53" priority="1" operator="containsText" text="Closed">
      <formula>NOT(ISERROR(SEARCH("Closed",F3)))</formula>
    </cfRule>
    <cfRule type="containsText" dxfId="52" priority="2" operator="containsText" text="Open">
      <formula>NOT(ISERROR(SEARCH("Open",F3)))</formula>
    </cfRule>
    <cfRule type="containsText" dxfId="51" priority="3" operator="containsText" text="Inprogress">
      <formula>NOT(ISERROR(SEARCH("Inprogress",F3)))</formula>
    </cfRule>
  </conditionalFormatting>
  <dataValidations count="12">
    <dataValidation type="list" showErrorMessage="1" sqref="W3:X11" xr:uid="{8200A373-9C38-476C-B15C-162F3C2B0C5A}">
      <formula1>"Pending-Waiting for Customer confirmation, Approved-Satisified AC,Not Approved-New minor changes requested(Back to Dev),NA,TBD"</formula1>
    </dataValidation>
    <dataValidation type="list" showErrorMessage="1" sqref="V3:V11" xr:uid="{4C496BCA-0580-4BFD-ACD4-A14DE2D46C6B}">
      <formula1>"Approved-Satisified AC,Not Approved(Back to Dev),NA,TBD"</formula1>
    </dataValidation>
    <dataValidation type="list" showErrorMessage="1" sqref="L3:L11" xr:uid="{8A537CB2-266F-41B2-AA06-6A9F829B2FE4}">
      <formula1>"Qadir,Rijo,Karthik,None,TBD"</formula1>
    </dataValidation>
    <dataValidation type="list" showErrorMessage="1" sqref="M4:N4 M3 M5:M11 R3:R11 U3:U11" xr:uid="{274D9CDD-1B3A-4A49-8E37-EF43B9708D72}">
      <formula1>"No issues found,Issues observed(BacktoDev),DB Script tests in QA DB,NA,TBD"</formula1>
    </dataValidation>
    <dataValidation type="list" showErrorMessage="1" sqref="J3:J11" xr:uid="{1193F084-5346-4109-BD7D-FD99FA577861}">
      <formula1>"Qadir,Rijo,Karthik,Sushmitha,None,TBD"</formula1>
    </dataValidation>
    <dataValidation type="list" showErrorMessage="1" sqref="M12:M14" xr:uid="{08ED82F3-D11B-4D38-A830-36BF8C3D9A6A}">
      <formula1>"Pass,Fail(BacktoDev),DB Script tests in QA DB,NA"</formula1>
    </dataValidation>
    <dataValidation type="list" showErrorMessage="1" sqref="L12:L14" xr:uid="{649E94A0-5DDE-415C-9976-469AB11542C0}">
      <formula1>"Qadir,Rijo,Karthik,None"</formula1>
    </dataValidation>
    <dataValidation type="list" showErrorMessage="1" sqref="K10:K14" xr:uid="{3E29A0AD-04B9-4AE1-A8B0-991F7DB81671}">
      <formula1>"Pass,Fail(BacktoDev),DB Script tests in QA DB"</formula1>
    </dataValidation>
    <dataValidation type="list" showErrorMessage="1" sqref="T5:T6 N5:Q5 Q6:Q9 S4:T4 Q3:Q4 S3 I3:I14 S5:S11 O10:Q11" xr:uid="{F8B5D7FE-6619-4541-B628-0C6D18FEE648}">
      <formula1>"Open,Inprogress,Completed,TBD,NA"</formula1>
    </dataValidation>
    <dataValidation type="list" allowBlank="1" showErrorMessage="1" sqref="I15:I23" xr:uid="{5925A48B-6D94-4521-8B15-F2A37F8E361E}">
      <formula1>"Open,Inprogress,Closed,TBD,NA"</formula1>
    </dataValidation>
    <dataValidation type="list" allowBlank="1" showErrorMessage="1" sqref="F3:F14" xr:uid="{82A820A4-B4AD-4431-B35C-4FE13C8544B0}">
      <formula1>"Open,Inprogress,Closed"</formula1>
    </dataValidation>
    <dataValidation type="list" showErrorMessage="1" sqref="K3:K9" xr:uid="{CBAE6185-BB83-4C6D-BBE6-C08D481DDF95}">
      <formula1>"Pass,Fail(BacktoDev),DB Script tests in QA DB,TBD"</formula1>
    </dataValidation>
  </dataValidations>
  <pageMargins left="0.7" right="0.7" top="0.75" bottom="0.75" header="0.3" footer="0.3"/>
  <tableParts count="1">
    <tablePart r:id="rId1"/>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A021-8275-4FD1-A38B-442DC7CDC5AE}">
  <dimension ref="A1:AH27"/>
  <sheetViews>
    <sheetView workbookViewId="0">
      <pane ySplit="1" topLeftCell="L2" activePane="bottomLeft" state="frozen"/>
      <selection pane="bottomLeft" activeCell="L25" sqref="L25"/>
    </sheetView>
  </sheetViews>
  <sheetFormatPr defaultRowHeight="12.75"/>
  <cols>
    <col min="1" max="1" width="7" style="310" customWidth="1"/>
    <col min="2" max="2" width="14.5703125" style="311" customWidth="1"/>
    <col min="3" max="3" width="11.42578125" style="111" customWidth="1"/>
    <col min="4" max="4" width="13.28515625" style="111" customWidth="1"/>
    <col min="5" max="5" width="58.42578125" style="282" customWidth="1"/>
    <col min="6" max="6" width="11.140625" style="111" customWidth="1"/>
    <col min="7" max="7" width="11.42578125" style="111" bestFit="1" customWidth="1"/>
    <col min="8" max="8" width="14.42578125" style="282" customWidth="1"/>
    <col min="9" max="9" width="12.42578125" style="282" customWidth="1"/>
    <col min="10" max="10" width="13.85546875" style="282" customWidth="1"/>
    <col min="11" max="11" width="23.140625" style="311" customWidth="1"/>
    <col min="12" max="12" width="15.5703125" style="282" customWidth="1"/>
    <col min="13" max="13" width="22.140625" style="282" customWidth="1"/>
    <col min="14" max="14" width="31.5703125" style="282" customWidth="1"/>
    <col min="15" max="15" width="12.7109375" style="282" customWidth="1"/>
    <col min="16" max="16" width="13.42578125" style="282" customWidth="1"/>
    <col min="17" max="17" width="13.7109375" style="282" customWidth="1"/>
    <col min="18" max="18" width="23.7109375" style="282" customWidth="1"/>
    <col min="19" max="19" width="26" style="282" customWidth="1"/>
    <col min="20" max="20" width="17.140625" style="282" customWidth="1"/>
    <col min="21" max="21" width="19.85546875" style="282" customWidth="1"/>
    <col min="22" max="22" width="27.140625" style="282" customWidth="1"/>
    <col min="23" max="23" width="26.7109375" style="282" customWidth="1"/>
    <col min="24" max="24" width="40" style="282" customWidth="1"/>
    <col min="25" max="27" width="30.7109375" style="282" customWidth="1"/>
    <col min="28" max="34" width="25.42578125" style="282" customWidth="1"/>
    <col min="35" max="16384" width="9.140625" style="282"/>
  </cols>
  <sheetData>
    <row r="1" spans="1:34" ht="39.75" customHeight="1">
      <c r="A1" s="338" t="s">
        <v>266</v>
      </c>
      <c r="B1" s="338" t="s">
        <v>278</v>
      </c>
      <c r="C1" s="338" t="s">
        <v>269</v>
      </c>
      <c r="D1" s="338" t="s">
        <v>279</v>
      </c>
      <c r="E1" s="338" t="s">
        <v>280</v>
      </c>
      <c r="F1" s="338" t="s">
        <v>275</v>
      </c>
      <c r="G1" s="338" t="s">
        <v>3608</v>
      </c>
      <c r="H1" s="338" t="s">
        <v>3609</v>
      </c>
      <c r="I1" s="338" t="s">
        <v>286</v>
      </c>
      <c r="J1" s="338" t="s">
        <v>287</v>
      </c>
      <c r="K1" s="338" t="s">
        <v>288</v>
      </c>
      <c r="L1" s="338" t="s">
        <v>289</v>
      </c>
      <c r="M1" s="338" t="s">
        <v>290</v>
      </c>
      <c r="N1" s="338" t="s">
        <v>291</v>
      </c>
      <c r="O1" s="339" t="s">
        <v>292</v>
      </c>
      <c r="P1" s="339" t="s">
        <v>293</v>
      </c>
      <c r="Q1" s="338" t="s">
        <v>294</v>
      </c>
      <c r="R1" s="338" t="s">
        <v>295</v>
      </c>
      <c r="S1" s="338" t="s">
        <v>296</v>
      </c>
      <c r="T1" s="339" t="s">
        <v>297</v>
      </c>
      <c r="U1" s="338" t="s">
        <v>298</v>
      </c>
      <c r="V1" s="338" t="s">
        <v>299</v>
      </c>
      <c r="W1" s="338" t="s">
        <v>300</v>
      </c>
      <c r="X1" s="340" t="s">
        <v>277</v>
      </c>
      <c r="Y1" s="341" t="s">
        <v>3881</v>
      </c>
      <c r="Z1" s="341" t="s">
        <v>3882</v>
      </c>
      <c r="AA1" s="341" t="s">
        <v>3883</v>
      </c>
      <c r="AB1" s="341" t="s">
        <v>3884</v>
      </c>
      <c r="AC1" s="341" t="s">
        <v>3885</v>
      </c>
      <c r="AD1" s="341" t="s">
        <v>3886</v>
      </c>
      <c r="AE1" s="341" t="s">
        <v>3887</v>
      </c>
      <c r="AF1" s="341" t="s">
        <v>3888</v>
      </c>
      <c r="AG1" s="341" t="s">
        <v>3889</v>
      </c>
      <c r="AH1" s="341" t="s">
        <v>3890</v>
      </c>
    </row>
    <row r="2" spans="1:34" ht="35.25">
      <c r="A2" s="282">
        <v>1</v>
      </c>
      <c r="B2" s="282" t="s">
        <v>1203</v>
      </c>
      <c r="C2" s="282" t="s">
        <v>317</v>
      </c>
      <c r="D2" s="282">
        <v>24315</v>
      </c>
      <c r="E2" s="282" t="s">
        <v>1204</v>
      </c>
      <c r="F2" s="342" t="s">
        <v>3762</v>
      </c>
      <c r="G2" s="282">
        <v>5</v>
      </c>
      <c r="I2" s="282" t="s">
        <v>1207</v>
      </c>
      <c r="J2" s="282" t="s">
        <v>1207</v>
      </c>
      <c r="K2" s="282" t="s">
        <v>1207</v>
      </c>
      <c r="L2" s="282" t="s">
        <v>1207</v>
      </c>
      <c r="M2" s="282" t="s">
        <v>1207</v>
      </c>
      <c r="Q2" s="282" t="s">
        <v>1207</v>
      </c>
      <c r="R2" s="282" t="s">
        <v>1207</v>
      </c>
      <c r="S2" s="282" t="s">
        <v>1207</v>
      </c>
      <c r="U2" s="282" t="s">
        <v>1207</v>
      </c>
      <c r="V2" s="282" t="s">
        <v>1207</v>
      </c>
      <c r="W2" s="282" t="s">
        <v>1207</v>
      </c>
      <c r="X2" s="253" t="s">
        <v>3891</v>
      </c>
      <c r="Y2" s="253" t="s">
        <v>723</v>
      </c>
      <c r="Z2" s="253" t="s">
        <v>3870</v>
      </c>
      <c r="AA2" s="253" t="s">
        <v>3869</v>
      </c>
      <c r="AB2" s="253" t="s">
        <v>3891</v>
      </c>
      <c r="AC2" s="253" t="s">
        <v>3892</v>
      </c>
      <c r="AD2" s="253" t="s">
        <v>3893</v>
      </c>
      <c r="AE2" s="253"/>
      <c r="AF2" s="253" t="s">
        <v>3893</v>
      </c>
      <c r="AG2" s="251" t="s">
        <v>3894</v>
      </c>
      <c r="AH2" s="253" t="s">
        <v>3895</v>
      </c>
    </row>
    <row r="3" spans="1:34">
      <c r="A3" s="282">
        <v>2</v>
      </c>
      <c r="B3" s="282" t="s">
        <v>1203</v>
      </c>
      <c r="C3" s="282" t="s">
        <v>317</v>
      </c>
      <c r="D3" s="282">
        <v>24316</v>
      </c>
      <c r="E3" s="282" t="s">
        <v>1208</v>
      </c>
      <c r="F3" s="342" t="s">
        <v>576</v>
      </c>
      <c r="G3" s="282">
        <v>2</v>
      </c>
      <c r="I3" s="282" t="s">
        <v>12</v>
      </c>
      <c r="J3" s="282" t="s">
        <v>115</v>
      </c>
      <c r="K3" s="282" t="s">
        <v>3871</v>
      </c>
      <c r="L3" s="282" t="s">
        <v>115</v>
      </c>
      <c r="M3" s="282" t="s">
        <v>3871</v>
      </c>
      <c r="N3" s="343" t="s">
        <v>3896</v>
      </c>
      <c r="O3" s="331">
        <v>45621</v>
      </c>
      <c r="P3" s="331">
        <v>45621</v>
      </c>
      <c r="Q3" s="282" t="s">
        <v>12</v>
      </c>
      <c r="R3" s="282" t="s">
        <v>3226</v>
      </c>
      <c r="S3" s="282" t="s">
        <v>320</v>
      </c>
      <c r="T3" s="282" t="s">
        <v>320</v>
      </c>
      <c r="U3" s="282" t="s">
        <v>3871</v>
      </c>
      <c r="V3" s="282" t="s">
        <v>3624</v>
      </c>
      <c r="W3" s="282" t="s">
        <v>3624</v>
      </c>
      <c r="X3" s="253" t="s">
        <v>3897</v>
      </c>
      <c r="Y3" s="253" t="s">
        <v>1210</v>
      </c>
      <c r="Z3" s="253" t="s">
        <v>3872</v>
      </c>
      <c r="AA3" s="253" t="s">
        <v>2284</v>
      </c>
      <c r="AB3" s="253" t="s">
        <v>3897</v>
      </c>
      <c r="AC3" s="253" t="s">
        <v>434</v>
      </c>
      <c r="AD3" s="253" t="s">
        <v>434</v>
      </c>
      <c r="AE3" s="253" t="s">
        <v>434</v>
      </c>
      <c r="AF3" s="253" t="s">
        <v>434</v>
      </c>
      <c r="AG3" s="253" t="s">
        <v>434</v>
      </c>
      <c r="AH3" s="253" t="s">
        <v>434</v>
      </c>
    </row>
    <row r="4" spans="1:34" ht="23.25">
      <c r="A4" s="282">
        <v>3</v>
      </c>
      <c r="B4" s="282" t="s">
        <v>1203</v>
      </c>
      <c r="C4" s="282" t="s">
        <v>317</v>
      </c>
      <c r="D4" s="282">
        <v>24317</v>
      </c>
      <c r="E4" s="282" t="s">
        <v>1211</v>
      </c>
      <c r="F4" s="342" t="s">
        <v>576</v>
      </c>
      <c r="G4" s="282">
        <v>1</v>
      </c>
      <c r="I4" s="282" t="s">
        <v>12</v>
      </c>
      <c r="J4" s="282" t="s">
        <v>115</v>
      </c>
      <c r="K4" s="282" t="s">
        <v>3871</v>
      </c>
      <c r="L4" s="282" t="s">
        <v>115</v>
      </c>
      <c r="M4" s="282" t="s">
        <v>3871</v>
      </c>
      <c r="N4" s="343" t="s">
        <v>3896</v>
      </c>
      <c r="O4" s="331">
        <v>45621</v>
      </c>
      <c r="P4" s="331">
        <v>45621</v>
      </c>
      <c r="Q4" s="282" t="s">
        <v>12</v>
      </c>
      <c r="R4" s="282" t="s">
        <v>3226</v>
      </c>
      <c r="S4" s="282" t="s">
        <v>320</v>
      </c>
      <c r="U4" s="282" t="s">
        <v>3871</v>
      </c>
      <c r="V4" s="282" t="s">
        <v>3624</v>
      </c>
      <c r="W4" s="311" t="s">
        <v>3898</v>
      </c>
      <c r="X4" s="253" t="s">
        <v>3899</v>
      </c>
      <c r="Y4" s="253" t="s">
        <v>1210</v>
      </c>
      <c r="Z4" s="253" t="s">
        <v>3872</v>
      </c>
      <c r="AA4" s="253" t="s">
        <v>2284</v>
      </c>
      <c r="AB4" s="253" t="s">
        <v>3899</v>
      </c>
      <c r="AC4" s="253" t="s">
        <v>3899</v>
      </c>
      <c r="AD4" s="253" t="s">
        <v>3899</v>
      </c>
      <c r="AE4" s="253" t="s">
        <v>3900</v>
      </c>
      <c r="AF4" s="253" t="s">
        <v>434</v>
      </c>
      <c r="AG4" s="253" t="s">
        <v>434</v>
      </c>
      <c r="AH4" s="253" t="s">
        <v>434</v>
      </c>
    </row>
    <row r="5" spans="1:34">
      <c r="A5" s="282">
        <v>4</v>
      </c>
      <c r="B5" s="282" t="s">
        <v>1203</v>
      </c>
      <c r="C5" s="282" t="s">
        <v>313</v>
      </c>
      <c r="D5" s="282">
        <v>46587</v>
      </c>
      <c r="E5" s="282" t="s">
        <v>1212</v>
      </c>
      <c r="F5" s="342" t="s">
        <v>576</v>
      </c>
      <c r="G5" s="282">
        <v>3</v>
      </c>
      <c r="I5" s="282" t="s">
        <v>12</v>
      </c>
      <c r="J5" s="282" t="s">
        <v>317</v>
      </c>
      <c r="K5" s="282" t="s">
        <v>316</v>
      </c>
      <c r="L5" s="282" t="s">
        <v>317</v>
      </c>
      <c r="M5" s="282" t="s">
        <v>3226</v>
      </c>
      <c r="N5" s="343" t="s">
        <v>3901</v>
      </c>
      <c r="O5" s="331">
        <v>45618</v>
      </c>
      <c r="P5" s="331">
        <v>45618</v>
      </c>
      <c r="Q5" s="282" t="s">
        <v>12</v>
      </c>
      <c r="R5" s="282" t="s">
        <v>3226</v>
      </c>
      <c r="S5" s="282" t="s">
        <v>12</v>
      </c>
      <c r="T5" s="331">
        <v>45618</v>
      </c>
      <c r="U5" s="282" t="s">
        <v>3226</v>
      </c>
      <c r="V5" s="282" t="s">
        <v>1207</v>
      </c>
      <c r="W5" s="282" t="s">
        <v>1207</v>
      </c>
      <c r="X5" s="253" t="s">
        <v>3902</v>
      </c>
      <c r="Y5" s="253" t="s">
        <v>1214</v>
      </c>
      <c r="Z5" s="253" t="s">
        <v>3874</v>
      </c>
      <c r="AA5" s="253" t="s">
        <v>3873</v>
      </c>
      <c r="AB5" s="253" t="s">
        <v>3902</v>
      </c>
      <c r="AC5" s="253" t="s">
        <v>3902</v>
      </c>
      <c r="AD5" s="253" t="s">
        <v>3902</v>
      </c>
      <c r="AE5" s="253" t="s">
        <v>3902</v>
      </c>
      <c r="AF5" s="253" t="s">
        <v>3902</v>
      </c>
      <c r="AG5" s="253" t="s">
        <v>3902</v>
      </c>
      <c r="AH5" s="253"/>
    </row>
    <row r="6" spans="1:34">
      <c r="A6" s="282">
        <v>5</v>
      </c>
      <c r="B6" s="282" t="s">
        <v>1203</v>
      </c>
      <c r="C6" s="282" t="s">
        <v>1216</v>
      </c>
      <c r="D6" s="282">
        <v>46303</v>
      </c>
      <c r="E6" s="282" t="s">
        <v>1215</v>
      </c>
      <c r="F6" s="342" t="s">
        <v>576</v>
      </c>
      <c r="G6" s="282">
        <v>2</v>
      </c>
      <c r="I6" s="282" t="s">
        <v>320</v>
      </c>
      <c r="J6" s="282" t="s">
        <v>115</v>
      </c>
      <c r="K6" s="282" t="s">
        <v>1207</v>
      </c>
      <c r="L6" s="282" t="s">
        <v>1207</v>
      </c>
      <c r="M6" s="282" t="s">
        <v>1207</v>
      </c>
      <c r="Q6" s="282" t="s">
        <v>320</v>
      </c>
      <c r="R6" s="282" t="s">
        <v>320</v>
      </c>
      <c r="S6" s="282" t="s">
        <v>320</v>
      </c>
      <c r="U6" s="282" t="s">
        <v>1207</v>
      </c>
      <c r="V6" s="282" t="s">
        <v>1207</v>
      </c>
      <c r="W6" s="282" t="s">
        <v>1207</v>
      </c>
      <c r="X6" s="253" t="s">
        <v>576</v>
      </c>
      <c r="Y6" s="253" t="s">
        <v>1218</v>
      </c>
      <c r="Z6" s="253" t="s">
        <v>3876</v>
      </c>
      <c r="AA6" s="253" t="s">
        <v>3903</v>
      </c>
      <c r="AB6" s="253" t="s">
        <v>576</v>
      </c>
      <c r="AC6" s="253" t="s">
        <v>434</v>
      </c>
      <c r="AD6" s="253" t="s">
        <v>434</v>
      </c>
      <c r="AE6" s="253" t="s">
        <v>434</v>
      </c>
      <c r="AF6" s="253" t="s">
        <v>434</v>
      </c>
      <c r="AG6" s="253" t="s">
        <v>434</v>
      </c>
      <c r="AH6" s="253" t="s">
        <v>434</v>
      </c>
    </row>
    <row r="7" spans="1:34" ht="69">
      <c r="A7" s="282">
        <v>6</v>
      </c>
      <c r="B7" s="282" t="s">
        <v>1219</v>
      </c>
      <c r="C7" s="282" t="s">
        <v>315</v>
      </c>
      <c r="D7" s="135">
        <v>46200</v>
      </c>
      <c r="E7" s="282" t="s">
        <v>1220</v>
      </c>
      <c r="F7" s="342" t="s">
        <v>1205</v>
      </c>
      <c r="G7" s="282">
        <v>8</v>
      </c>
      <c r="I7" s="282" t="s">
        <v>12</v>
      </c>
      <c r="J7" s="282" t="s">
        <v>313</v>
      </c>
      <c r="K7" s="282" t="s">
        <v>316</v>
      </c>
      <c r="L7" s="282" t="s">
        <v>313</v>
      </c>
      <c r="M7" s="282" t="s">
        <v>3226</v>
      </c>
      <c r="N7" s="343" t="s">
        <v>3904</v>
      </c>
      <c r="O7" s="331">
        <v>45625</v>
      </c>
      <c r="Q7" s="282" t="s">
        <v>12</v>
      </c>
      <c r="R7" s="282" t="s">
        <v>3226</v>
      </c>
      <c r="S7" s="282" t="s">
        <v>1207</v>
      </c>
      <c r="U7" s="282" t="s">
        <v>1207</v>
      </c>
      <c r="V7" s="282" t="s">
        <v>1207</v>
      </c>
      <c r="W7" s="282" t="s">
        <v>1207</v>
      </c>
      <c r="X7" s="282" t="s">
        <v>3905</v>
      </c>
      <c r="Y7" s="253" t="s">
        <v>1221</v>
      </c>
      <c r="Z7" s="282" t="s">
        <v>3878</v>
      </c>
      <c r="AA7" s="282" t="s">
        <v>3877</v>
      </c>
      <c r="AB7" s="282" t="s">
        <v>3905</v>
      </c>
      <c r="AC7" s="311" t="s">
        <v>3906</v>
      </c>
      <c r="AD7" s="311" t="s">
        <v>3907</v>
      </c>
      <c r="AE7" s="282" t="s">
        <v>3908</v>
      </c>
      <c r="AF7" s="282" t="s">
        <v>3909</v>
      </c>
      <c r="AG7" s="282" t="s">
        <v>3910</v>
      </c>
      <c r="AH7" s="311" t="s">
        <v>3911</v>
      </c>
    </row>
    <row r="8" spans="1:34" ht="46.5">
      <c r="A8" s="282">
        <v>7</v>
      </c>
      <c r="B8" s="282" t="s">
        <v>1203</v>
      </c>
      <c r="C8" s="282" t="s">
        <v>313</v>
      </c>
      <c r="D8" s="282">
        <v>46585</v>
      </c>
      <c r="E8" s="282" t="s">
        <v>3879</v>
      </c>
      <c r="F8" s="342" t="s">
        <v>576</v>
      </c>
      <c r="G8" s="282">
        <v>3</v>
      </c>
      <c r="I8" s="282" t="s">
        <v>12</v>
      </c>
      <c r="J8" s="282" t="s">
        <v>315</v>
      </c>
      <c r="K8" s="282" t="s">
        <v>316</v>
      </c>
      <c r="L8" s="282" t="s">
        <v>315</v>
      </c>
      <c r="M8" s="282" t="s">
        <v>3226</v>
      </c>
      <c r="N8" s="343" t="s">
        <v>3912</v>
      </c>
      <c r="O8" s="331">
        <v>45624</v>
      </c>
      <c r="P8" s="331">
        <v>45625</v>
      </c>
      <c r="Q8" s="282" t="s">
        <v>12</v>
      </c>
      <c r="R8" s="282" t="s">
        <v>3226</v>
      </c>
      <c r="S8" s="282" t="s">
        <v>320</v>
      </c>
      <c r="T8" s="282" t="s">
        <v>320</v>
      </c>
      <c r="U8" s="282" t="s">
        <v>320</v>
      </c>
      <c r="V8" s="282" t="s">
        <v>320</v>
      </c>
      <c r="W8" s="282" t="s">
        <v>320</v>
      </c>
      <c r="X8" s="311" t="s">
        <v>3913</v>
      </c>
      <c r="Y8" s="282" t="s">
        <v>434</v>
      </c>
      <c r="Z8" s="282" t="s">
        <v>434</v>
      </c>
      <c r="AA8" s="311" t="s">
        <v>3880</v>
      </c>
      <c r="AB8" s="311" t="s">
        <v>3914</v>
      </c>
      <c r="AC8" s="311" t="s">
        <v>3915</v>
      </c>
      <c r="AD8" s="282" t="s">
        <v>3916</v>
      </c>
      <c r="AE8" s="282" t="s">
        <v>3917</v>
      </c>
      <c r="AF8" s="282" t="s">
        <v>3918</v>
      </c>
      <c r="AG8" s="282" t="s">
        <v>434</v>
      </c>
      <c r="AH8" s="282" t="s">
        <v>434</v>
      </c>
    </row>
    <row r="9" spans="1:34">
      <c r="A9" s="282">
        <v>8</v>
      </c>
      <c r="B9" s="282" t="s">
        <v>1219</v>
      </c>
      <c r="C9" s="282" t="s">
        <v>317</v>
      </c>
      <c r="D9" s="282">
        <v>46588</v>
      </c>
      <c r="E9" s="282" t="s">
        <v>3919</v>
      </c>
      <c r="F9" s="342" t="s">
        <v>1205</v>
      </c>
      <c r="G9" s="282">
        <v>3</v>
      </c>
      <c r="I9" s="282" t="s">
        <v>1207</v>
      </c>
      <c r="J9" s="282" t="s">
        <v>1207</v>
      </c>
      <c r="K9" s="282" t="s">
        <v>1207</v>
      </c>
      <c r="L9" s="282" t="s">
        <v>1207</v>
      </c>
      <c r="M9" s="282" t="s">
        <v>1207</v>
      </c>
      <c r="Q9" s="282" t="s">
        <v>1207</v>
      </c>
      <c r="R9" s="282" t="s">
        <v>1207</v>
      </c>
      <c r="S9" s="282" t="s">
        <v>1207</v>
      </c>
      <c r="U9" s="282" t="s">
        <v>1207</v>
      </c>
      <c r="V9" s="282" t="s">
        <v>1207</v>
      </c>
      <c r="W9" s="282" t="s">
        <v>1207</v>
      </c>
      <c r="X9" s="282" t="s">
        <v>3920</v>
      </c>
      <c r="AC9" s="282" t="s">
        <v>3920</v>
      </c>
      <c r="AD9" s="282" t="s">
        <v>3921</v>
      </c>
      <c r="AF9" s="282" t="s">
        <v>3922</v>
      </c>
      <c r="AG9" s="282" t="s">
        <v>3922</v>
      </c>
      <c r="AH9" s="282" t="s">
        <v>3923</v>
      </c>
    </row>
    <row r="10" spans="1:34" ht="35.25">
      <c r="A10" s="282">
        <v>9</v>
      </c>
      <c r="B10" s="282" t="s">
        <v>1219</v>
      </c>
      <c r="C10" s="282" t="s">
        <v>315</v>
      </c>
      <c r="D10" s="135">
        <v>23903</v>
      </c>
      <c r="E10" s="311" t="s">
        <v>3924</v>
      </c>
      <c r="F10" s="342" t="s">
        <v>1205</v>
      </c>
      <c r="G10" s="282">
        <v>2</v>
      </c>
      <c r="I10" s="282" t="s">
        <v>1207</v>
      </c>
      <c r="J10" s="282" t="s">
        <v>1207</v>
      </c>
      <c r="K10" s="282" t="s">
        <v>1207</v>
      </c>
      <c r="L10" s="282" t="s">
        <v>1207</v>
      </c>
      <c r="M10" s="282" t="s">
        <v>1207</v>
      </c>
      <c r="Q10" s="282" t="s">
        <v>1207</v>
      </c>
      <c r="R10" s="282" t="s">
        <v>1207</v>
      </c>
      <c r="S10" s="282" t="s">
        <v>1207</v>
      </c>
      <c r="U10" s="282" t="s">
        <v>1207</v>
      </c>
      <c r="V10" s="282" t="s">
        <v>1207</v>
      </c>
      <c r="W10" s="282" t="s">
        <v>1207</v>
      </c>
      <c r="AG10" s="282" t="s">
        <v>3925</v>
      </c>
      <c r="AH10" s="282" t="s">
        <v>3926</v>
      </c>
    </row>
    <row r="11" spans="1:34" ht="35.25">
      <c r="A11" s="282">
        <v>10</v>
      </c>
      <c r="B11" s="282" t="s">
        <v>1219</v>
      </c>
      <c r="C11" s="282" t="s">
        <v>1976</v>
      </c>
      <c r="D11" s="282">
        <v>46072</v>
      </c>
      <c r="E11" s="311" t="s">
        <v>3927</v>
      </c>
      <c r="F11" s="342" t="s">
        <v>1205</v>
      </c>
      <c r="G11" s="282">
        <v>5</v>
      </c>
      <c r="I11" s="282" t="s">
        <v>1207</v>
      </c>
      <c r="J11" s="282" t="s">
        <v>1207</v>
      </c>
      <c r="K11" s="282" t="s">
        <v>1207</v>
      </c>
      <c r="L11" s="282" t="s">
        <v>1207</v>
      </c>
      <c r="M11" s="282" t="s">
        <v>1207</v>
      </c>
      <c r="Q11" s="282" t="s">
        <v>1207</v>
      </c>
      <c r="R11" s="282" t="s">
        <v>1207</v>
      </c>
      <c r="S11" s="282" t="s">
        <v>1207</v>
      </c>
      <c r="U11" s="282" t="s">
        <v>1207</v>
      </c>
      <c r="AG11" s="282" t="s">
        <v>3928</v>
      </c>
      <c r="AH11" s="311" t="s">
        <v>3929</v>
      </c>
    </row>
    <row r="12" spans="1:34">
      <c r="A12" s="282"/>
      <c r="B12" s="282"/>
      <c r="C12" s="282"/>
      <c r="D12" s="282"/>
      <c r="F12" s="282"/>
      <c r="G12" s="282"/>
      <c r="K12" s="282"/>
    </row>
    <row r="13" spans="1:34">
      <c r="A13" s="282"/>
      <c r="B13" s="282"/>
      <c r="C13" s="282"/>
      <c r="D13" s="282"/>
      <c r="F13" s="282"/>
      <c r="G13" s="282"/>
      <c r="K13" s="282"/>
    </row>
    <row r="14" spans="1:34">
      <c r="A14" s="282"/>
      <c r="B14" s="282"/>
      <c r="C14" s="282"/>
      <c r="D14" s="282"/>
      <c r="F14" s="282"/>
      <c r="G14" s="282"/>
      <c r="K14" s="282"/>
    </row>
    <row r="15" spans="1:34">
      <c r="A15" s="282"/>
      <c r="B15" s="282"/>
      <c r="C15" s="282"/>
      <c r="D15" s="282"/>
      <c r="F15" s="282"/>
      <c r="G15" s="282"/>
      <c r="K15" s="282"/>
    </row>
    <row r="16" spans="1:34">
      <c r="A16" s="282"/>
      <c r="B16" s="282"/>
      <c r="C16" s="282"/>
      <c r="D16" s="282"/>
      <c r="F16" s="282"/>
      <c r="G16" s="282"/>
      <c r="K16" s="282"/>
    </row>
    <row r="17" s="282" customFormat="1"/>
    <row r="18" s="282" customFormat="1"/>
    <row r="19" s="282" customFormat="1"/>
    <row r="20" s="282" customFormat="1"/>
    <row r="21" s="282" customFormat="1"/>
    <row r="22" s="282" customFormat="1"/>
    <row r="23" s="282" customFormat="1"/>
    <row r="24" s="282" customFormat="1"/>
    <row r="25" s="282" customFormat="1"/>
    <row r="26" s="282" customFormat="1"/>
    <row r="27" s="282" customFormat="1"/>
  </sheetData>
  <conditionalFormatting sqref="G1">
    <cfRule type="containsText" dxfId="45" priority="4" operator="containsText" text="Closed">
      <formula>NOT(ISERROR(SEARCH("Closed",G1)))</formula>
    </cfRule>
    <cfRule type="containsText" dxfId="44" priority="5" operator="containsText" text="Open">
      <formula>NOT(ISERROR(SEARCH("Open",G1)))</formula>
    </cfRule>
    <cfRule type="containsText" dxfId="43" priority="6" operator="containsText" text="Inprogress">
      <formula>NOT(ISERROR(SEARCH("Inprogress",G1)))</formula>
    </cfRule>
  </conditionalFormatting>
  <conditionalFormatting sqref="F2:F11">
    <cfRule type="containsText" dxfId="42" priority="1" operator="containsText" text="Closed">
      <formula>NOT(ISERROR(SEARCH("Closed",F2)))</formula>
    </cfRule>
    <cfRule type="containsText" dxfId="41" priority="2" operator="containsText" text="Open">
      <formula>NOT(ISERROR(SEARCH("Open",F2)))</formula>
    </cfRule>
    <cfRule type="containsText" dxfId="40" priority="3" operator="containsText" text="Inprogress">
      <formula>NOT(ISERROR(SEARCH("Inprogress",F2)))</formula>
    </cfRule>
  </conditionalFormatting>
  <dataValidations count="12">
    <dataValidation type="list" allowBlank="1" showErrorMessage="1" sqref="I12:I19" xr:uid="{CE640DD7-421F-4140-8294-DABE619F3980}">
      <formula1>"Open,Inprogress,Closed,TBD,NA"</formula1>
    </dataValidation>
    <dataValidation type="list" showErrorMessage="1" sqref="S1:T2 S3:S11 T3:T4 I1:I11 N3 Q1:Q11 O9:P10 T8:W8" xr:uid="{3CE1CB3C-D728-475C-8B57-126DF6EADAB3}">
      <formula1>"Open,Inprogress,Completed,TBD,NA"</formula1>
    </dataValidation>
    <dataValidation type="list" showErrorMessage="1" sqref="K8:K11" xr:uid="{B4586E7D-BBD5-4EEA-9DFB-B8C97CCF231D}">
      <formula1>"Pass,Fail(BacktoDev),DB Script tests in QA DB"</formula1>
    </dataValidation>
    <dataValidation type="list" showErrorMessage="1" sqref="M1:N2 R1:R11 M3:M11 U1:U7 U9:U11" xr:uid="{97F31E23-38F7-4306-B3AC-1FE32038251F}">
      <formula1>"No issues found,Issues observed(BacktoDev),DB Script tests in QA DB,NA,TBD"</formula1>
    </dataValidation>
    <dataValidation type="list" showErrorMessage="1" sqref="K1:K7" xr:uid="{579E459B-AECB-4604-9705-2A5D0C1BA7EE}">
      <formula1>"Pass,Fail(BacktoDev),DB Script tests in QA DB,TBD"</formula1>
    </dataValidation>
    <dataValidation type="list" showErrorMessage="1" sqref="J1:J11" xr:uid="{FB4AA13C-5292-4429-9B48-327922E78EE3}">
      <formula1>"Qadir,Rijo,Karthik,Sushmitha,None,TBD"</formula1>
    </dataValidation>
    <dataValidation type="list" showErrorMessage="1" sqref="L1:L11" xr:uid="{095A66D9-9A5E-4C11-A0B7-B4A266C86707}">
      <formula1>"Qadir,Rijo,Karthik,None,TBD"</formula1>
    </dataValidation>
    <dataValidation type="list" showErrorMessage="1" sqref="V1:V7 V9:V10" xr:uid="{453739DF-7595-447A-BD62-61387CF627AC}">
      <formula1>"Approved-Satisified AC,Not Approved(Back to Dev),NA,TBD"</formula1>
    </dataValidation>
    <dataValidation type="list" showErrorMessage="1" sqref="X1 W1:W7 W9:W10" xr:uid="{D85337AC-E1D6-4654-B474-23402C59D4DC}">
      <formula1>"Pending-Waiting for Customer confirmation, Approved-Satisified AC,Not Approved-New minor changes requested(Back to Dev),NA,TBD"</formula1>
    </dataValidation>
    <dataValidation type="list" allowBlank="1" showErrorMessage="1" sqref="G1" xr:uid="{C898F453-190B-41F7-AD77-AA4999257B51}">
      <formula1>"Open,Inprogress,Closed"</formula1>
    </dataValidation>
    <dataValidation showErrorMessage="1" sqref="F1" xr:uid="{E1118A59-6BDC-46F0-959F-B46AABA8A3E3}"/>
    <dataValidation type="list" allowBlank="1" showErrorMessage="1" sqref="F2:F11" xr:uid="{3D2BEE78-8D96-49B6-B799-C7821D22B102}">
      <formula1>"Open,Inprogress,Closed,On Hold"</formula1>
    </dataValidation>
  </dataValidations>
  <hyperlinks>
    <hyperlink ref="N3" r:id="rId1" xr:uid="{AE40D875-742C-48A4-949B-238BD0619492}"/>
    <hyperlink ref="N4" r:id="rId2" xr:uid="{99F392B9-BB85-49EE-8C6E-A07436E2C3F9}"/>
    <hyperlink ref="N5" r:id="rId3" xr:uid="{468ED0ED-F570-4A93-87CE-588A83278FF7}"/>
    <hyperlink ref="N7" r:id="rId4" xr:uid="{A1E72CB1-FB98-4577-AB61-CE5195AF8F6D}"/>
    <hyperlink ref="N8" r:id="rId5" xr:uid="{E69F67B7-F382-4199-9FFE-76E52594CC0D}"/>
  </hyperlinks>
  <pageMargins left="0.7" right="0.7" top="0.75" bottom="0.75" header="0.3" footer="0.3"/>
  <tableParts count="1">
    <tablePart r:id="rId6"/>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D7468-BD80-4D6F-A607-9FA0DF65919D}">
  <dimension ref="A1:L10"/>
  <sheetViews>
    <sheetView topLeftCell="F1" workbookViewId="0">
      <selection activeCell="A2" sqref="A2"/>
    </sheetView>
  </sheetViews>
  <sheetFormatPr defaultRowHeight="12.75"/>
  <cols>
    <col min="2" max="2" width="8.28515625" customWidth="1"/>
    <col min="3" max="3" width="10.85546875" customWidth="1"/>
    <col min="5" max="5" width="22" customWidth="1"/>
    <col min="6" max="6" width="76.28515625" customWidth="1"/>
    <col min="7" max="7" width="15.42578125" customWidth="1"/>
    <col min="8" max="8" width="9.140625" bestFit="1" customWidth="1"/>
    <col min="9" max="9" width="14.28515625" customWidth="1"/>
    <col min="10" max="10" width="27" customWidth="1"/>
    <col min="11" max="11" width="46.42578125" style="334" customWidth="1"/>
  </cols>
  <sheetData>
    <row r="1" spans="1:12" ht="40.5">
      <c r="A1" s="322" t="s">
        <v>266</v>
      </c>
      <c r="B1" s="323" t="s">
        <v>10</v>
      </c>
      <c r="C1" s="323" t="s">
        <v>267</v>
      </c>
      <c r="D1" s="323" t="s">
        <v>269</v>
      </c>
      <c r="E1" s="323" t="s">
        <v>270</v>
      </c>
      <c r="F1" s="323" t="s">
        <v>271</v>
      </c>
      <c r="G1" s="323" t="s">
        <v>272</v>
      </c>
      <c r="H1" s="323" t="s">
        <v>274</v>
      </c>
      <c r="I1" s="323" t="s">
        <v>275</v>
      </c>
      <c r="J1" s="324" t="s">
        <v>276</v>
      </c>
      <c r="K1" s="332" t="s">
        <v>3688</v>
      </c>
      <c r="L1" s="325" t="s">
        <v>277</v>
      </c>
    </row>
    <row r="2" spans="1:12" s="201" customFormat="1" ht="31.5" customHeight="1">
      <c r="A2" s="284">
        <v>1</v>
      </c>
      <c r="B2" s="284" t="s">
        <v>1203</v>
      </c>
      <c r="C2" s="289">
        <v>24315</v>
      </c>
      <c r="D2" s="284" t="s">
        <v>317</v>
      </c>
      <c r="E2" s="329" t="s">
        <v>3506</v>
      </c>
      <c r="F2" s="281" t="s">
        <v>1204</v>
      </c>
      <c r="G2" s="329" t="s">
        <v>1670</v>
      </c>
      <c r="H2" s="329" t="s">
        <v>519</v>
      </c>
      <c r="I2" s="329" t="s">
        <v>1205</v>
      </c>
      <c r="J2" s="329" t="s">
        <v>529</v>
      </c>
      <c r="K2" s="284"/>
      <c r="L2" s="284"/>
    </row>
    <row r="3" spans="1:12" s="201" customFormat="1" ht="23.25">
      <c r="A3" s="252">
        <v>2</v>
      </c>
      <c r="B3" s="284" t="s">
        <v>1203</v>
      </c>
      <c r="C3" s="256">
        <v>24316</v>
      </c>
      <c r="D3" s="284" t="s">
        <v>317</v>
      </c>
      <c r="E3" s="329" t="s">
        <v>3506</v>
      </c>
      <c r="F3" s="299" t="s">
        <v>1208</v>
      </c>
      <c r="G3" s="329" t="s">
        <v>1670</v>
      </c>
      <c r="H3" s="329" t="s">
        <v>519</v>
      </c>
      <c r="I3" s="329" t="s">
        <v>576</v>
      </c>
      <c r="J3" s="329" t="s">
        <v>529</v>
      </c>
      <c r="K3" s="122"/>
      <c r="L3" s="122"/>
    </row>
    <row r="4" spans="1:12" s="201" customFormat="1" ht="23.25">
      <c r="A4" s="252">
        <v>3</v>
      </c>
      <c r="B4" s="284" t="s">
        <v>1203</v>
      </c>
      <c r="C4" s="256">
        <v>24317</v>
      </c>
      <c r="D4" s="284" t="s">
        <v>317</v>
      </c>
      <c r="E4" s="329" t="s">
        <v>3506</v>
      </c>
      <c r="F4" s="299" t="s">
        <v>1211</v>
      </c>
      <c r="G4" s="329" t="s">
        <v>1670</v>
      </c>
      <c r="H4" s="329" t="s">
        <v>519</v>
      </c>
      <c r="I4" s="329" t="s">
        <v>576</v>
      </c>
      <c r="J4" s="329" t="s">
        <v>529</v>
      </c>
      <c r="K4" s="122"/>
      <c r="L4" s="122"/>
    </row>
    <row r="5" spans="1:12" s="111" customFormat="1">
      <c r="A5" s="252">
        <v>4</v>
      </c>
      <c r="B5" s="252" t="s">
        <v>1203</v>
      </c>
      <c r="C5" s="122">
        <v>46200</v>
      </c>
      <c r="D5" s="284" t="s">
        <v>315</v>
      </c>
      <c r="E5" s="329" t="s">
        <v>3503</v>
      </c>
      <c r="F5" s="204" t="s">
        <v>3930</v>
      </c>
      <c r="G5" s="329" t="s">
        <v>1670</v>
      </c>
      <c r="H5" s="329" t="s">
        <v>525</v>
      </c>
      <c r="I5" s="329" t="s">
        <v>1205</v>
      </c>
      <c r="J5" s="329" t="s">
        <v>529</v>
      </c>
      <c r="K5" s="122"/>
      <c r="L5" s="122"/>
    </row>
    <row r="6" spans="1:12">
      <c r="A6" s="235"/>
      <c r="B6" s="235"/>
      <c r="C6" s="93"/>
      <c r="D6" s="93"/>
      <c r="E6" s="93"/>
      <c r="F6" s="93"/>
      <c r="G6" s="93"/>
      <c r="H6" s="93"/>
      <c r="I6" s="236"/>
      <c r="J6" s="236"/>
      <c r="K6" s="93"/>
      <c r="L6" s="93"/>
    </row>
    <row r="7" spans="1:12">
      <c r="A7" s="235"/>
      <c r="B7" s="235"/>
      <c r="C7" s="93"/>
      <c r="D7" s="93"/>
      <c r="E7" s="93"/>
      <c r="F7" s="93"/>
      <c r="G7" s="93"/>
      <c r="H7" s="236"/>
      <c r="I7" s="93"/>
      <c r="J7" s="236"/>
      <c r="K7" s="93"/>
      <c r="L7" s="93"/>
    </row>
    <row r="8" spans="1:12">
      <c r="A8" s="235"/>
      <c r="B8" s="235"/>
      <c r="C8" s="93"/>
      <c r="D8" s="93"/>
      <c r="E8" s="93"/>
      <c r="F8" s="93"/>
      <c r="G8" s="93"/>
      <c r="H8" s="236"/>
      <c r="I8" s="236"/>
      <c r="J8" s="236"/>
      <c r="K8" s="93"/>
      <c r="L8" s="93"/>
    </row>
    <row r="9" spans="1:12">
      <c r="A9" s="235"/>
      <c r="B9" s="235"/>
      <c r="C9" s="93"/>
      <c r="D9" s="93"/>
      <c r="E9" s="93"/>
      <c r="F9" s="96"/>
      <c r="G9" s="93"/>
      <c r="H9" s="236"/>
      <c r="I9" s="236"/>
      <c r="J9" s="236"/>
      <c r="K9" s="93"/>
      <c r="L9" s="93"/>
    </row>
    <row r="10" spans="1:12">
      <c r="K10" s="333"/>
    </row>
  </sheetData>
  <dataValidations count="5">
    <dataValidation type="list" allowBlank="1" showErrorMessage="1" sqref="G2:G5" xr:uid="{7706A76D-C6CB-410A-B95E-6E5D13F60C53}">
      <formula1>"Minor,Significant,Major"</formula1>
    </dataValidation>
    <dataValidation type="list" allowBlank="1" showErrorMessage="1" sqref="H7:H9 H2:H5" xr:uid="{C9D941D3-99AA-4103-BBF8-CD7E38D89C16}">
      <formula1>"Internal,External"</formula1>
    </dataValidation>
    <dataValidation type="list" allowBlank="1" showErrorMessage="1" sqref="I8:I9 I2:I6" xr:uid="{2F96AE8C-104B-44AB-93E6-DB1BED24F20F}">
      <formula1>"Open,Inprogress,Closed"</formula1>
    </dataValidation>
    <dataValidation type="list" allowBlank="1" showErrorMessage="1" sqref="E2:E5" xr:uid="{D65CD0BA-D7A0-41C1-9E66-61584307BBB3}">
      <formula1>"Bounceback,Defect,DefectFromEscalation,None"</formula1>
    </dataValidation>
    <dataValidation type="list" allowBlank="1" showInputMessage="1" showErrorMessage="1" sqref="D2:D5" xr:uid="{10C0F2B1-7429-4732-98C6-8EE9FCF1D10A}">
      <formula1>"Qadir,Rijo,Karthik, Rijo-Karthik, Qadir-Rijo-Karthik"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1B73EA7-6D76-412E-84E3-E94AB8D7914F}">
          <x14:formula1>
            <xm:f>Details!$A$2:$A$10</xm:f>
          </x14:formula1>
          <xm:sqref>J2:J9</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741CC-D2E4-49B3-8D16-F072E1C427F7}">
  <dimension ref="A1:AA14"/>
  <sheetViews>
    <sheetView workbookViewId="0">
      <pane ySplit="2" topLeftCell="A3" activePane="bottomLeft" state="frozen"/>
      <selection pane="bottomLeft" activeCell="I10" sqref="I10"/>
    </sheetView>
  </sheetViews>
  <sheetFormatPr defaultRowHeight="12.75"/>
  <cols>
    <col min="1" max="1" width="3.140625" style="310" customWidth="1"/>
    <col min="2" max="2" width="8" style="311" customWidth="1"/>
    <col min="3" max="3" width="11" style="111" customWidth="1"/>
    <col min="4" max="4" width="34.42578125" style="282" customWidth="1"/>
    <col min="5" max="5" width="8.28515625" style="111" customWidth="1"/>
    <col min="6" max="6" width="6.140625" style="111" customWidth="1"/>
    <col min="7" max="8" width="11.140625" style="111" customWidth="1"/>
    <col min="9" max="9" width="40" style="282" customWidth="1"/>
    <col min="10" max="10" width="1.5703125" style="285" customWidth="1"/>
    <col min="11" max="11" width="10.42578125" style="282" customWidth="1"/>
    <col min="12" max="12" width="11.5703125" style="282" customWidth="1"/>
    <col min="13" max="13" width="20.85546875" style="311" customWidth="1"/>
    <col min="14" max="14" width="13.28515625" style="282" customWidth="1"/>
    <col min="15" max="15" width="14.5703125" style="282" customWidth="1"/>
    <col min="16" max="16" width="31.5703125" style="282" customWidth="1"/>
    <col min="17" max="17" width="10.42578125" style="282" customWidth="1"/>
    <col min="18" max="18" width="11.140625" style="282" customWidth="1"/>
    <col min="19" max="19" width="11.42578125" style="282" customWidth="1"/>
    <col min="20" max="20" width="16.28515625" style="282" customWidth="1"/>
    <col min="21" max="21" width="16.42578125" style="282" customWidth="1"/>
    <col min="22" max="22" width="14.85546875" style="282" customWidth="1"/>
    <col min="23" max="23" width="17.5703125" style="282" customWidth="1"/>
    <col min="24" max="24" width="27.140625" style="282" customWidth="1"/>
    <col min="25" max="25" width="26.7109375" style="282" customWidth="1"/>
    <col min="26" max="26" width="44.42578125" style="311" customWidth="1"/>
    <col min="27" max="27" width="40.7109375" style="282" customWidth="1"/>
    <col min="28" max="16384" width="9.140625" style="282"/>
  </cols>
  <sheetData>
    <row r="1" spans="1:27" ht="12.75" customHeight="1">
      <c r="A1" s="702" t="s">
        <v>266</v>
      </c>
      <c r="B1" s="702" t="s">
        <v>278</v>
      </c>
      <c r="C1" s="702" t="s">
        <v>279</v>
      </c>
      <c r="D1" s="702" t="s">
        <v>280</v>
      </c>
      <c r="E1" s="702" t="s">
        <v>1195</v>
      </c>
      <c r="F1" s="702" t="s">
        <v>1196</v>
      </c>
      <c r="G1" s="702" t="s">
        <v>269</v>
      </c>
      <c r="H1" s="702" t="s">
        <v>1197</v>
      </c>
      <c r="I1" s="703" t="s">
        <v>1198</v>
      </c>
      <c r="K1" s="704" t="s">
        <v>1199</v>
      </c>
      <c r="L1" s="704"/>
      <c r="M1" s="704"/>
      <c r="N1" s="704"/>
      <c r="O1" s="704"/>
      <c r="P1" s="704"/>
      <c r="Q1" s="704"/>
      <c r="R1" s="704"/>
      <c r="S1" s="704"/>
      <c r="T1" s="704"/>
      <c r="U1" s="704"/>
      <c r="V1" s="704"/>
      <c r="W1" s="704"/>
      <c r="X1" s="704"/>
      <c r="Y1" s="705"/>
      <c r="Z1" s="320" t="s">
        <v>1200</v>
      </c>
      <c r="AA1" s="253"/>
    </row>
    <row r="2" spans="1:27" ht="27">
      <c r="A2" s="702"/>
      <c r="B2" s="702"/>
      <c r="C2" s="702"/>
      <c r="D2" s="702"/>
      <c r="E2" s="702"/>
      <c r="F2" s="702"/>
      <c r="G2" s="702"/>
      <c r="H2" s="702"/>
      <c r="I2" s="703"/>
      <c r="J2" s="286"/>
      <c r="K2" s="317" t="s">
        <v>286</v>
      </c>
      <c r="L2" s="287" t="s">
        <v>287</v>
      </c>
      <c r="M2" s="287" t="s">
        <v>288</v>
      </c>
      <c r="N2" s="287" t="s">
        <v>289</v>
      </c>
      <c r="O2" s="287" t="s">
        <v>290</v>
      </c>
      <c r="P2" s="287" t="s">
        <v>291</v>
      </c>
      <c r="Q2" s="287" t="s">
        <v>292</v>
      </c>
      <c r="R2" s="287" t="s">
        <v>293</v>
      </c>
      <c r="S2" s="287" t="s">
        <v>294</v>
      </c>
      <c r="T2" s="287" t="s">
        <v>1201</v>
      </c>
      <c r="U2" s="287" t="s">
        <v>296</v>
      </c>
      <c r="V2" s="287" t="s">
        <v>1202</v>
      </c>
      <c r="W2" s="287" t="s">
        <v>1201</v>
      </c>
      <c r="X2" s="287" t="s">
        <v>299</v>
      </c>
      <c r="Y2" s="312" t="s">
        <v>300</v>
      </c>
      <c r="Z2" s="321">
        <v>45614</v>
      </c>
      <c r="AA2" s="319">
        <v>45615</v>
      </c>
    </row>
    <row r="3" spans="1:27" ht="81">
      <c r="A3" s="288">
        <v>1</v>
      </c>
      <c r="B3" s="326" t="s">
        <v>3931</v>
      </c>
      <c r="C3" s="289">
        <v>24183</v>
      </c>
      <c r="D3" s="283" t="s">
        <v>3932</v>
      </c>
      <c r="E3" s="289">
        <v>5</v>
      </c>
      <c r="F3" s="289">
        <v>5</v>
      </c>
      <c r="G3" s="284" t="s">
        <v>317</v>
      </c>
      <c r="H3" s="284" t="s">
        <v>576</v>
      </c>
      <c r="I3" s="290" t="s">
        <v>3933</v>
      </c>
      <c r="J3" s="291"/>
      <c r="K3" s="251" t="s">
        <v>12</v>
      </c>
      <c r="L3" s="292" t="s">
        <v>317</v>
      </c>
      <c r="M3" s="203" t="s">
        <v>3871</v>
      </c>
      <c r="N3" s="292" t="s">
        <v>115</v>
      </c>
      <c r="O3" s="253" t="s">
        <v>3226</v>
      </c>
      <c r="P3" s="292" t="s">
        <v>3934</v>
      </c>
      <c r="Q3" s="293">
        <v>45607</v>
      </c>
      <c r="R3" s="293">
        <v>45607</v>
      </c>
      <c r="S3" s="203" t="s">
        <v>12</v>
      </c>
      <c r="T3" s="253" t="s">
        <v>3226</v>
      </c>
      <c r="U3" s="203" t="s">
        <v>12</v>
      </c>
      <c r="V3" s="293">
        <v>45607</v>
      </c>
      <c r="W3" s="253" t="s">
        <v>3226</v>
      </c>
      <c r="X3" s="292" t="s">
        <v>3624</v>
      </c>
      <c r="Y3" s="292" t="s">
        <v>3898</v>
      </c>
      <c r="Z3" s="318" t="s">
        <v>3935</v>
      </c>
      <c r="AA3" s="251" t="s">
        <v>3935</v>
      </c>
    </row>
    <row r="4" spans="1:27" ht="35.25">
      <c r="A4" s="203">
        <v>2</v>
      </c>
      <c r="B4" s="327" t="s">
        <v>3931</v>
      </c>
      <c r="C4" s="256">
        <v>46358</v>
      </c>
      <c r="D4" s="294" t="s">
        <v>3936</v>
      </c>
      <c r="E4" s="255">
        <v>3</v>
      </c>
      <c r="F4" s="252">
        <v>3</v>
      </c>
      <c r="G4" s="252" t="s">
        <v>3937</v>
      </c>
      <c r="H4" s="252" t="s">
        <v>576</v>
      </c>
      <c r="I4" s="295" t="s">
        <v>3938</v>
      </c>
      <c r="J4" s="296"/>
      <c r="K4" s="251" t="s">
        <v>12</v>
      </c>
      <c r="L4" s="292" t="s">
        <v>313</v>
      </c>
      <c r="M4" s="203" t="s">
        <v>1207</v>
      </c>
      <c r="N4" s="203" t="s">
        <v>1207</v>
      </c>
      <c r="O4" s="292" t="s">
        <v>1207</v>
      </c>
      <c r="P4" s="292" t="s">
        <v>1207</v>
      </c>
      <c r="Q4" s="293"/>
      <c r="R4" s="293"/>
      <c r="S4" s="203" t="s">
        <v>1207</v>
      </c>
      <c r="T4" s="253" t="s">
        <v>1207</v>
      </c>
      <c r="U4" s="203" t="s">
        <v>1207</v>
      </c>
      <c r="V4" s="203"/>
      <c r="W4" s="253" t="s">
        <v>1207</v>
      </c>
      <c r="X4" s="292" t="s">
        <v>1207</v>
      </c>
      <c r="Y4" s="313"/>
      <c r="Z4" s="318" t="s">
        <v>3939</v>
      </c>
      <c r="AA4" s="253" t="s">
        <v>3940</v>
      </c>
    </row>
    <row r="5" spans="1:27" ht="38.25" customHeight="1">
      <c r="A5" s="203">
        <v>3</v>
      </c>
      <c r="B5" s="203" t="s">
        <v>3941</v>
      </c>
      <c r="C5" s="256">
        <v>46200</v>
      </c>
      <c r="D5" s="294" t="s">
        <v>3942</v>
      </c>
      <c r="E5" s="255">
        <v>8</v>
      </c>
      <c r="F5" s="252"/>
      <c r="G5" s="252" t="s">
        <v>506</v>
      </c>
      <c r="H5" s="252" t="s">
        <v>1671</v>
      </c>
      <c r="I5" s="298" t="s">
        <v>3943</v>
      </c>
      <c r="J5" s="291"/>
      <c r="K5" s="251" t="s">
        <v>1207</v>
      </c>
      <c r="L5" s="292" t="s">
        <v>1207</v>
      </c>
      <c r="M5" s="203" t="s">
        <v>1207</v>
      </c>
      <c r="N5" s="203" t="s">
        <v>1207</v>
      </c>
      <c r="O5" s="203" t="s">
        <v>1207</v>
      </c>
      <c r="P5" s="203" t="s">
        <v>1207</v>
      </c>
      <c r="Q5" s="203" t="s">
        <v>1207</v>
      </c>
      <c r="R5" s="203" t="s">
        <v>1207</v>
      </c>
      <c r="S5" s="203" t="s">
        <v>1207</v>
      </c>
      <c r="T5" s="253" t="s">
        <v>1207</v>
      </c>
      <c r="U5" s="203" t="s">
        <v>1207</v>
      </c>
      <c r="V5" s="203"/>
      <c r="W5" s="253" t="s">
        <v>1207</v>
      </c>
      <c r="X5" s="203" t="s">
        <v>1207</v>
      </c>
      <c r="Y5" s="292" t="s">
        <v>1207</v>
      </c>
      <c r="Z5" s="318" t="s">
        <v>3944</v>
      </c>
      <c r="AA5" s="251" t="s">
        <v>3944</v>
      </c>
    </row>
    <row r="6" spans="1:27" ht="104.25">
      <c r="A6" s="203">
        <v>4</v>
      </c>
      <c r="B6" s="327" t="s">
        <v>3931</v>
      </c>
      <c r="C6" s="256" t="s">
        <v>3945</v>
      </c>
      <c r="D6" s="299" t="s">
        <v>3946</v>
      </c>
      <c r="E6" s="256">
        <v>3</v>
      </c>
      <c r="F6" s="122">
        <v>3</v>
      </c>
      <c r="G6" s="252" t="s">
        <v>1216</v>
      </c>
      <c r="H6" s="252" t="s">
        <v>576</v>
      </c>
      <c r="I6" s="298" t="s">
        <v>3947</v>
      </c>
      <c r="J6" s="291"/>
      <c r="K6" s="251" t="s">
        <v>12</v>
      </c>
      <c r="L6" s="204" t="s">
        <v>317</v>
      </c>
      <c r="M6" s="292" t="s">
        <v>316</v>
      </c>
      <c r="N6" s="204" t="s">
        <v>317</v>
      </c>
      <c r="O6" s="292" t="s">
        <v>316</v>
      </c>
      <c r="P6" s="297" t="s">
        <v>3948</v>
      </c>
      <c r="Q6" s="293" t="s">
        <v>3949</v>
      </c>
      <c r="R6" s="293">
        <v>45608</v>
      </c>
      <c r="S6" s="203" t="s">
        <v>12</v>
      </c>
      <c r="T6" s="253" t="s">
        <v>320</v>
      </c>
      <c r="U6" s="203" t="s">
        <v>320</v>
      </c>
      <c r="V6" s="203"/>
      <c r="W6" s="253" t="s">
        <v>1207</v>
      </c>
      <c r="X6" s="203" t="s">
        <v>1207</v>
      </c>
      <c r="Y6" s="292" t="s">
        <v>1207</v>
      </c>
      <c r="Z6" s="318" t="s">
        <v>3950</v>
      </c>
      <c r="AA6" s="253" t="s">
        <v>576</v>
      </c>
    </row>
    <row r="7" spans="1:27" ht="35.25">
      <c r="A7" s="204">
        <v>5</v>
      </c>
      <c r="B7" s="327" t="s">
        <v>3931</v>
      </c>
      <c r="C7" s="255" t="s">
        <v>3951</v>
      </c>
      <c r="D7" s="299" t="s">
        <v>3952</v>
      </c>
      <c r="E7" s="256">
        <v>0</v>
      </c>
      <c r="F7" s="136">
        <v>0</v>
      </c>
      <c r="G7" s="256" t="s">
        <v>3953</v>
      </c>
      <c r="H7" s="252" t="s">
        <v>576</v>
      </c>
      <c r="I7" s="298" t="s">
        <v>3954</v>
      </c>
      <c r="J7" s="301"/>
      <c r="K7" s="251" t="s">
        <v>12</v>
      </c>
      <c r="L7" s="204" t="s">
        <v>317</v>
      </c>
      <c r="M7" s="302" t="s">
        <v>316</v>
      </c>
      <c r="N7" s="300" t="s">
        <v>317</v>
      </c>
      <c r="O7" s="300" t="s">
        <v>316</v>
      </c>
      <c r="P7" s="300" t="s">
        <v>320</v>
      </c>
      <c r="Q7" s="204" t="s">
        <v>320</v>
      </c>
      <c r="R7" s="204" t="s">
        <v>320</v>
      </c>
      <c r="S7" s="204" t="s">
        <v>320</v>
      </c>
      <c r="T7" s="253" t="s">
        <v>320</v>
      </c>
      <c r="U7" s="203" t="s">
        <v>320</v>
      </c>
      <c r="V7" s="204"/>
      <c r="W7" s="253" t="s">
        <v>320</v>
      </c>
      <c r="X7" s="204" t="s">
        <v>320</v>
      </c>
      <c r="Y7" s="292" t="s">
        <v>3624</v>
      </c>
      <c r="Z7" s="318" t="s">
        <v>12</v>
      </c>
      <c r="AA7" s="253" t="s">
        <v>12</v>
      </c>
    </row>
    <row r="8" spans="1:27" ht="35.25">
      <c r="A8" s="204">
        <v>6</v>
      </c>
      <c r="B8" s="327" t="s">
        <v>3931</v>
      </c>
      <c r="C8" s="255" t="s">
        <v>3955</v>
      </c>
      <c r="D8" s="299" t="s">
        <v>3956</v>
      </c>
      <c r="E8" s="303">
        <v>0</v>
      </c>
      <c r="F8" s="122"/>
      <c r="G8" s="252" t="s">
        <v>3957</v>
      </c>
      <c r="H8" s="252" t="s">
        <v>1205</v>
      </c>
      <c r="I8" s="298" t="s">
        <v>3958</v>
      </c>
      <c r="J8" s="291"/>
      <c r="K8" s="251" t="s">
        <v>1207</v>
      </c>
      <c r="L8" s="253" t="s">
        <v>1207</v>
      </c>
      <c r="M8" s="251" t="s">
        <v>1207</v>
      </c>
      <c r="N8" s="253" t="s">
        <v>1207</v>
      </c>
      <c r="O8" s="253" t="s">
        <v>1207</v>
      </c>
      <c r="P8" s="253" t="s">
        <v>1207</v>
      </c>
      <c r="Q8" s="207"/>
      <c r="R8" s="204"/>
      <c r="S8" s="204"/>
      <c r="T8" s="253" t="s">
        <v>1207</v>
      </c>
      <c r="U8" s="203" t="s">
        <v>1207</v>
      </c>
      <c r="V8" s="204"/>
      <c r="W8" s="253" t="s">
        <v>1207</v>
      </c>
      <c r="X8" s="204"/>
      <c r="Y8" s="292" t="s">
        <v>1207</v>
      </c>
      <c r="Z8" s="318" t="s">
        <v>3959</v>
      </c>
      <c r="AA8" s="251" t="s">
        <v>3959</v>
      </c>
    </row>
    <row r="9" spans="1:27" ht="40.5" customHeight="1">
      <c r="A9" s="300">
        <v>7</v>
      </c>
      <c r="B9" s="327" t="s">
        <v>3931</v>
      </c>
      <c r="C9" s="255" t="s">
        <v>3960</v>
      </c>
      <c r="D9" s="299" t="s">
        <v>3961</v>
      </c>
      <c r="E9" s="257">
        <v>0</v>
      </c>
      <c r="F9" s="248">
        <v>0</v>
      </c>
      <c r="G9" s="252" t="s">
        <v>317</v>
      </c>
      <c r="H9" s="258" t="s">
        <v>576</v>
      </c>
      <c r="I9" s="298" t="s">
        <v>3954</v>
      </c>
      <c r="J9" s="301"/>
      <c r="K9" s="251" t="s">
        <v>12</v>
      </c>
      <c r="L9" s="204" t="s">
        <v>317</v>
      </c>
      <c r="M9" s="281" t="s">
        <v>3871</v>
      </c>
      <c r="N9" s="288" t="s">
        <v>317</v>
      </c>
      <c r="O9" s="288" t="s">
        <v>3226</v>
      </c>
      <c r="P9" s="292" t="s">
        <v>3934</v>
      </c>
      <c r="Q9" s="203" t="s">
        <v>320</v>
      </c>
      <c r="R9" s="204" t="s">
        <v>320</v>
      </c>
      <c r="S9" s="204" t="s">
        <v>320</v>
      </c>
      <c r="T9" s="253" t="s">
        <v>320</v>
      </c>
      <c r="U9" s="203" t="s">
        <v>320</v>
      </c>
      <c r="V9" s="204"/>
      <c r="W9" s="253" t="s">
        <v>320</v>
      </c>
      <c r="X9" s="204" t="s">
        <v>320</v>
      </c>
      <c r="Y9" s="292" t="s">
        <v>3624</v>
      </c>
      <c r="Z9" s="318" t="s">
        <v>12</v>
      </c>
      <c r="AA9" s="251" t="s">
        <v>12</v>
      </c>
    </row>
    <row r="10" spans="1:27" ht="29.25" customHeight="1">
      <c r="A10" s="204">
        <v>8</v>
      </c>
      <c r="B10" s="327" t="s">
        <v>3931</v>
      </c>
      <c r="C10" s="122" t="s">
        <v>3962</v>
      </c>
      <c r="D10" s="282" t="s">
        <v>3837</v>
      </c>
      <c r="E10" s="122">
        <v>3</v>
      </c>
      <c r="F10" s="122">
        <v>3</v>
      </c>
      <c r="G10" s="252" t="s">
        <v>313</v>
      </c>
      <c r="H10" s="252" t="s">
        <v>576</v>
      </c>
      <c r="I10" s="298" t="s">
        <v>3963</v>
      </c>
      <c r="J10" s="291"/>
      <c r="K10" s="251" t="s">
        <v>1207</v>
      </c>
      <c r="L10" s="203" t="s">
        <v>1207</v>
      </c>
      <c r="M10" s="251" t="s">
        <v>1207</v>
      </c>
      <c r="N10" s="253" t="s">
        <v>1207</v>
      </c>
      <c r="O10" s="253" t="s">
        <v>1207</v>
      </c>
      <c r="P10" s="253" t="s">
        <v>1207</v>
      </c>
      <c r="Q10" s="203" t="s">
        <v>1207</v>
      </c>
      <c r="R10" s="203" t="s">
        <v>1207</v>
      </c>
      <c r="S10" s="203" t="s">
        <v>1207</v>
      </c>
      <c r="T10" s="253" t="s">
        <v>1207</v>
      </c>
      <c r="U10" s="203" t="s">
        <v>1207</v>
      </c>
      <c r="V10" s="293"/>
      <c r="W10" s="253" t="s">
        <v>1207</v>
      </c>
      <c r="X10" s="292" t="s">
        <v>1207</v>
      </c>
      <c r="Y10" s="292" t="s">
        <v>1207</v>
      </c>
      <c r="Z10" s="318" t="s">
        <v>3964</v>
      </c>
      <c r="AA10" s="253" t="s">
        <v>3965</v>
      </c>
    </row>
    <row r="11" spans="1:27" ht="46.5">
      <c r="A11" s="304">
        <v>9</v>
      </c>
      <c r="B11" s="327" t="s">
        <v>3931</v>
      </c>
      <c r="C11" s="259" t="s">
        <v>3966</v>
      </c>
      <c r="D11" s="315" t="s">
        <v>3967</v>
      </c>
      <c r="E11" s="111">
        <v>0</v>
      </c>
      <c r="F11" s="248"/>
      <c r="G11" s="252" t="s">
        <v>317</v>
      </c>
      <c r="H11" s="252" t="s">
        <v>1205</v>
      </c>
      <c r="I11" s="305" t="s">
        <v>3968</v>
      </c>
      <c r="J11" s="306"/>
      <c r="K11" s="251" t="s">
        <v>1207</v>
      </c>
      <c r="L11" s="203" t="s">
        <v>1207</v>
      </c>
      <c r="M11" s="251" t="s">
        <v>1207</v>
      </c>
      <c r="N11" s="253" t="s">
        <v>1207</v>
      </c>
      <c r="O11" s="253" t="s">
        <v>1207</v>
      </c>
      <c r="P11" s="253" t="s">
        <v>1207</v>
      </c>
      <c r="Q11" s="203" t="s">
        <v>1207</v>
      </c>
      <c r="R11" s="203" t="s">
        <v>1207</v>
      </c>
      <c r="S11" s="203" t="s">
        <v>1207</v>
      </c>
      <c r="T11" s="253" t="s">
        <v>1207</v>
      </c>
      <c r="U11" s="203" t="s">
        <v>1207</v>
      </c>
      <c r="V11" s="293"/>
      <c r="W11" s="253" t="s">
        <v>1207</v>
      </c>
      <c r="X11" s="292" t="s">
        <v>1207</v>
      </c>
      <c r="Y11" s="292" t="s">
        <v>1207</v>
      </c>
      <c r="Z11" s="318" t="s">
        <v>3969</v>
      </c>
      <c r="AA11" s="253" t="s">
        <v>3970</v>
      </c>
    </row>
    <row r="12" spans="1:27">
      <c r="A12" s="300"/>
      <c r="B12" s="203"/>
      <c r="C12" s="136"/>
      <c r="D12" s="316"/>
      <c r="E12" s="136"/>
      <c r="F12" s="136"/>
      <c r="G12" s="252"/>
      <c r="H12" s="258"/>
      <c r="I12" s="307"/>
      <c r="J12" s="308"/>
      <c r="K12" s="253"/>
      <c r="L12" s="204"/>
      <c r="M12" s="203"/>
      <c r="N12" s="204"/>
      <c r="O12" s="204"/>
      <c r="P12" s="258"/>
      <c r="Q12" s="204"/>
      <c r="R12" s="204"/>
      <c r="S12" s="204"/>
      <c r="T12" s="204"/>
      <c r="U12" s="204"/>
      <c r="V12" s="204"/>
      <c r="W12" s="204"/>
      <c r="X12" s="204"/>
      <c r="Y12" s="314"/>
      <c r="Z12" s="318"/>
      <c r="AA12" s="253"/>
    </row>
    <row r="13" spans="1:27">
      <c r="A13" s="204"/>
      <c r="C13" s="122"/>
      <c r="D13" s="251"/>
      <c r="E13" s="122"/>
      <c r="F13" s="122"/>
      <c r="G13" s="122"/>
      <c r="H13" s="252"/>
      <c r="I13" s="253"/>
      <c r="J13" s="309"/>
      <c r="K13" s="253"/>
      <c r="L13" s="204"/>
      <c r="M13" s="203"/>
      <c r="N13" s="204"/>
      <c r="O13" s="204"/>
      <c r="P13" s="204"/>
      <c r="Q13" s="204"/>
      <c r="R13" s="204"/>
      <c r="S13" s="204"/>
      <c r="T13" s="204"/>
      <c r="U13" s="204"/>
      <c r="V13" s="204"/>
      <c r="W13" s="204"/>
      <c r="X13" s="204"/>
      <c r="Y13" s="314"/>
      <c r="Z13" s="318"/>
      <c r="AA13" s="253"/>
    </row>
    <row r="14" spans="1:27">
      <c r="A14" s="204"/>
      <c r="B14" s="203"/>
      <c r="C14" s="122"/>
      <c r="D14" s="251"/>
      <c r="E14" s="122"/>
      <c r="F14" s="122"/>
      <c r="G14" s="122"/>
      <c r="H14" s="252"/>
      <c r="I14" s="253"/>
      <c r="J14" s="309"/>
      <c r="K14" s="253"/>
      <c r="L14" s="253"/>
      <c r="M14" s="251"/>
      <c r="N14" s="253"/>
      <c r="O14" s="253"/>
      <c r="P14" s="253"/>
      <c r="Q14" s="253"/>
      <c r="R14" s="253"/>
      <c r="S14" s="253"/>
      <c r="T14" s="253"/>
      <c r="U14" s="253"/>
      <c r="V14" s="253"/>
      <c r="W14" s="253"/>
      <c r="X14" s="253"/>
      <c r="Y14" s="261"/>
      <c r="Z14" s="318"/>
      <c r="AA14" s="253"/>
    </row>
  </sheetData>
  <mergeCells count="10">
    <mergeCell ref="A1:A2"/>
    <mergeCell ref="B1:B2"/>
    <mergeCell ref="C1:C2"/>
    <mergeCell ref="D1:D2"/>
    <mergeCell ref="E1:E2"/>
    <mergeCell ref="F1:F2"/>
    <mergeCell ref="H1:H2"/>
    <mergeCell ref="I1:I2"/>
    <mergeCell ref="K1:Y1"/>
    <mergeCell ref="G1:G2"/>
  </mergeCells>
  <conditionalFormatting sqref="H3:H11">
    <cfRule type="containsText" dxfId="2" priority="1" operator="containsText" text="Closed">
      <formula>NOT(ISERROR(SEARCH("Closed",H3)))</formula>
    </cfRule>
    <cfRule type="containsText" dxfId="1" priority="2" operator="containsText" text="Open">
      <formula>NOT(ISERROR(SEARCH("Open",H3)))</formula>
    </cfRule>
    <cfRule type="containsText" dxfId="0" priority="3" operator="containsText" text="Inprogress">
      <formula>NOT(ISERROR(SEARCH("Inprogress",H3)))</formula>
    </cfRule>
  </conditionalFormatting>
  <dataValidations count="11">
    <dataValidation type="list" allowBlank="1" showErrorMessage="1" sqref="H3:H14" xr:uid="{E5BCE181-5D1A-45AA-9164-F52D2BDF9FB5}">
      <formula1>"Open,Inprogress,Closed"</formula1>
    </dataValidation>
    <dataValidation type="list" allowBlank="1" showErrorMessage="1" sqref="K15:K23" xr:uid="{ABBE1971-97FC-49FE-AB33-1795932E722A}">
      <formula1>"Open,Inprogress,Closed,TBD,NA"</formula1>
    </dataValidation>
    <dataValidation type="list" showErrorMessage="1" sqref="U3:U4 S3:S4 R10:S11 Q9:Q11 P5:S5 S6 U7:U11 V4 U5:V6 K3:K14" xr:uid="{F98E01D0-12B6-427E-B6B9-FD37ADC54605}">
      <formula1>"Open,Inprogress,Completed,TBD,NA"</formula1>
    </dataValidation>
    <dataValidation type="list" showErrorMessage="1" sqref="M3:M14" xr:uid="{67AB6B89-2758-478D-8FBD-A669BEB959C0}">
      <formula1>"Pass,Fail(BacktoDev),DB Script tests in QA DB"</formula1>
    </dataValidation>
    <dataValidation type="list" showErrorMessage="1" sqref="N12:N14" xr:uid="{9CFCE5F4-4B0B-47C0-BF02-EFEC0B50DFFE}">
      <formula1>"Qadir,Rijo,Karthik,None"</formula1>
    </dataValidation>
    <dataValidation type="list" showErrorMessage="1" sqref="O12:O14" xr:uid="{F02332AF-712A-41E9-99DF-A61CD87F9935}">
      <formula1>"Pass,Fail(BacktoDev),DB Script tests in QA DB,NA"</formula1>
    </dataValidation>
    <dataValidation type="list" showErrorMessage="1" sqref="L3:L11" xr:uid="{BA92DCB7-B080-4929-939F-AC8810AEA470}">
      <formula1>"Qadir,Rijo,Karthik,Sushmitha,None,TBD"</formula1>
    </dataValidation>
    <dataValidation type="list" showErrorMessage="1" sqref="T3:T11 P4 W3:W11 O3:O11" xr:uid="{5479CC40-6E12-43BB-993E-7DFDEAED42D6}">
      <formula1>"No issues found,Issues observed(BacktoDev),DB Script tests in QA DB,NA,TBD"</formula1>
    </dataValidation>
    <dataValidation type="list" showErrorMessage="1" sqref="N3:N11" xr:uid="{04E7F5E4-E212-4B1A-A9A2-E0C82EE1B152}">
      <formula1>"Qadir,Rijo,Karthik,None,TBD"</formula1>
    </dataValidation>
    <dataValidation type="list" showErrorMessage="1" sqref="X3:X11" xr:uid="{CDCE8F70-F23E-46DF-9D45-D4819BA78F90}">
      <formula1>"Approved-Satisified AC,Not Approved(Back to Dev),NA,TBD"</formula1>
    </dataValidation>
    <dataValidation type="list" showErrorMessage="1" sqref="Y3 Y5:Y11" xr:uid="{EE0C3712-6423-45CA-B006-31BAAAE010CC}">
      <formula1>"Pending-Waiting for Customer confirmation, Approved-Satisified AC,Not Approved-New minor changes requested(Back to Dev),NA,TBD"</formula1>
    </dataValidation>
  </dataValidations>
  <hyperlinks>
    <hyperlink ref="P6" r:id="rId1" display="https://dev.azure.com/heartlandschools/Accounting/_git/MSBAccounting-NewSchoolBooks/pullrequest/39669" xr:uid="{2D2BFFF5-1385-4F86-B7FB-88B52DF1FECD}"/>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B342B-0042-4E72-B441-426DC4160D75}">
  <dimension ref="A1:K10"/>
  <sheetViews>
    <sheetView workbookViewId="0">
      <selection activeCell="D14" sqref="D14"/>
    </sheetView>
  </sheetViews>
  <sheetFormatPr defaultRowHeight="12.75"/>
  <cols>
    <col min="1" max="1" width="4.5703125" customWidth="1"/>
    <col min="2" max="2" width="8.85546875" customWidth="1"/>
    <col min="3" max="3" width="10.85546875" customWidth="1"/>
    <col min="4" max="4" width="18.5703125" customWidth="1"/>
    <col min="5" max="5" width="14" customWidth="1"/>
    <col min="6" max="6" width="76.28515625" customWidth="1"/>
    <col min="7" max="7" width="15.42578125" customWidth="1"/>
    <col min="8" max="8" width="9.140625" bestFit="1" customWidth="1"/>
    <col min="9" max="9" width="14.28515625" customWidth="1"/>
    <col min="10" max="10" width="16.140625" customWidth="1"/>
    <col min="11" max="11" width="22.140625" customWidth="1"/>
  </cols>
  <sheetData>
    <row r="1" spans="1:11" ht="40.5">
      <c r="A1" s="155" t="s">
        <v>266</v>
      </c>
      <c r="B1" s="104" t="s">
        <v>10</v>
      </c>
      <c r="C1" s="105" t="s">
        <v>267</v>
      </c>
      <c r="D1" s="104" t="s">
        <v>269</v>
      </c>
      <c r="E1" s="61" t="s">
        <v>270</v>
      </c>
      <c r="F1" s="61" t="s">
        <v>271</v>
      </c>
      <c r="G1" s="104" t="s">
        <v>272</v>
      </c>
      <c r="H1" s="104" t="s">
        <v>274</v>
      </c>
      <c r="I1" s="104" t="s">
        <v>275</v>
      </c>
      <c r="J1" s="106" t="s">
        <v>276</v>
      </c>
      <c r="K1" s="107" t="s">
        <v>277</v>
      </c>
    </row>
    <row r="2" spans="1:11" s="201" customFormat="1" ht="58.5">
      <c r="A2" s="252">
        <v>1</v>
      </c>
      <c r="B2" s="252" t="s">
        <v>3931</v>
      </c>
      <c r="C2" s="252">
        <v>46303</v>
      </c>
      <c r="D2" s="284" t="s">
        <v>3971</v>
      </c>
      <c r="E2" s="330" t="s">
        <v>3503</v>
      </c>
      <c r="F2" s="235" t="s">
        <v>3972</v>
      </c>
      <c r="G2" s="330" t="s">
        <v>1670</v>
      </c>
      <c r="H2" s="330" t="s">
        <v>525</v>
      </c>
      <c r="I2" s="330" t="s">
        <v>1671</v>
      </c>
      <c r="J2" s="330" t="s">
        <v>526</v>
      </c>
      <c r="K2" s="146" t="s">
        <v>3973</v>
      </c>
    </row>
    <row r="3" spans="1:11" s="201" customFormat="1">
      <c r="A3" s="252">
        <v>2</v>
      </c>
      <c r="B3" s="284" t="s">
        <v>3931</v>
      </c>
      <c r="C3" s="289" t="s">
        <v>3951</v>
      </c>
      <c r="D3" s="284" t="s">
        <v>317</v>
      </c>
      <c r="E3" s="329" t="s">
        <v>3974</v>
      </c>
      <c r="F3" s="235" t="s">
        <v>3952</v>
      </c>
      <c r="G3" s="330" t="s">
        <v>1670</v>
      </c>
      <c r="H3" s="330" t="s">
        <v>519</v>
      </c>
      <c r="I3" s="330" t="s">
        <v>576</v>
      </c>
      <c r="J3" s="330" t="s">
        <v>529</v>
      </c>
      <c r="K3" s="284"/>
    </row>
    <row r="4" spans="1:11" s="201" customFormat="1" ht="23.25">
      <c r="A4" s="252">
        <v>3</v>
      </c>
      <c r="B4" s="284" t="s">
        <v>3931</v>
      </c>
      <c r="C4" s="289" t="s">
        <v>3955</v>
      </c>
      <c r="D4" s="284" t="s">
        <v>317</v>
      </c>
      <c r="E4" s="329" t="s">
        <v>3974</v>
      </c>
      <c r="F4" s="235" t="s">
        <v>1204</v>
      </c>
      <c r="G4" s="330" t="s">
        <v>1670</v>
      </c>
      <c r="H4" s="330" t="s">
        <v>519</v>
      </c>
      <c r="I4" s="330" t="s">
        <v>1205</v>
      </c>
      <c r="J4" s="330" t="s">
        <v>529</v>
      </c>
      <c r="K4" s="284"/>
    </row>
    <row r="5" spans="1:11" s="201" customFormat="1" ht="23.25">
      <c r="A5" s="252">
        <v>4</v>
      </c>
      <c r="B5" s="284" t="s">
        <v>3931</v>
      </c>
      <c r="C5" s="256" t="s">
        <v>3966</v>
      </c>
      <c r="D5" s="284" t="s">
        <v>317</v>
      </c>
      <c r="E5" s="329" t="s">
        <v>3974</v>
      </c>
      <c r="F5" s="235" t="s">
        <v>1208</v>
      </c>
      <c r="G5" s="330" t="s">
        <v>1670</v>
      </c>
      <c r="H5" s="330" t="s">
        <v>519</v>
      </c>
      <c r="I5" s="330" t="s">
        <v>1205</v>
      </c>
      <c r="J5" s="330" t="s">
        <v>529</v>
      </c>
      <c r="K5" s="122"/>
    </row>
    <row r="6" spans="1:11" s="201" customFormat="1" ht="23.25">
      <c r="A6" s="252">
        <v>5</v>
      </c>
      <c r="B6" s="284" t="s">
        <v>3931</v>
      </c>
      <c r="C6" s="259" t="s">
        <v>3975</v>
      </c>
      <c r="D6" s="284" t="s">
        <v>317</v>
      </c>
      <c r="E6" s="329" t="s">
        <v>3974</v>
      </c>
      <c r="F6" s="235" t="s">
        <v>1211</v>
      </c>
      <c r="G6" s="330" t="s">
        <v>1670</v>
      </c>
      <c r="H6" s="330" t="s">
        <v>519</v>
      </c>
      <c r="I6" s="330" t="s">
        <v>1205</v>
      </c>
      <c r="J6" s="330" t="s">
        <v>529</v>
      </c>
      <c r="K6" s="122"/>
    </row>
    <row r="7" spans="1:11">
      <c r="A7" s="328">
        <v>6</v>
      </c>
      <c r="B7" s="284" t="s">
        <v>3931</v>
      </c>
      <c r="C7" s="93" t="s">
        <v>3960</v>
      </c>
      <c r="D7" s="284" t="s">
        <v>317</v>
      </c>
      <c r="E7" s="329" t="s">
        <v>3974</v>
      </c>
      <c r="F7" s="93" t="s">
        <v>3961</v>
      </c>
      <c r="G7" s="330" t="s">
        <v>1670</v>
      </c>
      <c r="H7" s="330" t="s">
        <v>519</v>
      </c>
      <c r="I7" s="330" t="s">
        <v>576</v>
      </c>
      <c r="J7" s="330" t="s">
        <v>529</v>
      </c>
      <c r="K7" s="93"/>
    </row>
    <row r="8" spans="1:11">
      <c r="A8" s="235"/>
      <c r="B8" s="235"/>
      <c r="C8" s="93"/>
      <c r="D8" s="93"/>
      <c r="E8" s="93"/>
      <c r="F8" s="93"/>
      <c r="G8" s="93"/>
      <c r="H8" s="236"/>
      <c r="I8" s="93"/>
      <c r="J8" s="236"/>
      <c r="K8" s="93"/>
    </row>
    <row r="9" spans="1:11">
      <c r="A9" s="235"/>
      <c r="B9" s="235"/>
      <c r="C9" s="93"/>
      <c r="D9" s="93"/>
      <c r="E9" s="93"/>
      <c r="F9" s="93"/>
      <c r="G9" s="93"/>
      <c r="H9" s="236"/>
      <c r="I9" s="236"/>
      <c r="J9" s="236"/>
      <c r="K9" s="93"/>
    </row>
    <row r="10" spans="1:11">
      <c r="A10" s="235"/>
      <c r="B10" s="235"/>
      <c r="C10" s="93"/>
      <c r="D10" s="93"/>
      <c r="E10" s="93"/>
      <c r="F10" s="96"/>
      <c r="G10" s="93"/>
      <c r="H10" s="236"/>
      <c r="I10" s="236"/>
      <c r="J10" s="236"/>
      <c r="K10" s="93"/>
    </row>
  </sheetData>
  <dataValidations count="6">
    <dataValidation type="list" allowBlank="1" showErrorMessage="1" sqref="E2" xr:uid="{8786F3F3-C6AC-4488-9BA0-062FDA95CEEF}">
      <formula1>"Bounceback,Defect,None"</formula1>
    </dataValidation>
    <dataValidation type="list" allowBlank="1" showErrorMessage="1" sqref="I9:I10 I2:I7" xr:uid="{1EC82C10-519B-4631-874A-7ECEFED986D3}">
      <formula1>"Open,Inprogress,Closed"</formula1>
    </dataValidation>
    <dataValidation type="list" allowBlank="1" showErrorMessage="1" sqref="H2:H10" xr:uid="{BE81FC0B-C1DC-4BF8-A4DD-25F705763E96}">
      <formula1>"Internal,External"</formula1>
    </dataValidation>
    <dataValidation type="list" allowBlank="1" showErrorMessage="1" sqref="G2:G7" xr:uid="{89B5B54B-096E-4AF1-8901-ACDDA27E0069}">
      <formula1>"Minor,Significant,Major"</formula1>
    </dataValidation>
    <dataValidation type="list" allowBlank="1" showErrorMessage="1" sqref="E3:E7" xr:uid="{93EA9748-FFF3-4823-8AC5-7C53652E262C}">
      <formula1>"Escalation,Bounceback,Defect,DefectFromEscalation,None"</formula1>
    </dataValidation>
    <dataValidation type="list" allowBlank="1" showInputMessage="1" showErrorMessage="1" sqref="D2:D7" xr:uid="{4307A33C-54F7-423D-BD58-775F9E85E2C5}">
      <formula1>"ClientDev,Qadir,Rijo,Karthik, Rijo-Karthik, Qadir-Rijo-Karthik"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6ECC9A6-2998-43A1-9200-DA5970581D5D}">
          <x14:formula1>
            <xm:f>Details!$A$2:$A$10</xm:f>
          </x14:formula1>
          <xm:sqref>J2:J10</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9D87-213B-418F-BBA6-DF612CBA3869}">
  <dimension ref="A1:X13"/>
  <sheetViews>
    <sheetView workbookViewId="0">
      <pane xSplit="5" topLeftCell="R1" activePane="topRight" state="frozen"/>
      <selection pane="topRight" activeCell="W2" sqref="W2"/>
    </sheetView>
  </sheetViews>
  <sheetFormatPr defaultRowHeight="12.75"/>
  <cols>
    <col min="1" max="1" width="9.140625" style="201"/>
    <col min="2" max="2" width="15.7109375" style="111" customWidth="1"/>
    <col min="3" max="3" width="13.42578125" customWidth="1"/>
    <col min="4" max="4" width="11" style="201" customWidth="1"/>
    <col min="5" max="5" width="34.42578125" customWidth="1"/>
    <col min="6" max="7" width="9.140625" style="111" bestFit="1" customWidth="1"/>
    <col min="8" max="8" width="11.140625" style="111" customWidth="1"/>
    <col min="9" max="9" width="9.140625" bestFit="1" customWidth="1"/>
    <col min="10" max="10" width="11.5703125" customWidth="1"/>
    <col min="11" max="11" width="14.28515625" customWidth="1"/>
    <col min="12" max="12" width="13.28515625" customWidth="1"/>
    <col min="13" max="13" width="14.5703125" customWidth="1"/>
    <col min="14" max="14" width="31.5703125" customWidth="1"/>
    <col min="15" max="15" width="10.42578125" customWidth="1"/>
    <col min="16" max="16" width="11.140625" customWidth="1"/>
    <col min="17" max="17" width="11.42578125" customWidth="1"/>
    <col min="18" max="18" width="16.28515625" customWidth="1"/>
    <col min="19" max="19" width="16.42578125" customWidth="1"/>
    <col min="20" max="20" width="14.85546875" customWidth="1"/>
    <col min="21" max="21" width="17.5703125" customWidth="1"/>
    <col min="22" max="22" width="27.140625" customWidth="1"/>
    <col min="23" max="23" width="26.7109375" customWidth="1"/>
    <col min="24" max="24" width="29" customWidth="1"/>
  </cols>
  <sheetData>
    <row r="1" spans="1:24" ht="27">
      <c r="A1" s="247" t="s">
        <v>266</v>
      </c>
      <c r="B1" s="155" t="s">
        <v>278</v>
      </c>
      <c r="C1" s="98" t="s">
        <v>269</v>
      </c>
      <c r="D1" s="246" t="s">
        <v>279</v>
      </c>
      <c r="E1" s="98" t="s">
        <v>280</v>
      </c>
      <c r="F1" s="155" t="s">
        <v>1195</v>
      </c>
      <c r="G1" s="155" t="s">
        <v>1196</v>
      </c>
      <c r="H1" s="155" t="s">
        <v>275</v>
      </c>
      <c r="I1" s="98" t="s">
        <v>286</v>
      </c>
      <c r="J1" s="98" t="s">
        <v>287</v>
      </c>
      <c r="K1" s="98" t="s">
        <v>288</v>
      </c>
      <c r="L1" s="98" t="s">
        <v>289</v>
      </c>
      <c r="M1" s="98" t="s">
        <v>290</v>
      </c>
      <c r="N1" s="98" t="s">
        <v>291</v>
      </c>
      <c r="O1" s="98" t="s">
        <v>292</v>
      </c>
      <c r="P1" s="98" t="s">
        <v>293</v>
      </c>
      <c r="Q1" s="98" t="s">
        <v>294</v>
      </c>
      <c r="R1" s="98" t="s">
        <v>1201</v>
      </c>
      <c r="S1" s="98" t="s">
        <v>296</v>
      </c>
      <c r="T1" s="98" t="s">
        <v>1202</v>
      </c>
      <c r="U1" s="98" t="s">
        <v>1201</v>
      </c>
      <c r="V1" s="98" t="s">
        <v>299</v>
      </c>
      <c r="W1" s="98" t="s">
        <v>300</v>
      </c>
      <c r="X1" s="156" t="s">
        <v>277</v>
      </c>
    </row>
    <row r="2" spans="1:24" ht="48">
      <c r="A2" s="197">
        <v>1</v>
      </c>
      <c r="B2" s="252" t="s">
        <v>68</v>
      </c>
      <c r="C2" s="77" t="s">
        <v>3976</v>
      </c>
      <c r="D2" s="197">
        <v>23856</v>
      </c>
      <c r="E2" s="96" t="s">
        <v>3977</v>
      </c>
      <c r="F2" s="122">
        <v>1</v>
      </c>
      <c r="G2" s="122">
        <v>1</v>
      </c>
      <c r="H2" s="252" t="s">
        <v>576</v>
      </c>
      <c r="I2" s="77" t="s">
        <v>319</v>
      </c>
      <c r="J2" s="197" t="s">
        <v>3978</v>
      </c>
      <c r="K2" s="124" t="s">
        <v>3979</v>
      </c>
      <c r="L2" s="197" t="s">
        <v>3978</v>
      </c>
      <c r="M2" s="124" t="s">
        <v>3979</v>
      </c>
      <c r="N2" s="145" t="s">
        <v>3980</v>
      </c>
      <c r="O2" s="121">
        <v>45588</v>
      </c>
      <c r="P2" s="121">
        <v>45588</v>
      </c>
      <c r="Q2" s="197" t="s">
        <v>317</v>
      </c>
      <c r="R2" s="124" t="s">
        <v>3979</v>
      </c>
      <c r="S2" s="47" t="s">
        <v>3981</v>
      </c>
      <c r="T2" s="121">
        <v>45588</v>
      </c>
      <c r="U2" s="124" t="s">
        <v>3979</v>
      </c>
      <c r="V2" s="124" t="s">
        <v>3979</v>
      </c>
      <c r="W2" s="124" t="s">
        <v>3979</v>
      </c>
      <c r="X2" s="93"/>
    </row>
    <row r="3" spans="1:24" ht="39.75" customHeight="1">
      <c r="A3" s="77">
        <v>2</v>
      </c>
      <c r="B3" s="252" t="s">
        <v>3982</v>
      </c>
      <c r="C3" s="77" t="s">
        <v>313</v>
      </c>
      <c r="D3" s="224">
        <v>24208</v>
      </c>
      <c r="E3" s="225" t="s">
        <v>3983</v>
      </c>
      <c r="F3" s="255">
        <v>2</v>
      </c>
      <c r="G3" s="252">
        <v>2</v>
      </c>
      <c r="H3" s="252" t="s">
        <v>576</v>
      </c>
      <c r="I3" s="77" t="s">
        <v>319</v>
      </c>
      <c r="J3" s="77" t="s">
        <v>3976</v>
      </c>
      <c r="K3" s="124" t="s">
        <v>3979</v>
      </c>
      <c r="L3" s="77" t="s">
        <v>3976</v>
      </c>
      <c r="M3" s="124" t="s">
        <v>3979</v>
      </c>
      <c r="N3" s="145" t="s">
        <v>3984</v>
      </c>
      <c r="O3" s="121">
        <v>45588</v>
      </c>
      <c r="P3" s="121">
        <v>45588</v>
      </c>
      <c r="Q3" s="197" t="s">
        <v>317</v>
      </c>
      <c r="R3" s="124" t="s">
        <v>3979</v>
      </c>
      <c r="S3" s="47" t="s">
        <v>3981</v>
      </c>
      <c r="T3" s="121">
        <v>45588</v>
      </c>
      <c r="U3" s="124" t="s">
        <v>3979</v>
      </c>
      <c r="V3" s="124" t="s">
        <v>3979</v>
      </c>
      <c r="W3" s="124" t="s">
        <v>3979</v>
      </c>
      <c r="X3" s="76"/>
    </row>
    <row r="4" spans="1:24" ht="48">
      <c r="A4" s="77">
        <v>3</v>
      </c>
      <c r="B4" s="252" t="s">
        <v>3982</v>
      </c>
      <c r="C4" s="77" t="s">
        <v>3985</v>
      </c>
      <c r="D4" s="224">
        <v>46358</v>
      </c>
      <c r="E4" s="225" t="s">
        <v>3936</v>
      </c>
      <c r="F4" s="255">
        <v>8</v>
      </c>
      <c r="G4" s="252"/>
      <c r="H4" s="252" t="s">
        <v>1205</v>
      </c>
      <c r="I4" s="146"/>
      <c r="J4" s="197"/>
      <c r="K4" s="124"/>
      <c r="L4" s="197"/>
      <c r="M4" s="124"/>
      <c r="N4" s="145"/>
      <c r="O4" s="121"/>
      <c r="P4" s="121"/>
      <c r="Q4" s="197"/>
      <c r="R4" s="124"/>
      <c r="S4" s="47"/>
      <c r="T4" s="121"/>
      <c r="U4" s="124"/>
      <c r="V4" s="124"/>
      <c r="W4" s="124"/>
      <c r="X4" s="96" t="s">
        <v>3986</v>
      </c>
    </row>
    <row r="5" spans="1:24" ht="48">
      <c r="A5" s="77">
        <v>4</v>
      </c>
      <c r="B5" s="252" t="s">
        <v>3982</v>
      </c>
      <c r="C5" s="77" t="s">
        <v>317</v>
      </c>
      <c r="D5" s="224">
        <v>24222</v>
      </c>
      <c r="E5" s="225" t="s">
        <v>3987</v>
      </c>
      <c r="F5" s="256">
        <v>3</v>
      </c>
      <c r="G5" s="122">
        <v>3</v>
      </c>
      <c r="H5" s="252" t="s">
        <v>576</v>
      </c>
      <c r="I5" s="77" t="s">
        <v>319</v>
      </c>
      <c r="J5" s="197" t="s">
        <v>320</v>
      </c>
      <c r="K5" s="124" t="s">
        <v>320</v>
      </c>
      <c r="L5" s="197" t="s">
        <v>320</v>
      </c>
      <c r="M5" s="124" t="s">
        <v>3979</v>
      </c>
      <c r="N5" s="145" t="s">
        <v>3988</v>
      </c>
      <c r="O5" s="121">
        <v>45590</v>
      </c>
      <c r="P5" s="121">
        <v>45590</v>
      </c>
      <c r="Q5" s="197" t="s">
        <v>320</v>
      </c>
      <c r="R5" s="124" t="s">
        <v>320</v>
      </c>
      <c r="S5" s="47" t="s">
        <v>3981</v>
      </c>
      <c r="T5" s="121">
        <v>45590</v>
      </c>
      <c r="U5" s="124" t="s">
        <v>3989</v>
      </c>
      <c r="V5" s="124" t="s">
        <v>3989</v>
      </c>
      <c r="W5" s="124" t="s">
        <v>3989</v>
      </c>
      <c r="X5" s="96"/>
    </row>
    <row r="6" spans="1:24" ht="48">
      <c r="A6" s="197">
        <v>5</v>
      </c>
      <c r="B6" s="252" t="s">
        <v>3982</v>
      </c>
      <c r="C6" s="77" t="s">
        <v>317</v>
      </c>
      <c r="D6" s="229">
        <v>24183</v>
      </c>
      <c r="E6" s="230" t="s">
        <v>3990</v>
      </c>
      <c r="F6" s="256">
        <v>5</v>
      </c>
      <c r="G6" s="136"/>
      <c r="H6" s="252" t="s">
        <v>1205</v>
      </c>
      <c r="I6" s="77"/>
      <c r="J6" s="197"/>
      <c r="K6" s="124"/>
      <c r="L6" s="197"/>
      <c r="M6" s="124"/>
      <c r="N6" s="145"/>
      <c r="O6" s="121"/>
      <c r="P6" s="121"/>
      <c r="Q6" s="197"/>
      <c r="R6" s="124"/>
      <c r="S6" s="47"/>
      <c r="T6" s="121"/>
      <c r="U6" s="124"/>
      <c r="V6" s="124"/>
      <c r="W6" s="124"/>
      <c r="X6" s="96" t="s">
        <v>3991</v>
      </c>
    </row>
    <row r="7" spans="1:24" ht="36">
      <c r="A7" s="197">
        <v>6</v>
      </c>
      <c r="B7" s="252" t="s">
        <v>3982</v>
      </c>
      <c r="C7" s="77" t="s">
        <v>313</v>
      </c>
      <c r="D7" s="231">
        <v>24233</v>
      </c>
      <c r="E7" s="230" t="s">
        <v>3992</v>
      </c>
      <c r="F7" s="256">
        <v>2</v>
      </c>
      <c r="G7" s="122">
        <v>2</v>
      </c>
      <c r="H7" s="252" t="s">
        <v>576</v>
      </c>
      <c r="I7" s="197" t="s">
        <v>3993</v>
      </c>
      <c r="J7" s="197" t="s">
        <v>320</v>
      </c>
      <c r="K7" s="197" t="s">
        <v>320</v>
      </c>
      <c r="L7" s="197" t="s">
        <v>320</v>
      </c>
      <c r="M7" s="197" t="s">
        <v>320</v>
      </c>
      <c r="N7" s="145" t="s">
        <v>320</v>
      </c>
      <c r="O7" s="197" t="s">
        <v>320</v>
      </c>
      <c r="P7" s="197" t="s">
        <v>320</v>
      </c>
      <c r="Q7" s="197" t="s">
        <v>320</v>
      </c>
      <c r="R7" s="197" t="s">
        <v>320</v>
      </c>
      <c r="S7" s="197" t="s">
        <v>320</v>
      </c>
      <c r="T7" s="197" t="s">
        <v>320</v>
      </c>
      <c r="U7" s="197" t="s">
        <v>320</v>
      </c>
      <c r="V7" s="197" t="s">
        <v>3979</v>
      </c>
      <c r="W7" s="197" t="s">
        <v>3979</v>
      </c>
      <c r="X7" s="96"/>
    </row>
    <row r="8" spans="1:24" ht="48">
      <c r="A8" s="232">
        <v>7</v>
      </c>
      <c r="B8" s="252" t="s">
        <v>3982</v>
      </c>
      <c r="C8" s="77" t="s">
        <v>3976</v>
      </c>
      <c r="D8" s="233" t="s">
        <v>3994</v>
      </c>
      <c r="E8" s="230" t="s">
        <v>3995</v>
      </c>
      <c r="F8" s="257"/>
      <c r="G8" s="136"/>
      <c r="H8" s="258" t="s">
        <v>576</v>
      </c>
      <c r="I8" s="197" t="s">
        <v>320</v>
      </c>
      <c r="J8" s="197" t="s">
        <v>320</v>
      </c>
      <c r="K8" s="197" t="s">
        <v>320</v>
      </c>
      <c r="L8" s="197" t="s">
        <v>320</v>
      </c>
      <c r="M8" s="197" t="s">
        <v>320</v>
      </c>
      <c r="N8" s="185" t="s">
        <v>3996</v>
      </c>
      <c r="O8" s="197" t="s">
        <v>320</v>
      </c>
      <c r="P8" s="197" t="s">
        <v>320</v>
      </c>
      <c r="Q8" s="197" t="s">
        <v>320</v>
      </c>
      <c r="R8" s="197" t="s">
        <v>320</v>
      </c>
      <c r="S8" s="197" t="s">
        <v>320</v>
      </c>
      <c r="T8" s="197" t="s">
        <v>320</v>
      </c>
      <c r="U8" s="197" t="s">
        <v>320</v>
      </c>
      <c r="V8" s="197" t="s">
        <v>3979</v>
      </c>
      <c r="W8" s="197" t="s">
        <v>3979</v>
      </c>
      <c r="X8" s="96" t="s">
        <v>3997</v>
      </c>
    </row>
    <row r="9" spans="1:24" ht="48">
      <c r="A9" s="197">
        <v>8</v>
      </c>
      <c r="B9" s="252" t="s">
        <v>3982</v>
      </c>
      <c r="C9" s="77" t="s">
        <v>313</v>
      </c>
      <c r="D9" s="197">
        <v>24241</v>
      </c>
      <c r="E9" s="96" t="s">
        <v>3998</v>
      </c>
      <c r="F9" s="122"/>
      <c r="G9" s="122"/>
      <c r="H9" s="252" t="s">
        <v>576</v>
      </c>
      <c r="I9" s="77" t="s">
        <v>319</v>
      </c>
      <c r="J9" s="77" t="s">
        <v>317</v>
      </c>
      <c r="K9" s="124" t="s">
        <v>3979</v>
      </c>
      <c r="L9" s="77" t="s">
        <v>317</v>
      </c>
      <c r="M9" s="124" t="s">
        <v>3979</v>
      </c>
      <c r="N9" s="145" t="s">
        <v>3999</v>
      </c>
      <c r="O9" s="121">
        <v>45594</v>
      </c>
      <c r="P9" s="121">
        <v>45594</v>
      </c>
      <c r="Q9" s="197" t="s">
        <v>317</v>
      </c>
      <c r="R9" s="124" t="s">
        <v>3979</v>
      </c>
      <c r="S9" s="47" t="s">
        <v>3981</v>
      </c>
      <c r="T9" s="121">
        <v>45595</v>
      </c>
      <c r="U9" s="124" t="s">
        <v>3979</v>
      </c>
      <c r="V9" s="124" t="s">
        <v>3979</v>
      </c>
      <c r="W9" s="124" t="s">
        <v>3979</v>
      </c>
      <c r="X9" s="96" t="s">
        <v>4000</v>
      </c>
    </row>
    <row r="10" spans="1:24" ht="48">
      <c r="A10" s="237">
        <v>9</v>
      </c>
      <c r="B10" s="252" t="s">
        <v>3982</v>
      </c>
      <c r="C10" s="77" t="s">
        <v>313</v>
      </c>
      <c r="D10" s="237">
        <v>24242</v>
      </c>
      <c r="E10" s="240" t="s">
        <v>4001</v>
      </c>
      <c r="F10" s="259"/>
      <c r="G10" s="248"/>
      <c r="H10" s="252" t="s">
        <v>576</v>
      </c>
      <c r="I10" s="77" t="s">
        <v>319</v>
      </c>
      <c r="J10" s="77" t="s">
        <v>317</v>
      </c>
      <c r="K10" s="124" t="s">
        <v>3979</v>
      </c>
      <c r="L10" s="77" t="s">
        <v>317</v>
      </c>
      <c r="M10" s="124" t="s">
        <v>3979</v>
      </c>
      <c r="N10" s="145" t="s">
        <v>3999</v>
      </c>
      <c r="O10" s="121">
        <v>45594</v>
      </c>
      <c r="P10" s="121">
        <v>45594</v>
      </c>
      <c r="Q10" s="197" t="s">
        <v>317</v>
      </c>
      <c r="R10" s="124" t="s">
        <v>3979</v>
      </c>
      <c r="S10" s="47" t="s">
        <v>3981</v>
      </c>
      <c r="T10" s="121">
        <v>45595</v>
      </c>
      <c r="U10" s="124" t="s">
        <v>3979</v>
      </c>
      <c r="V10" s="124" t="s">
        <v>3979</v>
      </c>
      <c r="W10" s="124" t="s">
        <v>3979</v>
      </c>
      <c r="X10" s="240" t="s">
        <v>4002</v>
      </c>
    </row>
    <row r="11" spans="1:24" ht="36">
      <c r="A11" s="232">
        <v>10</v>
      </c>
      <c r="B11" s="252" t="s">
        <v>3982</v>
      </c>
      <c r="C11" s="77" t="s">
        <v>4003</v>
      </c>
      <c r="D11" s="232">
        <v>45359</v>
      </c>
      <c r="E11" s="137" t="s">
        <v>4004</v>
      </c>
      <c r="F11" s="136">
        <v>5</v>
      </c>
      <c r="G11" s="136">
        <v>5</v>
      </c>
      <c r="H11" s="258" t="s">
        <v>576</v>
      </c>
      <c r="I11" s="197" t="s">
        <v>320</v>
      </c>
      <c r="J11" s="197" t="s">
        <v>320</v>
      </c>
      <c r="K11" s="197" t="s">
        <v>320</v>
      </c>
      <c r="L11" s="197" t="s">
        <v>320</v>
      </c>
      <c r="M11" s="197" t="s">
        <v>320</v>
      </c>
      <c r="N11" s="185" t="s">
        <v>320</v>
      </c>
      <c r="O11" s="197" t="s">
        <v>320</v>
      </c>
      <c r="P11" s="197" t="s">
        <v>320</v>
      </c>
      <c r="Q11" s="197" t="s">
        <v>320</v>
      </c>
      <c r="R11" s="197" t="s">
        <v>320</v>
      </c>
      <c r="S11" s="197" t="s">
        <v>320</v>
      </c>
      <c r="T11" s="197" t="s">
        <v>320</v>
      </c>
      <c r="U11" s="197" t="s">
        <v>320</v>
      </c>
      <c r="V11" s="197" t="s">
        <v>3979</v>
      </c>
      <c r="W11" s="197" t="s">
        <v>3979</v>
      </c>
      <c r="X11" s="245"/>
    </row>
    <row r="12" spans="1:24">
      <c r="A12" s="197"/>
      <c r="B12" s="252"/>
      <c r="C12" s="93"/>
      <c r="D12" s="197"/>
      <c r="E12" s="96"/>
      <c r="F12" s="122"/>
      <c r="G12" s="122"/>
      <c r="H12" s="252"/>
      <c r="I12" s="197"/>
      <c r="J12" s="197"/>
      <c r="K12" s="197"/>
      <c r="L12" s="197"/>
      <c r="M12" s="197"/>
      <c r="N12" s="197"/>
      <c r="O12" s="197"/>
      <c r="P12" s="197"/>
      <c r="Q12" s="197"/>
      <c r="R12" s="197"/>
      <c r="S12" s="197"/>
      <c r="T12" s="197"/>
      <c r="U12" s="197"/>
      <c r="V12" s="197"/>
      <c r="W12" s="197"/>
      <c r="X12" s="93"/>
    </row>
    <row r="13" spans="1:24">
      <c r="A13" s="197"/>
      <c r="B13" s="252"/>
      <c r="C13" s="93"/>
      <c r="D13" s="197"/>
      <c r="E13" s="96"/>
      <c r="F13" s="122"/>
      <c r="G13" s="122"/>
      <c r="H13" s="252"/>
      <c r="I13" s="93"/>
      <c r="J13" s="93"/>
      <c r="K13" s="93"/>
      <c r="L13" s="93"/>
      <c r="M13" s="93"/>
      <c r="N13" s="93"/>
      <c r="O13" s="93"/>
      <c r="P13" s="93"/>
      <c r="Q13" s="93"/>
      <c r="R13" s="93"/>
      <c r="S13" s="93"/>
      <c r="T13" s="93"/>
      <c r="U13" s="93"/>
      <c r="V13" s="93"/>
      <c r="W13" s="93"/>
      <c r="X13" s="93"/>
    </row>
  </sheetData>
  <dataValidations count="1">
    <dataValidation type="list" allowBlank="1" showErrorMessage="1" sqref="H2:H13" xr:uid="{2E48DEB9-D61D-4D30-B7EC-148A66FF3E78}">
      <formula1>"Open,Inprogress,Closed"</formula1>
    </dataValidation>
  </dataValidations>
  <hyperlinks>
    <hyperlink ref="N3" r:id="rId1" xr:uid="{FF96CE8F-BB2A-4F0E-908B-4848FE922733}"/>
    <hyperlink ref="N2" r:id="rId2" xr:uid="{975DA489-31E4-428C-BAA9-DBFD7F7DDF52}"/>
    <hyperlink ref="N5" r:id="rId3" xr:uid="{CE845EB7-F628-4F14-BB2B-A43B8CAAA47A}"/>
    <hyperlink ref="N9" r:id="rId4" xr:uid="{27AAD946-7D68-4CBC-8F1A-761844CFCB7D}"/>
    <hyperlink ref="N10" r:id="rId5" xr:uid="{2A14BC2F-F517-4A5E-B84C-0FE6D8AAD39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D531A-5037-43BB-9D25-EC51205B9272}">
  <dimension ref="A1:K9"/>
  <sheetViews>
    <sheetView workbookViewId="0">
      <selection activeCell="F8" sqref="F8"/>
    </sheetView>
  </sheetViews>
  <sheetFormatPr defaultRowHeight="12.75"/>
  <cols>
    <col min="6" max="6" width="76.28515625" customWidth="1"/>
    <col min="7" max="7" width="15.42578125" customWidth="1"/>
    <col min="8" max="8" width="9.140625" bestFit="1" customWidth="1"/>
    <col min="9" max="9" width="14.28515625" customWidth="1"/>
  </cols>
  <sheetData>
    <row r="1" spans="1:11" ht="40.5">
      <c r="A1" s="155" t="s">
        <v>266</v>
      </c>
      <c r="B1" s="104" t="s">
        <v>10</v>
      </c>
      <c r="C1" s="105" t="s">
        <v>267</v>
      </c>
      <c r="D1" s="104" t="s">
        <v>269</v>
      </c>
      <c r="E1" s="61" t="s">
        <v>270</v>
      </c>
      <c r="F1" s="61" t="s">
        <v>271</v>
      </c>
      <c r="G1" s="104" t="s">
        <v>272</v>
      </c>
      <c r="H1" s="104" t="s">
        <v>274</v>
      </c>
      <c r="I1" s="104" t="s">
        <v>275</v>
      </c>
      <c r="J1" s="106" t="s">
        <v>276</v>
      </c>
      <c r="K1" s="107" t="s">
        <v>277</v>
      </c>
    </row>
    <row r="2" spans="1:11" s="201" customFormat="1" ht="24">
      <c r="A2" s="146">
        <v>1</v>
      </c>
      <c r="B2" s="146" t="s">
        <v>3982</v>
      </c>
      <c r="C2" s="146">
        <v>24241</v>
      </c>
      <c r="D2" s="146" t="s">
        <v>1673</v>
      </c>
      <c r="E2" s="165" t="s">
        <v>522</v>
      </c>
      <c r="F2" s="146" t="s">
        <v>4005</v>
      </c>
      <c r="G2" s="165" t="s">
        <v>1670</v>
      </c>
      <c r="H2" s="165" t="s">
        <v>525</v>
      </c>
      <c r="I2" s="165" t="s">
        <v>576</v>
      </c>
      <c r="J2" s="165" t="s">
        <v>529</v>
      </c>
      <c r="K2" s="146"/>
    </row>
    <row r="3" spans="1:11" s="201" customFormat="1">
      <c r="A3" s="146">
        <v>2</v>
      </c>
      <c r="B3" s="146" t="s">
        <v>3982</v>
      </c>
      <c r="C3" s="197">
        <v>24242</v>
      </c>
      <c r="D3" s="197" t="s">
        <v>1673</v>
      </c>
      <c r="E3" s="197" t="s">
        <v>522</v>
      </c>
      <c r="F3" s="197" t="s">
        <v>4001</v>
      </c>
      <c r="G3" s="197" t="s">
        <v>1670</v>
      </c>
      <c r="H3" s="165" t="s">
        <v>525</v>
      </c>
      <c r="I3" s="165" t="s">
        <v>576</v>
      </c>
      <c r="J3" s="165" t="s">
        <v>529</v>
      </c>
      <c r="K3" s="197"/>
    </row>
    <row r="4" spans="1:11" s="201" customFormat="1">
      <c r="A4" s="146">
        <v>3</v>
      </c>
      <c r="B4" s="146" t="s">
        <v>3982</v>
      </c>
      <c r="C4" s="197">
        <v>24243</v>
      </c>
      <c r="D4" s="197" t="s">
        <v>1673</v>
      </c>
      <c r="E4" s="197" t="s">
        <v>522</v>
      </c>
      <c r="F4" s="197" t="s">
        <v>3995</v>
      </c>
      <c r="G4" s="197" t="s">
        <v>1670</v>
      </c>
      <c r="H4" s="197" t="s">
        <v>525</v>
      </c>
      <c r="I4" s="165" t="s">
        <v>576</v>
      </c>
      <c r="J4" s="165" t="s">
        <v>529</v>
      </c>
      <c r="K4" s="197"/>
    </row>
    <row r="5" spans="1:11" s="201" customFormat="1">
      <c r="A5" s="146">
        <v>4</v>
      </c>
      <c r="B5" s="146" t="s">
        <v>3982</v>
      </c>
      <c r="C5" s="197">
        <v>24183</v>
      </c>
      <c r="D5" s="197" t="s">
        <v>1673</v>
      </c>
      <c r="E5" s="197" t="s">
        <v>522</v>
      </c>
      <c r="F5" s="197" t="s">
        <v>3932</v>
      </c>
      <c r="G5" s="197" t="s">
        <v>1670</v>
      </c>
      <c r="H5" s="197" t="s">
        <v>519</v>
      </c>
      <c r="I5" s="165" t="s">
        <v>1205</v>
      </c>
      <c r="J5" s="165" t="s">
        <v>529</v>
      </c>
      <c r="K5" s="197"/>
    </row>
    <row r="6" spans="1:11">
      <c r="A6" s="235"/>
      <c r="B6" s="235"/>
      <c r="C6" s="93"/>
      <c r="D6" s="93"/>
      <c r="E6" s="93"/>
      <c r="F6" s="93"/>
      <c r="G6" s="93"/>
      <c r="H6" s="93"/>
      <c r="I6" s="236"/>
      <c r="J6" s="236"/>
      <c r="K6" s="93"/>
    </row>
    <row r="7" spans="1:11">
      <c r="A7" s="235"/>
      <c r="B7" s="235"/>
      <c r="C7" s="93"/>
      <c r="D7" s="93"/>
      <c r="E7" s="93"/>
      <c r="F7" s="93"/>
      <c r="G7" s="93"/>
      <c r="H7" s="236"/>
      <c r="I7" s="93"/>
      <c r="J7" s="236"/>
      <c r="K7" s="93"/>
    </row>
    <row r="8" spans="1:11">
      <c r="A8" s="235"/>
      <c r="B8" s="235"/>
      <c r="C8" s="93"/>
      <c r="D8" s="93"/>
      <c r="E8" s="93"/>
      <c r="F8" s="93"/>
      <c r="G8" s="93"/>
      <c r="H8" s="236"/>
      <c r="I8" s="236"/>
      <c r="J8" s="236"/>
      <c r="K8" s="93"/>
    </row>
    <row r="9" spans="1:11">
      <c r="A9" s="235"/>
      <c r="B9" s="235"/>
      <c r="C9" s="93"/>
      <c r="D9" s="93"/>
      <c r="E9" s="93"/>
      <c r="F9" s="96"/>
      <c r="G9" s="93"/>
      <c r="H9" s="236"/>
      <c r="I9" s="236"/>
      <c r="J9" s="236"/>
      <c r="K9" s="93"/>
    </row>
  </sheetData>
  <dataValidations count="4">
    <dataValidation type="list" allowBlank="1" showErrorMessage="1" sqref="G2" xr:uid="{1CEF55A6-136E-4CF4-82AD-9040415BE692}">
      <formula1>"Minor,Significant,Major"</formula1>
    </dataValidation>
    <dataValidation type="list" allowBlank="1" showErrorMessage="1" sqref="H7:H9 H2:H3" xr:uid="{C1636D56-768E-483A-A3C5-DC85737ED332}">
      <formula1>"Internal,External"</formula1>
    </dataValidation>
    <dataValidation type="list" allowBlank="1" showErrorMessage="1" sqref="I8:I9 I2:I6" xr:uid="{15A73E9A-FF9D-413A-9DC8-0BA292A5035F}">
      <formula1>"Open,Inprogress,Closed"</formula1>
    </dataValidation>
    <dataValidation type="list" allowBlank="1" showErrorMessage="1" sqref="E2" xr:uid="{D6D74715-29A2-4522-8D30-9F919E6A90B0}">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318B140A-A724-412A-ABB3-A8E32353A232}">
          <x14:formula1>
            <xm:f>Details!$A$2:$A$10</xm:f>
          </x14:formula1>
          <xm:sqref>J2:J9</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F2A2A-F5B6-461A-BD0B-17302E788597}">
  <dimension ref="A1:X14"/>
  <sheetViews>
    <sheetView workbookViewId="0">
      <selection activeCell="H9" sqref="H9"/>
    </sheetView>
  </sheetViews>
  <sheetFormatPr defaultRowHeight="12.75"/>
  <cols>
    <col min="2" max="2" width="15.7109375" customWidth="1"/>
    <col min="3" max="3" width="12.7109375" customWidth="1"/>
    <col min="4" max="4" width="11" customWidth="1"/>
    <col min="5" max="5" width="34.42578125" customWidth="1"/>
    <col min="9" max="9" width="11.5703125" customWidth="1"/>
    <col min="10" max="10" width="14.28515625" customWidth="1"/>
    <col min="11" max="11" width="13.28515625" customWidth="1"/>
    <col min="12" max="12" width="14.5703125" customWidth="1"/>
    <col min="13" max="13" width="31.5703125" customWidth="1"/>
    <col min="14" max="14" width="10.42578125" customWidth="1"/>
    <col min="15" max="15" width="11.140625" customWidth="1"/>
    <col min="16" max="16" width="11.42578125" customWidth="1"/>
    <col min="17" max="17" width="16.28515625" customWidth="1"/>
    <col min="18" max="18" width="16.42578125" customWidth="1"/>
    <col min="19" max="19" width="14.85546875" customWidth="1"/>
    <col min="20" max="20" width="17.5703125" customWidth="1"/>
    <col min="21" max="21" width="27.140625" customWidth="1"/>
    <col min="22" max="22" width="26.7109375" customWidth="1"/>
    <col min="23" max="23" width="11.140625" customWidth="1"/>
    <col min="24" max="24" width="29" customWidth="1"/>
  </cols>
  <sheetData>
    <row r="1" spans="1:24" ht="40.5">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294</v>
      </c>
      <c r="Q1" s="98" t="s">
        <v>1201</v>
      </c>
      <c r="R1" s="98" t="s">
        <v>296</v>
      </c>
      <c r="S1" s="98" t="s">
        <v>1202</v>
      </c>
      <c r="T1" s="98" t="s">
        <v>1201</v>
      </c>
      <c r="U1" s="98" t="s">
        <v>299</v>
      </c>
      <c r="V1" s="98" t="s">
        <v>300</v>
      </c>
      <c r="W1" s="98" t="s">
        <v>275</v>
      </c>
      <c r="X1" s="156" t="s">
        <v>277</v>
      </c>
    </row>
    <row r="2" spans="1:24" ht="58.5" customHeight="1">
      <c r="A2" s="77">
        <v>1</v>
      </c>
      <c r="B2" s="77" t="s">
        <v>4006</v>
      </c>
      <c r="C2" s="77" t="s">
        <v>317</v>
      </c>
      <c r="D2" s="224">
        <v>24184</v>
      </c>
      <c r="E2" s="225" t="s">
        <v>4007</v>
      </c>
      <c r="F2" s="116">
        <v>1</v>
      </c>
      <c r="G2" s="77">
        <v>1</v>
      </c>
      <c r="H2" s="146" t="s">
        <v>319</v>
      </c>
      <c r="I2" s="77" t="s">
        <v>320</v>
      </c>
      <c r="J2" s="77" t="s">
        <v>320</v>
      </c>
      <c r="K2" s="77" t="s">
        <v>320</v>
      </c>
      <c r="L2" s="77" t="s">
        <v>320</v>
      </c>
      <c r="M2" s="77" t="s">
        <v>320</v>
      </c>
      <c r="N2" s="77" t="s">
        <v>320</v>
      </c>
      <c r="O2" s="77" t="s">
        <v>320</v>
      </c>
      <c r="P2" s="77" t="s">
        <v>320</v>
      </c>
      <c r="Q2" s="77" t="s">
        <v>320</v>
      </c>
      <c r="R2" s="77" t="s">
        <v>320</v>
      </c>
      <c r="S2" s="121">
        <v>45575</v>
      </c>
      <c r="T2" s="135" t="s">
        <v>320</v>
      </c>
      <c r="U2" s="124" t="s">
        <v>3979</v>
      </c>
      <c r="V2" s="124" t="s">
        <v>3979</v>
      </c>
      <c r="W2" s="77" t="s">
        <v>576</v>
      </c>
      <c r="X2" s="76" t="s">
        <v>4008</v>
      </c>
    </row>
    <row r="3" spans="1:24" ht="36">
      <c r="A3" s="77">
        <v>2</v>
      </c>
      <c r="B3" s="77" t="s">
        <v>4006</v>
      </c>
      <c r="C3" s="77" t="s">
        <v>3976</v>
      </c>
      <c r="D3" s="224" t="s">
        <v>4009</v>
      </c>
      <c r="E3" s="225" t="s">
        <v>4010</v>
      </c>
      <c r="F3" s="116">
        <v>2</v>
      </c>
      <c r="G3" s="77">
        <v>2</v>
      </c>
      <c r="H3" s="77" t="s">
        <v>320</v>
      </c>
      <c r="I3" s="77" t="s">
        <v>320</v>
      </c>
      <c r="J3" s="77" t="s">
        <v>320</v>
      </c>
      <c r="K3" s="77" t="s">
        <v>320</v>
      </c>
      <c r="L3" s="77" t="s">
        <v>320</v>
      </c>
      <c r="M3" s="77" t="s">
        <v>320</v>
      </c>
      <c r="N3" s="77" t="s">
        <v>320</v>
      </c>
      <c r="O3" s="77" t="s">
        <v>320</v>
      </c>
      <c r="P3" s="77" t="s">
        <v>320</v>
      </c>
      <c r="Q3" s="77" t="s">
        <v>320</v>
      </c>
      <c r="R3" s="77" t="s">
        <v>320</v>
      </c>
      <c r="S3" s="77" t="s">
        <v>320</v>
      </c>
      <c r="T3" s="77" t="s">
        <v>320</v>
      </c>
      <c r="U3" s="77" t="s">
        <v>320</v>
      </c>
      <c r="V3" s="77" t="s">
        <v>320</v>
      </c>
      <c r="W3" s="77" t="s">
        <v>576</v>
      </c>
      <c r="X3" s="76"/>
    </row>
    <row r="4" spans="1:24" ht="48">
      <c r="A4" s="77">
        <v>3</v>
      </c>
      <c r="B4" s="77" t="s">
        <v>4006</v>
      </c>
      <c r="C4" s="77" t="s">
        <v>3976</v>
      </c>
      <c r="D4" s="224">
        <v>46186</v>
      </c>
      <c r="E4" s="225" t="s">
        <v>4011</v>
      </c>
      <c r="F4" s="116">
        <v>3</v>
      </c>
      <c r="G4" s="77">
        <v>3</v>
      </c>
      <c r="H4" s="146" t="s">
        <v>319</v>
      </c>
      <c r="I4" s="197" t="s">
        <v>317</v>
      </c>
      <c r="J4" s="124" t="s">
        <v>3979</v>
      </c>
      <c r="K4" s="197" t="s">
        <v>317</v>
      </c>
      <c r="L4" s="124" t="s">
        <v>3979</v>
      </c>
      <c r="M4" s="145" t="s">
        <v>4012</v>
      </c>
      <c r="N4" s="121">
        <v>45587</v>
      </c>
      <c r="O4" s="121">
        <v>45587</v>
      </c>
      <c r="P4" s="197" t="s">
        <v>317</v>
      </c>
      <c r="Q4" s="124" t="s">
        <v>3979</v>
      </c>
      <c r="R4" s="47" t="s">
        <v>3981</v>
      </c>
      <c r="S4" s="121">
        <v>45587</v>
      </c>
      <c r="T4" s="124" t="s">
        <v>3979</v>
      </c>
      <c r="U4" s="124" t="s">
        <v>3979</v>
      </c>
      <c r="V4" s="124" t="s">
        <v>3979</v>
      </c>
      <c r="W4" s="77" t="s">
        <v>576</v>
      </c>
      <c r="X4" s="96"/>
    </row>
    <row r="5" spans="1:24" ht="48">
      <c r="A5" s="77">
        <v>4</v>
      </c>
      <c r="B5" s="77" t="s">
        <v>4006</v>
      </c>
      <c r="C5" s="77" t="s">
        <v>313</v>
      </c>
      <c r="D5" s="224">
        <v>46178</v>
      </c>
      <c r="E5" s="225" t="s">
        <v>4013</v>
      </c>
      <c r="F5" s="224">
        <v>2</v>
      </c>
      <c r="G5" s="197">
        <v>2</v>
      </c>
      <c r="H5" s="77" t="s">
        <v>319</v>
      </c>
      <c r="I5" s="197" t="s">
        <v>317</v>
      </c>
      <c r="J5" s="124" t="s">
        <v>3979</v>
      </c>
      <c r="K5" s="197" t="s">
        <v>317</v>
      </c>
      <c r="L5" s="124" t="s">
        <v>3979</v>
      </c>
      <c r="M5" s="145" t="s">
        <v>4014</v>
      </c>
      <c r="N5" s="121">
        <v>45574</v>
      </c>
      <c r="O5" s="121">
        <v>45574</v>
      </c>
      <c r="P5" s="197" t="s">
        <v>317</v>
      </c>
      <c r="Q5" s="124" t="s">
        <v>3979</v>
      </c>
      <c r="R5" s="47" t="s">
        <v>3981</v>
      </c>
      <c r="S5" s="121">
        <v>45574</v>
      </c>
      <c r="T5" s="124" t="s">
        <v>3979</v>
      </c>
      <c r="U5" s="124" t="s">
        <v>3979</v>
      </c>
      <c r="V5" s="124" t="s">
        <v>3979</v>
      </c>
      <c r="W5" s="77" t="s">
        <v>576</v>
      </c>
      <c r="X5" s="96"/>
    </row>
    <row r="6" spans="1:24" ht="60" customHeight="1">
      <c r="A6" s="197">
        <v>5</v>
      </c>
      <c r="B6" s="77" t="s">
        <v>4015</v>
      </c>
      <c r="C6" s="77" t="s">
        <v>313</v>
      </c>
      <c r="D6" s="229">
        <v>24173</v>
      </c>
      <c r="E6" s="230" t="s">
        <v>4016</v>
      </c>
      <c r="F6" s="224">
        <v>3</v>
      </c>
      <c r="G6" s="232">
        <v>3</v>
      </c>
      <c r="H6" s="77" t="s">
        <v>319</v>
      </c>
      <c r="I6" s="197" t="s">
        <v>317</v>
      </c>
      <c r="J6" s="124" t="s">
        <v>3979</v>
      </c>
      <c r="K6" s="197" t="s">
        <v>317</v>
      </c>
      <c r="L6" s="124" t="s">
        <v>3979</v>
      </c>
      <c r="M6" s="145" t="s">
        <v>4017</v>
      </c>
      <c r="N6" s="121">
        <v>45580</v>
      </c>
      <c r="O6" s="121">
        <v>45580</v>
      </c>
      <c r="P6" s="197" t="s">
        <v>317</v>
      </c>
      <c r="Q6" s="124" t="s">
        <v>3979</v>
      </c>
      <c r="R6" s="47" t="s">
        <v>3981</v>
      </c>
      <c r="S6" s="121">
        <v>45580</v>
      </c>
      <c r="T6" s="124" t="s">
        <v>3979</v>
      </c>
      <c r="U6" s="124" t="s">
        <v>3979</v>
      </c>
      <c r="V6" s="124" t="s">
        <v>3979</v>
      </c>
      <c r="W6" s="77" t="s">
        <v>576</v>
      </c>
      <c r="X6" s="96"/>
    </row>
    <row r="7" spans="1:24" ht="24">
      <c r="A7" s="197">
        <v>6</v>
      </c>
      <c r="B7" s="77" t="s">
        <v>4006</v>
      </c>
      <c r="C7" s="77" t="s">
        <v>317</v>
      </c>
      <c r="D7" s="231" t="s">
        <v>4018</v>
      </c>
      <c r="E7" s="230" t="s">
        <v>4019</v>
      </c>
      <c r="F7" s="224">
        <v>0</v>
      </c>
      <c r="G7" s="197">
        <v>0</v>
      </c>
      <c r="H7" s="197" t="s">
        <v>3993</v>
      </c>
      <c r="I7" s="197" t="s">
        <v>320</v>
      </c>
      <c r="J7" s="197" t="s">
        <v>320</v>
      </c>
      <c r="K7" s="197" t="s">
        <v>320</v>
      </c>
      <c r="L7" s="197" t="s">
        <v>320</v>
      </c>
      <c r="M7" s="145" t="s">
        <v>320</v>
      </c>
      <c r="N7" s="197" t="s">
        <v>320</v>
      </c>
      <c r="O7" s="197" t="s">
        <v>320</v>
      </c>
      <c r="P7" s="197" t="s">
        <v>320</v>
      </c>
      <c r="Q7" s="197" t="s">
        <v>320</v>
      </c>
      <c r="R7" s="197" t="s">
        <v>320</v>
      </c>
      <c r="S7" s="197">
        <v>45575</v>
      </c>
      <c r="T7" s="197" t="s">
        <v>320</v>
      </c>
      <c r="U7" s="197" t="s">
        <v>3979</v>
      </c>
      <c r="V7" s="197" t="s">
        <v>3979</v>
      </c>
      <c r="W7" s="77" t="s">
        <v>576</v>
      </c>
      <c r="X7" s="96" t="s">
        <v>4008</v>
      </c>
    </row>
    <row r="8" spans="1:24" ht="24">
      <c r="A8" s="232">
        <v>7</v>
      </c>
      <c r="B8" s="138" t="s">
        <v>4006</v>
      </c>
      <c r="C8" s="138" t="s">
        <v>317</v>
      </c>
      <c r="D8" s="233" t="s">
        <v>4020</v>
      </c>
      <c r="E8" s="230" t="s">
        <v>3932</v>
      </c>
      <c r="F8" s="234">
        <v>8</v>
      </c>
      <c r="G8" s="232"/>
      <c r="H8" s="232"/>
      <c r="I8" s="232"/>
      <c r="J8" s="232"/>
      <c r="K8" s="232"/>
      <c r="L8" s="232"/>
      <c r="M8" s="232"/>
      <c r="N8" s="232"/>
      <c r="O8" s="232"/>
      <c r="P8" s="232"/>
      <c r="Q8" s="232"/>
      <c r="R8" s="232"/>
      <c r="S8" s="232"/>
      <c r="T8" s="232"/>
      <c r="U8" s="232"/>
      <c r="V8" s="232"/>
      <c r="W8" s="138" t="s">
        <v>1205</v>
      </c>
      <c r="X8" s="118"/>
    </row>
    <row r="9" spans="1:24" ht="35.25">
      <c r="A9" s="197">
        <v>8</v>
      </c>
      <c r="B9" s="77" t="s">
        <v>4006</v>
      </c>
      <c r="C9" s="77" t="s">
        <v>313</v>
      </c>
      <c r="D9" s="93">
        <v>24085</v>
      </c>
      <c r="E9" s="96" t="s">
        <v>4021</v>
      </c>
      <c r="F9" s="197">
        <v>3</v>
      </c>
      <c r="G9" s="197">
        <v>3</v>
      </c>
      <c r="H9" s="197" t="s">
        <v>3993</v>
      </c>
      <c r="I9" s="197" t="s">
        <v>320</v>
      </c>
      <c r="J9" s="197" t="s">
        <v>320</v>
      </c>
      <c r="K9" s="197" t="s">
        <v>320</v>
      </c>
      <c r="L9" s="197" t="s">
        <v>320</v>
      </c>
      <c r="M9" s="145" t="s">
        <v>320</v>
      </c>
      <c r="N9" s="197" t="s">
        <v>320</v>
      </c>
      <c r="O9" s="197" t="s">
        <v>320</v>
      </c>
      <c r="P9" s="197" t="s">
        <v>320</v>
      </c>
      <c r="Q9" s="197" t="s">
        <v>320</v>
      </c>
      <c r="R9" s="197" t="s">
        <v>320</v>
      </c>
      <c r="S9" s="197">
        <v>45575</v>
      </c>
      <c r="T9" s="197" t="s">
        <v>320</v>
      </c>
      <c r="U9" s="197" t="s">
        <v>3979</v>
      </c>
      <c r="V9" s="197" t="s">
        <v>3979</v>
      </c>
      <c r="W9" s="77" t="s">
        <v>576</v>
      </c>
      <c r="X9" s="93"/>
    </row>
    <row r="10" spans="1:24" ht="48">
      <c r="A10" s="237">
        <v>9</v>
      </c>
      <c r="B10" s="238" t="s">
        <v>4006</v>
      </c>
      <c r="C10" s="238" t="s">
        <v>3976</v>
      </c>
      <c r="D10" s="239">
        <v>24125</v>
      </c>
      <c r="E10" s="240" t="s">
        <v>4022</v>
      </c>
      <c r="F10" s="241">
        <v>3</v>
      </c>
      <c r="G10" s="237"/>
      <c r="H10" s="237" t="s">
        <v>3993</v>
      </c>
      <c r="I10" s="238" t="s">
        <v>313</v>
      </c>
      <c r="J10" s="242" t="s">
        <v>3979</v>
      </c>
      <c r="K10" s="238" t="s">
        <v>313</v>
      </c>
      <c r="L10" s="242" t="s">
        <v>3979</v>
      </c>
      <c r="M10" s="243" t="s">
        <v>4023</v>
      </c>
      <c r="N10" s="244">
        <v>45582</v>
      </c>
      <c r="O10" s="244">
        <v>45582</v>
      </c>
      <c r="P10" s="237" t="s">
        <v>317</v>
      </c>
      <c r="Q10" s="242" t="s">
        <v>3979</v>
      </c>
      <c r="R10" s="242" t="s">
        <v>3981</v>
      </c>
      <c r="S10" s="244">
        <v>45582</v>
      </c>
      <c r="T10" s="242" t="s">
        <v>3979</v>
      </c>
      <c r="U10" s="242" t="s">
        <v>3979</v>
      </c>
      <c r="V10" s="242" t="s">
        <v>3979</v>
      </c>
      <c r="W10" s="238" t="s">
        <v>576</v>
      </c>
      <c r="X10" s="239"/>
    </row>
    <row r="11" spans="1:24" ht="48">
      <c r="A11" s="232">
        <v>10</v>
      </c>
      <c r="B11" s="138" t="s">
        <v>4024</v>
      </c>
      <c r="C11" s="138" t="s">
        <v>3976</v>
      </c>
      <c r="D11" s="118">
        <v>46177</v>
      </c>
      <c r="E11" s="119" t="s">
        <v>4025</v>
      </c>
      <c r="F11" s="232">
        <v>8</v>
      </c>
      <c r="G11" s="118"/>
      <c r="H11" s="118"/>
      <c r="I11" s="118"/>
      <c r="J11" s="118"/>
      <c r="K11" s="118"/>
      <c r="L11" s="118"/>
      <c r="M11" s="118"/>
      <c r="N11" s="118"/>
      <c r="O11" s="118"/>
      <c r="P11" s="118"/>
      <c r="Q11" s="118"/>
      <c r="R11" s="118"/>
      <c r="S11" s="118"/>
      <c r="T11" s="118"/>
      <c r="U11" s="118"/>
      <c r="V11" s="117"/>
      <c r="W11" s="138" t="s">
        <v>576</v>
      </c>
      <c r="X11" s="245" t="s">
        <v>4026</v>
      </c>
    </row>
    <row r="12" spans="1:24" ht="39" customHeight="1">
      <c r="A12" s="197">
        <v>11</v>
      </c>
      <c r="B12" s="77" t="s">
        <v>4024</v>
      </c>
      <c r="C12" s="93" t="s">
        <v>313</v>
      </c>
      <c r="D12" s="93">
        <v>24208</v>
      </c>
      <c r="E12" s="96" t="s">
        <v>3983</v>
      </c>
      <c r="F12" s="197">
        <v>2</v>
      </c>
      <c r="G12" s="93"/>
      <c r="H12" s="197" t="s">
        <v>320</v>
      </c>
      <c r="I12" s="197" t="s">
        <v>320</v>
      </c>
      <c r="J12" s="197" t="s">
        <v>320</v>
      </c>
      <c r="K12" s="197" t="s">
        <v>320</v>
      </c>
      <c r="L12" s="197" t="s">
        <v>320</v>
      </c>
      <c r="M12" s="197" t="s">
        <v>320</v>
      </c>
      <c r="N12" s="197" t="s">
        <v>320</v>
      </c>
      <c r="O12" s="197" t="s">
        <v>320</v>
      </c>
      <c r="P12" s="197" t="s">
        <v>320</v>
      </c>
      <c r="Q12" s="197" t="s">
        <v>320</v>
      </c>
      <c r="R12" s="197" t="s">
        <v>320</v>
      </c>
      <c r="S12" s="197" t="s">
        <v>320</v>
      </c>
      <c r="T12" s="197" t="s">
        <v>320</v>
      </c>
      <c r="U12" s="197" t="s">
        <v>320</v>
      </c>
      <c r="V12" s="197" t="s">
        <v>320</v>
      </c>
      <c r="W12" s="77" t="s">
        <v>1205</v>
      </c>
      <c r="X12" s="93" t="s">
        <v>4027</v>
      </c>
    </row>
    <row r="13" spans="1:24" ht="48">
      <c r="A13" s="93">
        <v>12</v>
      </c>
      <c r="B13" s="77" t="s">
        <v>4006</v>
      </c>
      <c r="C13" s="93" t="s">
        <v>317</v>
      </c>
      <c r="D13" s="93" t="s">
        <v>4028</v>
      </c>
      <c r="E13" s="96" t="s">
        <v>4029</v>
      </c>
      <c r="F13" s="93">
        <v>0</v>
      </c>
      <c r="G13" s="93"/>
      <c r="H13" s="93"/>
      <c r="I13" s="93"/>
      <c r="J13" s="93"/>
      <c r="K13" s="93"/>
      <c r="L13" s="93"/>
      <c r="M13" s="93"/>
      <c r="N13" s="93"/>
      <c r="O13" s="93"/>
      <c r="P13" s="93"/>
      <c r="Q13" s="93"/>
      <c r="R13" s="93"/>
      <c r="S13" s="93"/>
      <c r="T13" s="93"/>
      <c r="U13" s="93"/>
      <c r="V13" s="93"/>
      <c r="W13" s="77" t="s">
        <v>1205</v>
      </c>
      <c r="X13" s="96" t="s">
        <v>4030</v>
      </c>
    </row>
    <row r="14" spans="1:24" ht="36">
      <c r="A14" s="93">
        <v>13</v>
      </c>
      <c r="B14" s="77" t="s">
        <v>4024</v>
      </c>
      <c r="C14" s="77" t="s">
        <v>3976</v>
      </c>
      <c r="D14" s="93">
        <v>23856</v>
      </c>
      <c r="E14" s="96" t="s">
        <v>3977</v>
      </c>
      <c r="F14" s="93">
        <v>2</v>
      </c>
      <c r="G14" s="93"/>
      <c r="H14" s="197" t="s">
        <v>320</v>
      </c>
      <c r="I14" s="197" t="s">
        <v>320</v>
      </c>
      <c r="J14" s="197" t="s">
        <v>320</v>
      </c>
      <c r="K14" s="197" t="s">
        <v>320</v>
      </c>
      <c r="L14" s="197" t="s">
        <v>320</v>
      </c>
      <c r="M14" s="197" t="s">
        <v>320</v>
      </c>
      <c r="N14" s="197" t="s">
        <v>320</v>
      </c>
      <c r="O14" s="197" t="s">
        <v>320</v>
      </c>
      <c r="P14" s="197" t="s">
        <v>320</v>
      </c>
      <c r="Q14" s="197" t="s">
        <v>320</v>
      </c>
      <c r="R14" s="197" t="s">
        <v>320</v>
      </c>
      <c r="S14" s="197" t="s">
        <v>320</v>
      </c>
      <c r="T14" s="197" t="s">
        <v>320</v>
      </c>
      <c r="U14" s="197" t="s">
        <v>320</v>
      </c>
      <c r="V14" s="197" t="s">
        <v>320</v>
      </c>
      <c r="W14" s="77" t="s">
        <v>1205</v>
      </c>
      <c r="X14" s="93" t="s">
        <v>4027</v>
      </c>
    </row>
  </sheetData>
  <dataValidations count="1">
    <dataValidation type="list" allowBlank="1" showErrorMessage="1" sqref="W2:W14" xr:uid="{E4C46DBB-60D4-4A5B-ACBB-B23BC335414E}">
      <formula1>"Open,Inprogress,Closed"</formula1>
    </dataValidation>
  </dataValidations>
  <hyperlinks>
    <hyperlink ref="M5" r:id="rId1" xr:uid="{89DD3F15-3B80-4B24-A454-7999FB11B65B}"/>
    <hyperlink ref="M6" r:id="rId2" xr:uid="{45E6B45F-395D-4FFB-BC9F-8BC9D332F62D}"/>
    <hyperlink ref="M10" r:id="rId3" xr:uid="{E244FF5B-1802-420A-A891-3BB37C795561}"/>
    <hyperlink ref="M4" r:id="rId4" xr:uid="{BFF09D31-2FB8-4285-97AB-27B870ECF892}"/>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799CB-C9F9-42C0-9418-03C7B2B223EC}">
  <dimension ref="A1:K9"/>
  <sheetViews>
    <sheetView workbookViewId="0">
      <selection activeCell="B6" sqref="B6"/>
    </sheetView>
  </sheetViews>
  <sheetFormatPr defaultRowHeight="12.75"/>
  <cols>
    <col min="6" max="6" width="76.28515625" customWidth="1"/>
    <col min="7" max="7" width="15.42578125" customWidth="1"/>
    <col min="9" max="9" width="14.28515625" customWidth="1"/>
  </cols>
  <sheetData>
    <row r="1" spans="1:11" ht="40.5">
      <c r="A1" s="155" t="s">
        <v>266</v>
      </c>
      <c r="B1" s="104" t="s">
        <v>10</v>
      </c>
      <c r="C1" s="105" t="s">
        <v>267</v>
      </c>
      <c r="D1" s="104" t="s">
        <v>269</v>
      </c>
      <c r="E1" s="61" t="s">
        <v>270</v>
      </c>
      <c r="F1" s="61" t="s">
        <v>271</v>
      </c>
      <c r="G1" s="104" t="s">
        <v>272</v>
      </c>
      <c r="H1" s="104" t="s">
        <v>274</v>
      </c>
      <c r="I1" s="104" t="s">
        <v>275</v>
      </c>
      <c r="J1" s="106" t="s">
        <v>276</v>
      </c>
      <c r="K1" s="107" t="s">
        <v>277</v>
      </c>
    </row>
    <row r="2" spans="1:11" ht="24">
      <c r="A2" s="235">
        <v>1</v>
      </c>
      <c r="B2" s="235" t="s">
        <v>4006</v>
      </c>
      <c r="C2" s="235">
        <v>24090</v>
      </c>
      <c r="D2" s="235" t="s">
        <v>1673</v>
      </c>
      <c r="E2" s="236" t="s">
        <v>522</v>
      </c>
      <c r="F2" s="235" t="s">
        <v>4031</v>
      </c>
      <c r="G2" s="236" t="s">
        <v>1670</v>
      </c>
      <c r="H2" s="236" t="s">
        <v>525</v>
      </c>
      <c r="I2" s="236" t="s">
        <v>576</v>
      </c>
      <c r="J2" s="236" t="s">
        <v>529</v>
      </c>
      <c r="K2" s="235"/>
    </row>
    <row r="3" spans="1:11">
      <c r="A3" s="235">
        <v>2</v>
      </c>
      <c r="B3" s="235" t="s">
        <v>4006</v>
      </c>
      <c r="C3" s="93">
        <v>24125</v>
      </c>
      <c r="D3" s="93" t="s">
        <v>1673</v>
      </c>
      <c r="E3" s="93" t="s">
        <v>522</v>
      </c>
      <c r="F3" s="93" t="s">
        <v>4022</v>
      </c>
      <c r="G3" s="93" t="s">
        <v>1670</v>
      </c>
      <c r="H3" s="236" t="s">
        <v>519</v>
      </c>
      <c r="I3" s="236" t="s">
        <v>576</v>
      </c>
      <c r="J3" s="236" t="s">
        <v>529</v>
      </c>
      <c r="K3" s="93"/>
    </row>
    <row r="4" spans="1:11">
      <c r="A4" s="235">
        <v>3</v>
      </c>
      <c r="B4" s="235" t="s">
        <v>4006</v>
      </c>
      <c r="C4" s="93">
        <v>24173</v>
      </c>
      <c r="D4" s="93" t="s">
        <v>1673</v>
      </c>
      <c r="E4" s="93" t="s">
        <v>522</v>
      </c>
      <c r="F4" s="93" t="s">
        <v>4016</v>
      </c>
      <c r="G4" s="93" t="s">
        <v>1670</v>
      </c>
      <c r="H4" s="93" t="s">
        <v>525</v>
      </c>
      <c r="I4" s="236" t="s">
        <v>576</v>
      </c>
      <c r="J4" s="236" t="s">
        <v>529</v>
      </c>
      <c r="K4" s="93"/>
    </row>
    <row r="5" spans="1:11">
      <c r="A5" s="235">
        <v>4</v>
      </c>
      <c r="B5" s="235" t="s">
        <v>4006</v>
      </c>
      <c r="C5" s="93">
        <v>24182</v>
      </c>
      <c r="D5" s="93" t="s">
        <v>1673</v>
      </c>
      <c r="E5" s="93" t="s">
        <v>522</v>
      </c>
      <c r="F5" s="93" t="s">
        <v>4010</v>
      </c>
      <c r="G5" s="93" t="s">
        <v>1670</v>
      </c>
      <c r="H5" s="236" t="s">
        <v>519</v>
      </c>
      <c r="I5" s="236" t="s">
        <v>576</v>
      </c>
      <c r="J5" s="236" t="s">
        <v>529</v>
      </c>
      <c r="K5" s="93"/>
    </row>
    <row r="6" spans="1:11">
      <c r="A6" s="235">
        <v>5</v>
      </c>
      <c r="B6" s="235" t="s">
        <v>4006</v>
      </c>
      <c r="C6" s="93">
        <v>24183</v>
      </c>
      <c r="D6" s="93" t="s">
        <v>1673</v>
      </c>
      <c r="E6" s="93" t="s">
        <v>522</v>
      </c>
      <c r="F6" s="93" t="s">
        <v>3932</v>
      </c>
      <c r="G6" s="93" t="s">
        <v>1670</v>
      </c>
      <c r="H6" s="93" t="s">
        <v>519</v>
      </c>
      <c r="I6" s="236" t="s">
        <v>1205</v>
      </c>
      <c r="J6" s="236" t="s">
        <v>529</v>
      </c>
      <c r="K6" s="93"/>
    </row>
    <row r="7" spans="1:11">
      <c r="A7" s="235">
        <v>6</v>
      </c>
      <c r="B7" s="235" t="s">
        <v>4006</v>
      </c>
      <c r="C7" s="93">
        <v>24184</v>
      </c>
      <c r="D7" s="93" t="s">
        <v>1673</v>
      </c>
      <c r="E7" s="93" t="s">
        <v>522</v>
      </c>
      <c r="F7" s="93" t="s">
        <v>4007</v>
      </c>
      <c r="G7" s="93" t="s">
        <v>1670</v>
      </c>
      <c r="H7" s="236" t="s">
        <v>519</v>
      </c>
      <c r="I7" s="93" t="s">
        <v>576</v>
      </c>
      <c r="J7" s="236" t="s">
        <v>529</v>
      </c>
      <c r="K7" s="93"/>
    </row>
    <row r="8" spans="1:11">
      <c r="A8" s="235">
        <v>7</v>
      </c>
      <c r="B8" s="235" t="s">
        <v>4006</v>
      </c>
      <c r="C8" s="93">
        <v>24209</v>
      </c>
      <c r="D8" s="93" t="s">
        <v>1673</v>
      </c>
      <c r="E8" s="93" t="s">
        <v>522</v>
      </c>
      <c r="F8" s="93" t="s">
        <v>4032</v>
      </c>
      <c r="G8" s="93" t="s">
        <v>1670</v>
      </c>
      <c r="H8" s="236" t="s">
        <v>519</v>
      </c>
      <c r="I8" s="236" t="s">
        <v>576</v>
      </c>
      <c r="J8" s="236" t="s">
        <v>529</v>
      </c>
      <c r="K8" s="93"/>
    </row>
    <row r="9" spans="1:11">
      <c r="A9" s="235">
        <v>8</v>
      </c>
      <c r="B9" s="235" t="s">
        <v>4006</v>
      </c>
      <c r="C9" s="93">
        <v>24085</v>
      </c>
      <c r="D9" s="93" t="s">
        <v>1673</v>
      </c>
      <c r="E9" s="93" t="s">
        <v>522</v>
      </c>
      <c r="F9" s="96" t="s">
        <v>4033</v>
      </c>
      <c r="G9" s="93" t="s">
        <v>1670</v>
      </c>
      <c r="H9" s="236" t="s">
        <v>519</v>
      </c>
      <c r="I9" s="236" t="s">
        <v>576</v>
      </c>
      <c r="J9" s="236" t="s">
        <v>529</v>
      </c>
      <c r="K9" s="93"/>
    </row>
  </sheetData>
  <dataValidations count="4">
    <dataValidation type="list" allowBlank="1" showErrorMessage="1" sqref="E2" xr:uid="{E3B962D9-267F-4DAC-BE83-3AE4AC632C24}">
      <formula1>"Bounceback,Defect,None"</formula1>
    </dataValidation>
    <dataValidation type="list" allowBlank="1" showErrorMessage="1" sqref="I2:I6 I8:I9" xr:uid="{AB56E1E6-387F-48B2-947B-EF5784DFA00B}">
      <formula1>"Open,Inprogress,Closed"</formula1>
    </dataValidation>
    <dataValidation type="list" allowBlank="1" showErrorMessage="1" sqref="H2:H3 H5 H7:H9" xr:uid="{E17DC5B3-48B2-49C6-B1D4-C20AF215E7F5}">
      <formula1>"Internal,External"</formula1>
    </dataValidation>
    <dataValidation type="list" allowBlank="1" showErrorMessage="1" sqref="G2" xr:uid="{89D7F1A7-EA3C-44F1-BCD4-8D626D407FD6}">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84DB6B9-7A21-45B9-9BCE-F57C36C9335A}">
          <x14:formula1>
            <xm:f>Details!$A$2:$A$10</xm:f>
          </x14:formula1>
          <xm:sqref>J2:J9</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B094C-9716-49E6-9BE2-48B710F72B51}">
  <dimension ref="A1:X8"/>
  <sheetViews>
    <sheetView workbookViewId="0">
      <selection activeCell="I10" sqref="I9:I10"/>
    </sheetView>
  </sheetViews>
  <sheetFormatPr defaultRowHeight="12.75"/>
  <cols>
    <col min="3" max="3" width="12.7109375" customWidth="1"/>
    <col min="4" max="4" width="11" customWidth="1"/>
    <col min="5" max="5" width="34.42578125" customWidth="1"/>
    <col min="9" max="9" width="11.5703125" customWidth="1"/>
    <col min="10" max="10" width="12" customWidth="1"/>
    <col min="11" max="11" width="13.28515625" customWidth="1"/>
    <col min="12" max="12" width="14.5703125" customWidth="1"/>
    <col min="13" max="13" width="31.5703125" customWidth="1"/>
    <col min="16" max="16" width="11.42578125" customWidth="1"/>
    <col min="17" max="17" width="16.28515625" customWidth="1"/>
    <col min="18" max="18" width="16.42578125" customWidth="1"/>
    <col min="19" max="19" width="14.85546875" customWidth="1"/>
    <col min="20" max="20" width="17.5703125" customWidth="1"/>
    <col min="21" max="21" width="27.140625" customWidth="1"/>
    <col min="22" max="22" width="26.7109375" customWidth="1"/>
    <col min="23" max="23" width="11.140625" customWidth="1"/>
    <col min="24" max="24" width="29" customWidth="1"/>
  </cols>
  <sheetData>
    <row r="1" spans="1:24" ht="53.25">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294</v>
      </c>
      <c r="Q1" s="98" t="s">
        <v>1201</v>
      </c>
      <c r="R1" s="98" t="s">
        <v>296</v>
      </c>
      <c r="S1" s="98" t="s">
        <v>1202</v>
      </c>
      <c r="T1" s="98" t="s">
        <v>1201</v>
      </c>
      <c r="U1" s="98" t="s">
        <v>299</v>
      </c>
      <c r="V1" s="98" t="s">
        <v>300</v>
      </c>
      <c r="W1" s="98" t="s">
        <v>275</v>
      </c>
      <c r="X1" s="156" t="s">
        <v>277</v>
      </c>
    </row>
    <row r="2" spans="1:24" ht="58.5" customHeight="1">
      <c r="A2" s="77">
        <v>1</v>
      </c>
      <c r="B2" s="77" t="s">
        <v>4034</v>
      </c>
      <c r="C2" s="77" t="s">
        <v>3976</v>
      </c>
      <c r="D2" s="224">
        <v>46088</v>
      </c>
      <c r="E2" s="225" t="s">
        <v>4035</v>
      </c>
      <c r="F2" s="116">
        <v>3</v>
      </c>
      <c r="G2" s="77">
        <v>3</v>
      </c>
      <c r="H2" s="146" t="s">
        <v>319</v>
      </c>
      <c r="I2" s="197" t="s">
        <v>3978</v>
      </c>
      <c r="J2" s="124" t="s">
        <v>3979</v>
      </c>
      <c r="K2" s="197" t="s">
        <v>3978</v>
      </c>
      <c r="L2" s="124" t="s">
        <v>3979</v>
      </c>
      <c r="M2" s="145" t="s">
        <v>4036</v>
      </c>
      <c r="N2" s="121">
        <v>45565</v>
      </c>
      <c r="O2" s="121">
        <v>45565</v>
      </c>
      <c r="P2" s="197" t="s">
        <v>317</v>
      </c>
      <c r="Q2" s="124" t="s">
        <v>3979</v>
      </c>
      <c r="R2" s="47" t="s">
        <v>3981</v>
      </c>
      <c r="S2" s="121">
        <v>45565</v>
      </c>
      <c r="T2" s="124" t="s">
        <v>3979</v>
      </c>
      <c r="U2" s="124" t="s">
        <v>3979</v>
      </c>
      <c r="V2" s="124" t="s">
        <v>3979</v>
      </c>
      <c r="W2" s="77" t="s">
        <v>576</v>
      </c>
      <c r="X2" s="76"/>
    </row>
    <row r="3" spans="1:24" ht="48">
      <c r="A3" s="77">
        <v>2</v>
      </c>
      <c r="B3" s="77" t="s">
        <v>4034</v>
      </c>
      <c r="C3" s="77" t="s">
        <v>3976</v>
      </c>
      <c r="D3" s="222" t="s">
        <v>4009</v>
      </c>
      <c r="E3" s="225" t="s">
        <v>4010</v>
      </c>
      <c r="F3" s="116">
        <v>5</v>
      </c>
      <c r="G3" s="77">
        <v>5</v>
      </c>
      <c r="H3" s="146" t="s">
        <v>319</v>
      </c>
      <c r="I3" s="197" t="s">
        <v>317</v>
      </c>
      <c r="J3" s="124" t="s">
        <v>3979</v>
      </c>
      <c r="K3" s="197" t="s">
        <v>317</v>
      </c>
      <c r="L3" s="124" t="s">
        <v>3979</v>
      </c>
      <c r="M3" s="145" t="s">
        <v>4037</v>
      </c>
      <c r="N3" s="121">
        <v>45572</v>
      </c>
      <c r="O3" s="121">
        <v>45572</v>
      </c>
      <c r="P3" s="197" t="s">
        <v>317</v>
      </c>
      <c r="Q3" s="124" t="s">
        <v>3979</v>
      </c>
      <c r="R3" s="47" t="s">
        <v>3981</v>
      </c>
      <c r="S3" s="121">
        <v>45572</v>
      </c>
      <c r="T3" s="124" t="s">
        <v>3979</v>
      </c>
      <c r="U3" s="124" t="s">
        <v>3979</v>
      </c>
      <c r="V3" s="124" t="s">
        <v>3979</v>
      </c>
      <c r="W3" s="77" t="s">
        <v>1205</v>
      </c>
      <c r="X3" s="76" t="s">
        <v>4038</v>
      </c>
    </row>
    <row r="4" spans="1:24" ht="36">
      <c r="A4" s="77">
        <v>3</v>
      </c>
      <c r="B4" s="77" t="s">
        <v>4034</v>
      </c>
      <c r="C4" s="77" t="s">
        <v>317</v>
      </c>
      <c r="D4" s="224" t="s">
        <v>4039</v>
      </c>
      <c r="E4" s="225" t="s">
        <v>4040</v>
      </c>
      <c r="F4" s="116">
        <v>0</v>
      </c>
      <c r="G4" s="77">
        <v>0</v>
      </c>
      <c r="H4" s="146" t="s">
        <v>319</v>
      </c>
      <c r="I4" s="197" t="s">
        <v>317</v>
      </c>
      <c r="J4" s="124" t="s">
        <v>3979</v>
      </c>
      <c r="K4" s="77"/>
      <c r="L4" s="124"/>
      <c r="M4" s="145" t="s">
        <v>434</v>
      </c>
      <c r="N4" s="121"/>
      <c r="O4" s="121"/>
      <c r="P4" s="197"/>
      <c r="Q4" s="124"/>
      <c r="R4" s="47"/>
      <c r="S4" s="121"/>
      <c r="T4" s="124"/>
      <c r="U4" s="124"/>
      <c r="V4" s="124"/>
      <c r="W4" s="77"/>
      <c r="X4" s="96"/>
    </row>
    <row r="5" spans="1:24" ht="48">
      <c r="A5" s="77">
        <v>4</v>
      </c>
      <c r="B5" s="77" t="s">
        <v>4034</v>
      </c>
      <c r="C5" s="77" t="s">
        <v>3978</v>
      </c>
      <c r="D5" s="224">
        <v>46076</v>
      </c>
      <c r="E5" s="96" t="s">
        <v>4041</v>
      </c>
      <c r="F5" s="224">
        <v>5</v>
      </c>
      <c r="G5" s="197">
        <v>5</v>
      </c>
      <c r="H5" s="197" t="s">
        <v>320</v>
      </c>
      <c r="I5" s="197" t="s">
        <v>320</v>
      </c>
      <c r="J5" s="197" t="s">
        <v>320</v>
      </c>
      <c r="K5" s="197" t="s">
        <v>320</v>
      </c>
      <c r="L5" s="197" t="s">
        <v>320</v>
      </c>
      <c r="M5" s="145" t="s">
        <v>4042</v>
      </c>
      <c r="N5" s="197" t="s">
        <v>320</v>
      </c>
      <c r="O5" s="197" t="s">
        <v>320</v>
      </c>
      <c r="P5" s="197" t="s">
        <v>320</v>
      </c>
      <c r="Q5" s="197" t="s">
        <v>320</v>
      </c>
      <c r="R5" s="197" t="s">
        <v>320</v>
      </c>
      <c r="S5" s="197" t="s">
        <v>320</v>
      </c>
      <c r="T5" s="197" t="s">
        <v>320</v>
      </c>
      <c r="U5" s="197" t="s">
        <v>320</v>
      </c>
      <c r="V5" s="197" t="s">
        <v>320</v>
      </c>
      <c r="W5" s="77" t="s">
        <v>576</v>
      </c>
      <c r="X5" s="96" t="s">
        <v>4043</v>
      </c>
    </row>
    <row r="6" spans="1:24" ht="36">
      <c r="A6" s="197">
        <v>5</v>
      </c>
      <c r="B6" s="77" t="s">
        <v>4034</v>
      </c>
      <c r="C6" s="77" t="s">
        <v>3978</v>
      </c>
      <c r="D6" s="224">
        <v>46159</v>
      </c>
      <c r="E6" s="225" t="s">
        <v>4044</v>
      </c>
      <c r="F6" s="224">
        <v>2</v>
      </c>
      <c r="G6" s="197">
        <v>2</v>
      </c>
      <c r="H6" s="197" t="s">
        <v>320</v>
      </c>
      <c r="I6" s="197" t="s">
        <v>320</v>
      </c>
      <c r="J6" s="197" t="s">
        <v>320</v>
      </c>
      <c r="K6" s="197" t="s">
        <v>320</v>
      </c>
      <c r="L6" s="197" t="s">
        <v>320</v>
      </c>
      <c r="M6" s="145" t="s">
        <v>4042</v>
      </c>
      <c r="N6" s="197" t="s">
        <v>320</v>
      </c>
      <c r="O6" s="197" t="s">
        <v>320</v>
      </c>
      <c r="P6" s="197" t="s">
        <v>320</v>
      </c>
      <c r="Q6" s="197" t="s">
        <v>320</v>
      </c>
      <c r="R6" s="197" t="s">
        <v>320</v>
      </c>
      <c r="S6" s="197" t="s">
        <v>320</v>
      </c>
      <c r="T6" s="197" t="s">
        <v>320</v>
      </c>
      <c r="U6" s="197" t="s">
        <v>320</v>
      </c>
      <c r="V6" s="197" t="s">
        <v>320</v>
      </c>
      <c r="W6" s="77" t="s">
        <v>576</v>
      </c>
      <c r="X6" s="96" t="s">
        <v>4043</v>
      </c>
    </row>
    <row r="7" spans="1:24" ht="36">
      <c r="A7" s="77">
        <v>6</v>
      </c>
      <c r="B7" s="77" t="s">
        <v>4045</v>
      </c>
      <c r="C7" s="77" t="s">
        <v>3978</v>
      </c>
      <c r="D7" s="229">
        <v>46178</v>
      </c>
      <c r="E7" s="230" t="s">
        <v>4013</v>
      </c>
      <c r="F7" s="224">
        <v>8</v>
      </c>
      <c r="G7" s="197">
        <v>8</v>
      </c>
      <c r="H7" s="197"/>
      <c r="I7" s="197"/>
      <c r="J7" s="197"/>
      <c r="K7" s="197"/>
      <c r="L7" s="197"/>
      <c r="M7" s="145"/>
      <c r="N7" s="197"/>
      <c r="O7" s="197"/>
      <c r="P7" s="197"/>
      <c r="Q7" s="197"/>
      <c r="R7" s="197"/>
      <c r="S7" s="197"/>
      <c r="T7" s="197"/>
      <c r="U7" s="197"/>
      <c r="V7" s="197"/>
      <c r="W7" s="77" t="s">
        <v>1205</v>
      </c>
      <c r="X7" s="96"/>
    </row>
    <row r="8" spans="1:24">
      <c r="A8" s="197"/>
      <c r="B8" s="227"/>
      <c r="C8" s="77"/>
      <c r="D8" s="226"/>
      <c r="E8" s="225"/>
      <c r="F8" s="228"/>
      <c r="G8" s="93"/>
      <c r="H8" s="197"/>
      <c r="I8" s="197"/>
      <c r="J8" s="197"/>
      <c r="K8" s="197"/>
      <c r="L8" s="197"/>
      <c r="M8" s="197"/>
      <c r="N8" s="197"/>
      <c r="O8" s="197"/>
      <c r="P8" s="197"/>
      <c r="Q8" s="197"/>
      <c r="R8" s="197"/>
      <c r="S8" s="197"/>
      <c r="T8" s="197"/>
      <c r="U8" s="197"/>
      <c r="V8" s="197"/>
      <c r="W8" s="77"/>
      <c r="X8" s="93"/>
    </row>
  </sheetData>
  <dataValidations count="1">
    <dataValidation type="list" allowBlank="1" showErrorMessage="1" sqref="W2:W8" xr:uid="{4C2CEB6C-1BA0-464C-9CDD-AA941EC4E794}">
      <formula1>"Open,Inprogress,Closed"</formula1>
    </dataValidation>
  </dataValidations>
  <hyperlinks>
    <hyperlink ref="M2" r:id="rId1" xr:uid="{A9F70BE3-509F-4137-A175-D96EAFACF684}"/>
    <hyperlink ref="M3" r:id="rId2" xr:uid="{2CCD359B-81A0-420F-84B5-0BAA4BE580D5}"/>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55D5C-8EA6-4054-ACB7-5E7EB054E46B}">
  <dimension ref="A1:K2"/>
  <sheetViews>
    <sheetView workbookViewId="0"/>
  </sheetViews>
  <sheetFormatPr defaultRowHeight="12.75"/>
  <cols>
    <col min="6" max="6" width="42.140625" customWidth="1"/>
    <col min="7" max="7" width="15.42578125" customWidth="1"/>
    <col min="9" max="9" width="14.28515625" customWidth="1"/>
  </cols>
  <sheetData>
    <row r="1" spans="1:11" ht="40.5">
      <c r="A1" s="155" t="s">
        <v>266</v>
      </c>
      <c r="B1" s="104" t="s">
        <v>10</v>
      </c>
      <c r="C1" s="105" t="s">
        <v>267</v>
      </c>
      <c r="D1" s="104" t="s">
        <v>269</v>
      </c>
      <c r="E1" s="61" t="s">
        <v>270</v>
      </c>
      <c r="F1" s="61" t="s">
        <v>271</v>
      </c>
      <c r="G1" s="104" t="s">
        <v>272</v>
      </c>
      <c r="H1" s="104" t="s">
        <v>274</v>
      </c>
      <c r="I1" s="104" t="s">
        <v>275</v>
      </c>
      <c r="J1" s="106" t="s">
        <v>276</v>
      </c>
      <c r="K1" s="107" t="s">
        <v>277</v>
      </c>
    </row>
    <row r="2" spans="1:11" ht="35.25">
      <c r="A2" s="146">
        <v>1</v>
      </c>
      <c r="B2" s="146" t="s">
        <v>4034</v>
      </c>
      <c r="C2" s="146" t="s">
        <v>4009</v>
      </c>
      <c r="D2" s="146" t="s">
        <v>4046</v>
      </c>
      <c r="E2" s="165" t="s">
        <v>522</v>
      </c>
      <c r="F2" s="146" t="s">
        <v>4010</v>
      </c>
      <c r="G2" s="165" t="s">
        <v>1670</v>
      </c>
      <c r="H2" s="165" t="s">
        <v>519</v>
      </c>
      <c r="I2" s="165" t="s">
        <v>1205</v>
      </c>
      <c r="J2" s="165"/>
      <c r="K2" s="146"/>
    </row>
  </sheetData>
  <dataValidations count="4">
    <dataValidation type="list" allowBlank="1" showErrorMessage="1" sqref="G2" xr:uid="{A9A4E8A0-5B7F-4BF4-9F29-BC609B0F121F}">
      <formula1>"Minor,Significant,Major"</formula1>
    </dataValidation>
    <dataValidation type="list" allowBlank="1" showErrorMessage="1" sqref="H2" xr:uid="{4D1A6985-3076-49E5-A320-51E28B8E52D7}">
      <formula1>"Internal,External"</formula1>
    </dataValidation>
    <dataValidation type="list" allowBlank="1" showErrorMessage="1" sqref="I2" xr:uid="{7F28860D-A9DF-415E-90D1-1958AE36593E}">
      <formula1>"Open,Inprogress,Closed"</formula1>
    </dataValidation>
    <dataValidation type="list" allowBlank="1" showErrorMessage="1" sqref="E2" xr:uid="{EAF26C18-BE43-4A57-AC73-B000DABBE22C}">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B418B05-52EB-49D1-949A-13818B338D86}">
          <x14:formula1>
            <xm:f>Details!$A$2:$A$10</xm:f>
          </x14:formula1>
          <xm:sqref>J2</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654B-1CD6-4C8C-8059-754DE81A5F12}">
  <dimension ref="A1:X8"/>
  <sheetViews>
    <sheetView workbookViewId="0">
      <pane xSplit="5" ySplit="1" topLeftCell="F2" activePane="bottomRight" state="frozen"/>
      <selection pane="bottomRight" activeCell="A3" sqref="A3"/>
      <selection pane="bottomLeft"/>
      <selection pane="topRight"/>
    </sheetView>
  </sheetViews>
  <sheetFormatPr defaultRowHeight="12.75"/>
  <cols>
    <col min="3" max="3" width="13.5703125" customWidth="1"/>
    <col min="5" max="5" width="39" customWidth="1"/>
    <col min="9" max="9" width="10.85546875" customWidth="1"/>
    <col min="10" max="10" width="15.140625" customWidth="1"/>
    <col min="11" max="11" width="16.28515625" customWidth="1"/>
    <col min="12" max="12" width="15.5703125" customWidth="1"/>
    <col min="13" max="13" width="38.5703125" customWidth="1"/>
    <col min="17" max="17" width="15" customWidth="1"/>
    <col min="18" max="18" width="14.28515625" customWidth="1"/>
    <col min="20" max="20" width="13.28515625" customWidth="1"/>
    <col min="21" max="21" width="14.7109375" customWidth="1"/>
    <col min="22" max="22" width="13.140625" customWidth="1"/>
    <col min="23" max="23" width="12.85546875" customWidth="1"/>
    <col min="24" max="24" width="54.85546875" customWidth="1"/>
  </cols>
  <sheetData>
    <row r="1" spans="1:24" ht="40.5">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294</v>
      </c>
      <c r="Q1" s="98" t="s">
        <v>1201</v>
      </c>
      <c r="R1" s="98" t="s">
        <v>296</v>
      </c>
      <c r="S1" s="98" t="s">
        <v>1202</v>
      </c>
      <c r="T1" s="98" t="s">
        <v>1201</v>
      </c>
      <c r="U1" s="98" t="s">
        <v>299</v>
      </c>
      <c r="V1" s="98" t="s">
        <v>300</v>
      </c>
      <c r="W1" s="98" t="s">
        <v>275</v>
      </c>
      <c r="X1" s="156" t="s">
        <v>277</v>
      </c>
    </row>
    <row r="2" spans="1:24" ht="48">
      <c r="A2" s="77">
        <v>1</v>
      </c>
      <c r="B2" s="77" t="s">
        <v>4047</v>
      </c>
      <c r="C2" s="77" t="s">
        <v>3976</v>
      </c>
      <c r="D2" s="222">
        <v>23977</v>
      </c>
      <c r="E2" s="96" t="s">
        <v>4048</v>
      </c>
      <c r="F2" s="221">
        <v>3</v>
      </c>
      <c r="G2" s="77">
        <v>3</v>
      </c>
      <c r="H2" s="146" t="s">
        <v>319</v>
      </c>
      <c r="I2" s="197" t="s">
        <v>3978</v>
      </c>
      <c r="J2" s="124" t="s">
        <v>3979</v>
      </c>
      <c r="K2" s="197" t="s">
        <v>3978</v>
      </c>
      <c r="L2" s="124" t="s">
        <v>3979</v>
      </c>
      <c r="M2" s="145" t="s">
        <v>4049</v>
      </c>
      <c r="N2" s="121">
        <v>45559</v>
      </c>
      <c r="O2" s="121">
        <v>45559</v>
      </c>
      <c r="P2" s="197" t="s">
        <v>317</v>
      </c>
      <c r="Q2" s="124" t="s">
        <v>3979</v>
      </c>
      <c r="R2" s="47" t="s">
        <v>3981</v>
      </c>
      <c r="S2" s="121">
        <v>45559</v>
      </c>
      <c r="T2" s="124" t="s">
        <v>3979</v>
      </c>
      <c r="U2" s="124" t="s">
        <v>3979</v>
      </c>
      <c r="V2" s="124" t="s">
        <v>3979</v>
      </c>
      <c r="W2" s="77" t="s">
        <v>1205</v>
      </c>
      <c r="X2" s="76" t="s">
        <v>4050</v>
      </c>
    </row>
    <row r="3" spans="1:24" ht="72">
      <c r="A3" s="77">
        <v>2</v>
      </c>
      <c r="B3" s="77" t="s">
        <v>4047</v>
      </c>
      <c r="C3" s="77" t="s">
        <v>3978</v>
      </c>
      <c r="D3" s="197">
        <v>45872</v>
      </c>
      <c r="E3" s="96" t="s">
        <v>4051</v>
      </c>
      <c r="F3" s="77">
        <v>5</v>
      </c>
      <c r="G3" s="77">
        <v>5</v>
      </c>
      <c r="H3" s="77" t="s">
        <v>319</v>
      </c>
      <c r="I3" s="77" t="s">
        <v>315</v>
      </c>
      <c r="J3" s="124" t="s">
        <v>3979</v>
      </c>
      <c r="K3" s="77" t="s">
        <v>315</v>
      </c>
      <c r="L3" s="124" t="s">
        <v>3979</v>
      </c>
      <c r="M3" s="145" t="s">
        <v>4052</v>
      </c>
      <c r="N3" s="121">
        <v>45553</v>
      </c>
      <c r="O3" s="121">
        <v>45554</v>
      </c>
      <c r="P3" s="197" t="s">
        <v>317</v>
      </c>
      <c r="Q3" s="124" t="s">
        <v>3979</v>
      </c>
      <c r="R3" s="47" t="s">
        <v>3981</v>
      </c>
      <c r="S3" s="121">
        <v>45554</v>
      </c>
      <c r="T3" s="124" t="s">
        <v>3979</v>
      </c>
      <c r="U3" s="124" t="s">
        <v>3979</v>
      </c>
      <c r="V3" s="124" t="s">
        <v>3979</v>
      </c>
      <c r="W3" s="77" t="s">
        <v>576</v>
      </c>
      <c r="X3" s="76"/>
    </row>
    <row r="4" spans="1:24" ht="36">
      <c r="A4" s="77">
        <v>3</v>
      </c>
      <c r="B4" s="77" t="s">
        <v>4047</v>
      </c>
      <c r="C4" s="77" t="s">
        <v>3978</v>
      </c>
      <c r="D4" s="197">
        <v>24048</v>
      </c>
      <c r="E4" s="96" t="s">
        <v>4053</v>
      </c>
      <c r="F4" s="77">
        <v>0</v>
      </c>
      <c r="G4" s="77">
        <v>0</v>
      </c>
      <c r="H4" s="77" t="s">
        <v>319</v>
      </c>
      <c r="I4" s="77" t="s">
        <v>315</v>
      </c>
      <c r="J4" s="124" t="s">
        <v>3979</v>
      </c>
      <c r="K4" s="77" t="s">
        <v>315</v>
      </c>
      <c r="L4" s="124" t="s">
        <v>3979</v>
      </c>
      <c r="M4" s="145" t="s">
        <v>4054</v>
      </c>
      <c r="N4" s="121">
        <v>45555</v>
      </c>
      <c r="O4" s="121">
        <v>45555</v>
      </c>
      <c r="P4" s="197" t="s">
        <v>317</v>
      </c>
      <c r="Q4" s="124" t="s">
        <v>3979</v>
      </c>
      <c r="R4" s="47" t="s">
        <v>4055</v>
      </c>
      <c r="S4" s="121">
        <v>45555</v>
      </c>
      <c r="T4" s="124" t="s">
        <v>3979</v>
      </c>
      <c r="U4" s="124" t="s">
        <v>3979</v>
      </c>
      <c r="V4" s="124" t="s">
        <v>3979</v>
      </c>
      <c r="W4" s="77" t="s">
        <v>576</v>
      </c>
      <c r="X4" s="96" t="s">
        <v>4000</v>
      </c>
    </row>
    <row r="5" spans="1:24" ht="72">
      <c r="A5" s="197">
        <v>4</v>
      </c>
      <c r="B5" s="77" t="s">
        <v>4047</v>
      </c>
      <c r="C5" s="77" t="s">
        <v>4056</v>
      </c>
      <c r="D5" s="197">
        <v>45987</v>
      </c>
      <c r="E5" s="96" t="s">
        <v>4057</v>
      </c>
      <c r="F5" s="93">
        <v>3</v>
      </c>
      <c r="G5" s="93">
        <v>3</v>
      </c>
      <c r="H5" s="197" t="s">
        <v>320</v>
      </c>
      <c r="I5" s="197" t="s">
        <v>320</v>
      </c>
      <c r="J5" s="197" t="s">
        <v>320</v>
      </c>
      <c r="K5" s="197" t="s">
        <v>320</v>
      </c>
      <c r="L5" s="197" t="s">
        <v>320</v>
      </c>
      <c r="M5" s="220" t="s">
        <v>4058</v>
      </c>
      <c r="N5" s="197" t="s">
        <v>320</v>
      </c>
      <c r="O5" s="197" t="s">
        <v>320</v>
      </c>
      <c r="P5" s="197" t="s">
        <v>320</v>
      </c>
      <c r="Q5" s="197" t="s">
        <v>320</v>
      </c>
      <c r="R5" s="197" t="s">
        <v>320</v>
      </c>
      <c r="S5" s="197" t="s">
        <v>320</v>
      </c>
      <c r="T5" s="197" t="s">
        <v>320</v>
      </c>
      <c r="U5" s="197" t="s">
        <v>320</v>
      </c>
      <c r="V5" s="197" t="s">
        <v>320</v>
      </c>
      <c r="W5" s="77" t="s">
        <v>576</v>
      </c>
      <c r="X5" s="93"/>
    </row>
    <row r="6" spans="1:24">
      <c r="A6" s="93">
        <v>5</v>
      </c>
      <c r="B6" s="77" t="s">
        <v>4047</v>
      </c>
      <c r="C6" s="93" t="s">
        <v>1673</v>
      </c>
      <c r="D6" s="197">
        <v>46003</v>
      </c>
      <c r="E6" s="93" t="s">
        <v>4059</v>
      </c>
      <c r="F6" s="93">
        <v>13</v>
      </c>
      <c r="G6" s="93">
        <v>13</v>
      </c>
      <c r="H6" s="197" t="s">
        <v>320</v>
      </c>
      <c r="I6" s="197" t="s">
        <v>320</v>
      </c>
      <c r="J6" s="197" t="s">
        <v>320</v>
      </c>
      <c r="K6" s="197" t="s">
        <v>320</v>
      </c>
      <c r="L6" s="197" t="s">
        <v>320</v>
      </c>
      <c r="M6" s="197" t="s">
        <v>4060</v>
      </c>
      <c r="N6" s="197" t="s">
        <v>320</v>
      </c>
      <c r="O6" s="197" t="s">
        <v>320</v>
      </c>
      <c r="P6" s="197" t="s">
        <v>320</v>
      </c>
      <c r="Q6" s="197" t="s">
        <v>320</v>
      </c>
      <c r="R6" s="197" t="s">
        <v>320</v>
      </c>
      <c r="S6" s="197" t="s">
        <v>320</v>
      </c>
      <c r="T6" s="197" t="s">
        <v>320</v>
      </c>
      <c r="U6" s="197" t="s">
        <v>320</v>
      </c>
      <c r="V6" s="197" t="s">
        <v>320</v>
      </c>
      <c r="W6" s="77" t="s">
        <v>576</v>
      </c>
      <c r="X6" s="93"/>
    </row>
    <row r="7" spans="1:24" ht="72">
      <c r="A7" s="77">
        <v>6</v>
      </c>
      <c r="B7" s="77" t="s">
        <v>4061</v>
      </c>
      <c r="C7" s="77" t="s">
        <v>3978</v>
      </c>
      <c r="D7" s="222">
        <v>46076</v>
      </c>
      <c r="E7" s="96" t="s">
        <v>4041</v>
      </c>
      <c r="F7" s="222">
        <v>5</v>
      </c>
      <c r="G7" s="197">
        <v>5</v>
      </c>
      <c r="H7" s="197" t="s">
        <v>320</v>
      </c>
      <c r="I7" s="197" t="s">
        <v>320</v>
      </c>
      <c r="J7" s="197" t="s">
        <v>320</v>
      </c>
      <c r="K7" s="197" t="s">
        <v>320</v>
      </c>
      <c r="L7" s="197" t="s">
        <v>320</v>
      </c>
      <c r="M7" s="145" t="s">
        <v>4042</v>
      </c>
      <c r="N7" s="197" t="s">
        <v>320</v>
      </c>
      <c r="O7" s="197" t="s">
        <v>320</v>
      </c>
      <c r="P7" s="197" t="s">
        <v>320</v>
      </c>
      <c r="Q7" s="197" t="s">
        <v>320</v>
      </c>
      <c r="R7" s="197" t="s">
        <v>320</v>
      </c>
      <c r="S7" s="197" t="s">
        <v>320</v>
      </c>
      <c r="T7" s="197" t="s">
        <v>320</v>
      </c>
      <c r="U7" s="197" t="s">
        <v>320</v>
      </c>
      <c r="V7" s="197" t="s">
        <v>320</v>
      </c>
      <c r="W7" s="77" t="s">
        <v>1205</v>
      </c>
      <c r="X7" s="96" t="s">
        <v>4062</v>
      </c>
    </row>
    <row r="8" spans="1:24" ht="36">
      <c r="A8" s="197">
        <v>7</v>
      </c>
      <c r="B8" s="77" t="s">
        <v>4061</v>
      </c>
      <c r="C8" s="77" t="s">
        <v>3976</v>
      </c>
      <c r="D8" s="223">
        <v>46088</v>
      </c>
      <c r="E8" s="96" t="s">
        <v>4035</v>
      </c>
      <c r="F8" s="172">
        <v>3</v>
      </c>
      <c r="G8" s="93"/>
      <c r="H8" s="197" t="s">
        <v>320</v>
      </c>
      <c r="I8" s="197" t="s">
        <v>320</v>
      </c>
      <c r="J8" s="197" t="s">
        <v>320</v>
      </c>
      <c r="K8" s="197" t="s">
        <v>320</v>
      </c>
      <c r="L8" s="197" t="s">
        <v>320</v>
      </c>
      <c r="M8" s="197" t="s">
        <v>320</v>
      </c>
      <c r="N8" s="197" t="s">
        <v>320</v>
      </c>
      <c r="O8" s="197" t="s">
        <v>320</v>
      </c>
      <c r="P8" s="197" t="s">
        <v>320</v>
      </c>
      <c r="Q8" s="197" t="s">
        <v>320</v>
      </c>
      <c r="R8" s="197" t="s">
        <v>320</v>
      </c>
      <c r="S8" s="197" t="s">
        <v>320</v>
      </c>
      <c r="T8" s="197" t="s">
        <v>320</v>
      </c>
      <c r="U8" s="197" t="s">
        <v>320</v>
      </c>
      <c r="V8" s="197" t="s">
        <v>320</v>
      </c>
      <c r="W8" s="77" t="s">
        <v>1205</v>
      </c>
      <c r="X8" s="93" t="s">
        <v>4027</v>
      </c>
    </row>
  </sheetData>
  <dataValidations count="1">
    <dataValidation type="list" allowBlank="1" showErrorMessage="1" sqref="W2:W8" xr:uid="{5A8BD1E4-BF74-452A-B434-F5FBDE77499D}">
      <formula1>"Open,Inprogress,Closed"</formula1>
    </dataValidation>
  </dataValidations>
  <hyperlinks>
    <hyperlink ref="M2" r:id="rId1" xr:uid="{97B42458-94B5-459F-8834-B5C7F676AB3F}"/>
    <hyperlink ref="M3" r:id="rId2" xr:uid="{517A29F6-7EA8-4A5B-A2EE-D1AEABCF9CFA}"/>
    <hyperlink ref="M4" r:id="rId3" xr:uid="{8B9E6522-7AB2-4EFD-87B1-9F55E3F8F333}"/>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7719-376D-4B91-8B46-345DC14D117A}">
  <dimension ref="A1:K4"/>
  <sheetViews>
    <sheetView workbookViewId="0"/>
  </sheetViews>
  <sheetFormatPr defaultRowHeight="12.75"/>
  <cols>
    <col min="6" max="6" width="47.85546875" customWidth="1"/>
  </cols>
  <sheetData>
    <row r="1" spans="1:11" ht="40.5">
      <c r="A1" s="155" t="s">
        <v>266</v>
      </c>
      <c r="B1" s="104" t="s">
        <v>10</v>
      </c>
      <c r="C1" s="105" t="s">
        <v>267</v>
      </c>
      <c r="D1" s="104" t="s">
        <v>269</v>
      </c>
      <c r="E1" s="61" t="s">
        <v>270</v>
      </c>
      <c r="F1" s="61" t="s">
        <v>271</v>
      </c>
      <c r="G1" s="104" t="s">
        <v>272</v>
      </c>
      <c r="H1" s="104" t="s">
        <v>274</v>
      </c>
      <c r="I1" s="104" t="s">
        <v>275</v>
      </c>
      <c r="J1" s="106" t="s">
        <v>276</v>
      </c>
      <c r="K1" s="107" t="s">
        <v>277</v>
      </c>
    </row>
    <row r="2" spans="1:11" ht="24">
      <c r="A2" s="189">
        <v>1</v>
      </c>
      <c r="B2" s="189" t="s">
        <v>4047</v>
      </c>
      <c r="C2" s="189">
        <v>24048</v>
      </c>
      <c r="D2" s="189" t="s">
        <v>4046</v>
      </c>
      <c r="E2" s="214" t="s">
        <v>522</v>
      </c>
      <c r="F2" s="189" t="s">
        <v>4053</v>
      </c>
      <c r="G2" s="215" t="s">
        <v>1670</v>
      </c>
      <c r="H2" s="202" t="s">
        <v>525</v>
      </c>
      <c r="I2" s="202" t="s">
        <v>576</v>
      </c>
      <c r="J2" s="165" t="s">
        <v>529</v>
      </c>
      <c r="K2" s="189"/>
    </row>
    <row r="3" spans="1:11" ht="36">
      <c r="A3" s="147">
        <v>2</v>
      </c>
      <c r="B3" s="189" t="s">
        <v>4047</v>
      </c>
      <c r="C3" s="147">
        <v>23956</v>
      </c>
      <c r="D3" s="216" t="s">
        <v>4046</v>
      </c>
      <c r="E3" s="165" t="s">
        <v>522</v>
      </c>
      <c r="F3" s="96" t="s">
        <v>4063</v>
      </c>
      <c r="G3" s="165" t="s">
        <v>1670</v>
      </c>
      <c r="H3" s="165" t="s">
        <v>525</v>
      </c>
      <c r="I3" s="165" t="s">
        <v>576</v>
      </c>
      <c r="J3" s="165" t="s">
        <v>529</v>
      </c>
      <c r="K3" s="93"/>
    </row>
    <row r="4" spans="1:11" ht="24">
      <c r="A4" s="159">
        <v>3</v>
      </c>
      <c r="B4" s="146" t="s">
        <v>4047</v>
      </c>
      <c r="C4" s="219">
        <v>24040</v>
      </c>
      <c r="D4" s="216" t="s">
        <v>4046</v>
      </c>
      <c r="E4" s="165" t="s">
        <v>522</v>
      </c>
      <c r="F4" s="96" t="s">
        <v>4064</v>
      </c>
      <c r="G4" s="165" t="s">
        <v>1670</v>
      </c>
      <c r="H4" s="165" t="s">
        <v>525</v>
      </c>
      <c r="I4" s="165" t="s">
        <v>576</v>
      </c>
      <c r="J4" s="165" t="s">
        <v>529</v>
      </c>
      <c r="K4" s="93"/>
    </row>
  </sheetData>
  <dataValidations count="4">
    <dataValidation type="list" allowBlank="1" showErrorMessage="1" sqref="E2:E4" xr:uid="{6480879A-D711-41E3-810A-C2BC4297C46A}">
      <formula1>"Bounceback,Defect,None"</formula1>
    </dataValidation>
    <dataValidation type="list" allowBlank="1" showErrorMessage="1" sqref="I2:I4" xr:uid="{F3BD0030-B899-4A25-B6B4-E7BD24415554}">
      <formula1>"Open,Inprogress,Closed"</formula1>
    </dataValidation>
    <dataValidation type="list" allowBlank="1" showErrorMessage="1" sqref="H2:H4" xr:uid="{182C9579-96DE-460B-97DA-B181D56C3FF5}">
      <formula1>"Internal,External"</formula1>
    </dataValidation>
    <dataValidation type="list" allowBlank="1" showErrorMessage="1" sqref="G2:G4" xr:uid="{D4785775-19B1-44E3-A847-AE3CE77DF3CF}">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DC1CB2C-2722-4FA8-A3B0-EAEB6A774E57}">
          <x14:formula1>
            <xm:f>Details!$A$2:$A$10</xm:f>
          </x14:formula1>
          <xm:sqref>J2:J4</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EA8A-2250-41C5-8E39-2547FA8A321A}">
  <dimension ref="A1:X8"/>
  <sheetViews>
    <sheetView topLeftCell="N2" workbookViewId="0">
      <selection activeCell="W5" sqref="W5"/>
    </sheetView>
  </sheetViews>
  <sheetFormatPr defaultRowHeight="12.75"/>
  <cols>
    <col min="3" max="3" width="22.7109375" customWidth="1"/>
    <col min="5" max="5" width="38.140625" customWidth="1"/>
    <col min="10" max="10" width="14.140625" customWidth="1"/>
    <col min="12" max="12" width="14.7109375" customWidth="1"/>
    <col min="13" max="13" width="16.28515625" customWidth="1"/>
    <col min="17" max="17" width="17.28515625" customWidth="1"/>
    <col min="20" max="20" width="13.5703125" customWidth="1"/>
    <col min="21" max="21" width="14.140625" customWidth="1"/>
    <col min="22" max="22" width="13.7109375" customWidth="1"/>
    <col min="23" max="23" width="16.5703125" customWidth="1"/>
    <col min="24" max="24" width="19.5703125" customWidth="1"/>
  </cols>
  <sheetData>
    <row r="1" spans="1:24" ht="53.25">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4065</v>
      </c>
      <c r="Q1" s="98" t="s">
        <v>1201</v>
      </c>
      <c r="R1" s="98" t="s">
        <v>4066</v>
      </c>
      <c r="S1" s="98" t="s">
        <v>1202</v>
      </c>
      <c r="T1" s="98" t="s">
        <v>1201</v>
      </c>
      <c r="U1" s="98" t="s">
        <v>299</v>
      </c>
      <c r="V1" s="98" t="s">
        <v>300</v>
      </c>
      <c r="W1" s="98" t="s">
        <v>275</v>
      </c>
      <c r="X1" s="156" t="s">
        <v>277</v>
      </c>
    </row>
    <row r="2" spans="1:24" ht="73.5" customHeight="1">
      <c r="A2" s="77">
        <v>1</v>
      </c>
      <c r="B2" s="77" t="s">
        <v>4067</v>
      </c>
      <c r="C2" s="77" t="s">
        <v>4068</v>
      </c>
      <c r="D2" s="197">
        <v>44803</v>
      </c>
      <c r="E2" s="96" t="s">
        <v>4069</v>
      </c>
      <c r="F2" s="77">
        <v>3</v>
      </c>
      <c r="G2" s="77">
        <v>3</v>
      </c>
      <c r="H2" s="77" t="s">
        <v>319</v>
      </c>
      <c r="I2" s="77" t="s">
        <v>315</v>
      </c>
      <c r="J2" s="124" t="s">
        <v>3979</v>
      </c>
      <c r="K2" s="77" t="s">
        <v>315</v>
      </c>
      <c r="L2" s="124" t="s">
        <v>3979</v>
      </c>
      <c r="M2" s="145" t="s">
        <v>4070</v>
      </c>
      <c r="N2" s="121">
        <v>45539</v>
      </c>
      <c r="O2" s="121">
        <v>45540</v>
      </c>
      <c r="P2" s="197" t="s">
        <v>317</v>
      </c>
      <c r="Q2" s="124" t="s">
        <v>3979</v>
      </c>
      <c r="R2" s="47" t="s">
        <v>3981</v>
      </c>
      <c r="S2" s="121">
        <v>45540</v>
      </c>
      <c r="T2" s="124" t="s">
        <v>3979</v>
      </c>
      <c r="U2" s="124" t="s">
        <v>3979</v>
      </c>
      <c r="V2" s="124" t="s">
        <v>3979</v>
      </c>
      <c r="W2" s="77" t="s">
        <v>576</v>
      </c>
      <c r="X2" s="76"/>
    </row>
    <row r="3" spans="1:24" s="213" customFormat="1" ht="84">
      <c r="A3" s="77">
        <v>2</v>
      </c>
      <c r="B3" s="77" t="s">
        <v>4067</v>
      </c>
      <c r="C3" s="77" t="s">
        <v>3978</v>
      </c>
      <c r="D3" s="197">
        <v>44804</v>
      </c>
      <c r="E3" s="96" t="s">
        <v>4071</v>
      </c>
      <c r="F3" s="77">
        <v>2</v>
      </c>
      <c r="G3" s="77">
        <v>2</v>
      </c>
      <c r="H3" s="77" t="s">
        <v>319</v>
      </c>
      <c r="I3" s="77" t="s">
        <v>315</v>
      </c>
      <c r="J3" s="124" t="s">
        <v>3979</v>
      </c>
      <c r="K3" s="77" t="s">
        <v>315</v>
      </c>
      <c r="L3" s="124" t="s">
        <v>3979</v>
      </c>
      <c r="M3" s="145" t="s">
        <v>4072</v>
      </c>
      <c r="N3" s="121">
        <v>45539</v>
      </c>
      <c r="O3" s="121">
        <v>45540</v>
      </c>
      <c r="P3" s="197" t="s">
        <v>317</v>
      </c>
      <c r="Q3" s="124" t="s">
        <v>3979</v>
      </c>
      <c r="R3" s="47" t="s">
        <v>3981</v>
      </c>
      <c r="S3" s="121">
        <v>45540</v>
      </c>
      <c r="T3" s="124" t="s">
        <v>3979</v>
      </c>
      <c r="U3" s="124" t="s">
        <v>3979</v>
      </c>
      <c r="V3" s="124" t="s">
        <v>3979</v>
      </c>
      <c r="W3" s="77" t="s">
        <v>576</v>
      </c>
      <c r="X3" s="76"/>
    </row>
    <row r="4" spans="1:24" ht="48.75" customHeight="1">
      <c r="A4" s="77">
        <v>3</v>
      </c>
      <c r="B4" s="77" t="s">
        <v>4067</v>
      </c>
      <c r="C4" s="77" t="s">
        <v>3978</v>
      </c>
      <c r="D4" s="197">
        <v>45872</v>
      </c>
      <c r="E4" s="96" t="s">
        <v>4051</v>
      </c>
      <c r="F4" s="77">
        <v>8</v>
      </c>
      <c r="G4" s="77"/>
      <c r="H4" s="93"/>
      <c r="I4" s="77"/>
      <c r="J4" s="124"/>
      <c r="K4" s="77"/>
      <c r="L4" s="124"/>
      <c r="M4" s="93"/>
      <c r="N4" s="93"/>
      <c r="O4" s="93"/>
      <c r="P4" s="93"/>
      <c r="Q4" s="93"/>
      <c r="R4" s="93"/>
      <c r="S4" s="93"/>
      <c r="T4" s="93"/>
      <c r="U4" s="93"/>
      <c r="V4" s="93"/>
      <c r="W4" s="77" t="s">
        <v>1205</v>
      </c>
      <c r="X4" s="96"/>
    </row>
    <row r="5" spans="1:24" ht="78" customHeight="1">
      <c r="A5" s="197">
        <v>4</v>
      </c>
      <c r="B5" s="77" t="s">
        <v>4073</v>
      </c>
      <c r="C5" s="77" t="s">
        <v>3976</v>
      </c>
      <c r="D5" s="197">
        <v>23977</v>
      </c>
      <c r="E5" s="96" t="s">
        <v>4048</v>
      </c>
      <c r="F5" s="93">
        <v>3</v>
      </c>
      <c r="G5" s="93"/>
      <c r="H5" s="77"/>
      <c r="I5" s="77"/>
      <c r="J5" s="124"/>
      <c r="K5" s="77"/>
      <c r="L5" s="124"/>
      <c r="M5" s="145"/>
      <c r="N5" s="121"/>
      <c r="O5" s="121"/>
      <c r="P5" s="197"/>
      <c r="Q5" s="124"/>
      <c r="R5" s="47"/>
      <c r="S5" s="121"/>
      <c r="T5" s="124"/>
      <c r="U5" s="124"/>
      <c r="V5" s="124"/>
      <c r="W5" s="77" t="s">
        <v>1205</v>
      </c>
      <c r="X5" s="96"/>
    </row>
    <row r="6" spans="1:24">
      <c r="A6" s="197">
        <v>5</v>
      </c>
      <c r="B6" s="77" t="s">
        <v>4074</v>
      </c>
      <c r="C6" s="77" t="s">
        <v>1216</v>
      </c>
      <c r="D6" s="197">
        <v>45960</v>
      </c>
      <c r="E6" s="96" t="s">
        <v>4075</v>
      </c>
      <c r="F6" s="93"/>
      <c r="G6" s="93"/>
      <c r="H6" s="93"/>
      <c r="I6" s="93"/>
      <c r="J6" s="93"/>
      <c r="K6" s="93"/>
      <c r="L6" s="93"/>
      <c r="M6" s="93"/>
      <c r="N6" s="93"/>
      <c r="O6" s="93"/>
      <c r="P6" s="93"/>
      <c r="Q6" s="93"/>
      <c r="R6" s="93"/>
      <c r="S6" s="93"/>
      <c r="T6" s="93"/>
      <c r="U6" s="93"/>
      <c r="V6" s="93"/>
      <c r="W6" s="77" t="s">
        <v>576</v>
      </c>
      <c r="X6" s="93"/>
    </row>
    <row r="7" spans="1:24">
      <c r="A7" s="93"/>
      <c r="B7" s="93"/>
      <c r="C7" s="93"/>
      <c r="D7" s="93"/>
      <c r="E7" s="93"/>
      <c r="F7" s="93"/>
      <c r="G7" s="93"/>
      <c r="H7" s="93"/>
      <c r="I7" s="93"/>
      <c r="J7" s="93"/>
      <c r="K7" s="93"/>
      <c r="L7" s="93"/>
      <c r="M7" s="93"/>
      <c r="N7" s="93"/>
      <c r="O7" s="93"/>
      <c r="P7" s="93"/>
      <c r="Q7" s="93"/>
      <c r="R7" s="93"/>
      <c r="S7" s="93"/>
      <c r="T7" s="93"/>
      <c r="U7" s="93"/>
      <c r="V7" s="93"/>
      <c r="W7" s="93"/>
      <c r="X7" s="93"/>
    </row>
    <row r="8" spans="1:24">
      <c r="A8" s="93"/>
      <c r="B8" s="93"/>
      <c r="C8" s="93"/>
      <c r="D8" s="93"/>
      <c r="E8" s="93"/>
      <c r="F8" s="93"/>
      <c r="G8" s="93"/>
      <c r="H8" s="93"/>
      <c r="I8" s="93"/>
      <c r="J8" s="93"/>
      <c r="K8" s="93"/>
      <c r="L8" s="93"/>
      <c r="M8" s="93"/>
      <c r="N8" s="93"/>
      <c r="O8" s="93"/>
      <c r="P8" s="93"/>
      <c r="Q8" s="93"/>
      <c r="R8" s="93"/>
      <c r="S8" s="93"/>
      <c r="T8" s="93"/>
      <c r="U8" s="93"/>
      <c r="V8" s="93"/>
      <c r="W8" s="93"/>
      <c r="X8" s="93"/>
    </row>
  </sheetData>
  <dataValidations count="1">
    <dataValidation type="list" allowBlank="1" showErrorMessage="1" sqref="W2:W6" xr:uid="{04C096EA-547D-48B0-BB2A-DDEA73ED62C4}">
      <formula1>"Open,Inprogress,Closed"</formula1>
    </dataValidation>
  </dataValidations>
  <hyperlinks>
    <hyperlink ref="M2" r:id="rId1" xr:uid="{7C4E6C58-B678-447F-B143-3351F3ADBA2B}"/>
    <hyperlink ref="M3" r:id="rId2" xr:uid="{7BA2A0D8-3D64-4B6A-B5CE-12E0AF41A905}"/>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06D7-8DFB-4CC8-91F3-07FBF2556226}">
  <dimension ref="A1:K21"/>
  <sheetViews>
    <sheetView workbookViewId="0">
      <selection activeCell="D5" sqref="D5"/>
    </sheetView>
  </sheetViews>
  <sheetFormatPr defaultRowHeight="12.75"/>
  <cols>
    <col min="3" max="3" width="15.5703125" customWidth="1"/>
    <col min="4" max="4" width="11.7109375" customWidth="1"/>
    <col min="5" max="5" width="15.5703125" customWidth="1"/>
    <col min="6" max="6" width="21.7109375" customWidth="1"/>
    <col min="9" max="9" width="15.7109375" customWidth="1"/>
    <col min="10" max="10" width="18.42578125" customWidth="1"/>
    <col min="11" max="11" width="23" customWidth="1"/>
  </cols>
  <sheetData>
    <row r="1" spans="1:11" ht="13.5">
      <c r="A1" s="155" t="s">
        <v>266</v>
      </c>
      <c r="B1" s="104" t="s">
        <v>10</v>
      </c>
      <c r="C1" s="105" t="s">
        <v>267</v>
      </c>
      <c r="D1" s="104" t="s">
        <v>269</v>
      </c>
      <c r="E1" s="61" t="s">
        <v>270</v>
      </c>
      <c r="F1" s="61" t="s">
        <v>271</v>
      </c>
      <c r="G1" s="104" t="s">
        <v>272</v>
      </c>
      <c r="H1" s="104" t="s">
        <v>274</v>
      </c>
      <c r="I1" s="104" t="s">
        <v>275</v>
      </c>
      <c r="J1" s="106" t="s">
        <v>276</v>
      </c>
      <c r="K1" s="107" t="s">
        <v>277</v>
      </c>
    </row>
    <row r="2" spans="1:11" ht="104.25">
      <c r="A2" s="189">
        <v>1</v>
      </c>
      <c r="B2" s="189" t="s">
        <v>4067</v>
      </c>
      <c r="C2" s="189">
        <v>44804</v>
      </c>
      <c r="D2" s="189" t="s">
        <v>1976</v>
      </c>
      <c r="E2" s="214" t="s">
        <v>3503</v>
      </c>
      <c r="F2" s="189" t="s">
        <v>4076</v>
      </c>
      <c r="G2" s="215" t="s">
        <v>524</v>
      </c>
      <c r="H2" s="202" t="s">
        <v>525</v>
      </c>
      <c r="I2" s="202" t="s">
        <v>576</v>
      </c>
      <c r="J2" s="165" t="s">
        <v>529</v>
      </c>
      <c r="K2" s="189"/>
    </row>
    <row r="3" spans="1:11" ht="46.5">
      <c r="A3" s="147">
        <v>2</v>
      </c>
      <c r="B3" s="146" t="s">
        <v>4074</v>
      </c>
      <c r="C3" s="147">
        <v>23857</v>
      </c>
      <c r="D3" s="216" t="s">
        <v>4046</v>
      </c>
      <c r="E3" s="165" t="s">
        <v>522</v>
      </c>
      <c r="F3" s="96" t="s">
        <v>4077</v>
      </c>
      <c r="G3" s="165" t="s">
        <v>524</v>
      </c>
      <c r="H3" s="165" t="s">
        <v>519</v>
      </c>
      <c r="I3" s="165" t="s">
        <v>576</v>
      </c>
      <c r="J3" s="165" t="s">
        <v>529</v>
      </c>
      <c r="K3" s="93"/>
    </row>
    <row r="4" spans="1:11" ht="69">
      <c r="A4" s="147">
        <v>3</v>
      </c>
      <c r="B4" s="146" t="s">
        <v>4074</v>
      </c>
      <c r="C4" s="216" t="s">
        <v>4078</v>
      </c>
      <c r="D4" s="216" t="s">
        <v>4046</v>
      </c>
      <c r="E4" s="165"/>
      <c r="F4" s="96" t="s">
        <v>4079</v>
      </c>
      <c r="G4" s="165" t="s">
        <v>524</v>
      </c>
      <c r="H4" s="165" t="s">
        <v>519</v>
      </c>
      <c r="I4" s="165" t="s">
        <v>576</v>
      </c>
      <c r="J4" s="165" t="s">
        <v>1325</v>
      </c>
      <c r="K4" s="93" t="s">
        <v>3974</v>
      </c>
    </row>
    <row r="5" spans="1:11" ht="72">
      <c r="A5" s="93">
        <v>4</v>
      </c>
      <c r="B5" s="146" t="s">
        <v>4074</v>
      </c>
      <c r="C5" s="93" t="s">
        <v>4080</v>
      </c>
      <c r="D5" s="93" t="s">
        <v>4046</v>
      </c>
      <c r="E5" s="93"/>
      <c r="F5" s="96" t="s">
        <v>4081</v>
      </c>
      <c r="G5" s="93" t="s">
        <v>524</v>
      </c>
      <c r="H5" s="93" t="s">
        <v>519</v>
      </c>
      <c r="I5" s="165" t="s">
        <v>576</v>
      </c>
      <c r="J5" s="165" t="s">
        <v>1325</v>
      </c>
      <c r="K5" s="93" t="s">
        <v>3974</v>
      </c>
    </row>
    <row r="6" spans="1:11" ht="35.25">
      <c r="A6" s="93">
        <v>5</v>
      </c>
      <c r="B6" s="146" t="s">
        <v>4074</v>
      </c>
      <c r="C6" s="93" t="s">
        <v>4082</v>
      </c>
      <c r="D6" s="93" t="s">
        <v>4046</v>
      </c>
      <c r="E6" s="93"/>
      <c r="F6" s="96" t="s">
        <v>4083</v>
      </c>
      <c r="G6" s="93" t="s">
        <v>524</v>
      </c>
      <c r="H6" s="93" t="s">
        <v>519</v>
      </c>
      <c r="I6" s="165" t="s">
        <v>1205</v>
      </c>
      <c r="J6" s="165" t="s">
        <v>1325</v>
      </c>
      <c r="K6" s="93" t="s">
        <v>3974</v>
      </c>
    </row>
    <row r="7" spans="1:11" ht="46.5">
      <c r="A7" s="93">
        <v>6</v>
      </c>
      <c r="B7" s="146" t="s">
        <v>4074</v>
      </c>
      <c r="C7" s="93" t="s">
        <v>4084</v>
      </c>
      <c r="D7" s="93" t="s">
        <v>4046</v>
      </c>
      <c r="E7" s="93"/>
      <c r="F7" s="96" t="s">
        <v>4085</v>
      </c>
      <c r="G7" s="93" t="s">
        <v>524</v>
      </c>
      <c r="H7" s="93" t="s">
        <v>519</v>
      </c>
      <c r="I7" s="93" t="s">
        <v>1205</v>
      </c>
      <c r="J7" s="165" t="s">
        <v>1325</v>
      </c>
      <c r="K7" s="93" t="s">
        <v>3974</v>
      </c>
    </row>
    <row r="8" spans="1:11" ht="58.5">
      <c r="A8" s="93">
        <v>7</v>
      </c>
      <c r="B8" s="146" t="s">
        <v>4074</v>
      </c>
      <c r="C8" s="93" t="s">
        <v>4039</v>
      </c>
      <c r="D8" s="93" t="s">
        <v>4046</v>
      </c>
      <c r="E8" s="93"/>
      <c r="F8" s="96" t="s">
        <v>4086</v>
      </c>
      <c r="G8" s="93" t="s">
        <v>524</v>
      </c>
      <c r="H8" s="93" t="s">
        <v>519</v>
      </c>
      <c r="I8" s="165" t="s">
        <v>1671</v>
      </c>
      <c r="J8" s="165" t="s">
        <v>1325</v>
      </c>
      <c r="K8" s="93" t="s">
        <v>3974</v>
      </c>
    </row>
    <row r="9" spans="1:11">
      <c r="A9" s="93"/>
      <c r="B9" s="146"/>
      <c r="C9" s="93"/>
      <c r="D9" s="93"/>
      <c r="E9" s="93"/>
      <c r="F9" s="96"/>
      <c r="G9" s="93"/>
      <c r="I9" s="93"/>
      <c r="J9" s="165"/>
      <c r="K9" s="93"/>
    </row>
    <row r="10" spans="1:11">
      <c r="A10" s="93"/>
      <c r="B10" s="146"/>
      <c r="C10" s="93"/>
      <c r="D10" s="93"/>
      <c r="E10" s="93"/>
      <c r="F10" s="96"/>
      <c r="G10" s="93"/>
      <c r="H10" s="93"/>
      <c r="I10" s="93"/>
      <c r="J10" s="165"/>
      <c r="K10" s="93"/>
    </row>
    <row r="11" spans="1:11">
      <c r="A11" s="93"/>
      <c r="B11" s="146"/>
      <c r="C11" s="93"/>
      <c r="D11" s="93"/>
      <c r="E11" s="93"/>
      <c r="F11" s="96"/>
      <c r="G11" s="93"/>
      <c r="H11" s="93"/>
      <c r="I11" s="93"/>
      <c r="J11" s="165"/>
      <c r="K11" s="93"/>
    </row>
    <row r="12" spans="1:11">
      <c r="A12" s="93"/>
      <c r="B12" s="146"/>
      <c r="C12" s="93"/>
      <c r="D12" s="93"/>
      <c r="E12" s="93"/>
      <c r="F12" s="96"/>
      <c r="G12" s="93"/>
      <c r="H12" s="93"/>
      <c r="I12" s="93"/>
      <c r="J12" s="165"/>
      <c r="K12" s="93"/>
    </row>
    <row r="13" spans="1:11">
      <c r="A13" s="93"/>
      <c r="B13" s="146"/>
      <c r="C13" s="93"/>
      <c r="D13" s="93"/>
      <c r="E13" s="93"/>
      <c r="F13" s="96"/>
      <c r="G13" s="93"/>
      <c r="H13" s="93"/>
      <c r="I13" s="93"/>
      <c r="J13" s="165"/>
      <c r="K13" s="93"/>
    </row>
    <row r="14" spans="1:11">
      <c r="A14" s="93"/>
      <c r="B14" s="146"/>
      <c r="C14" s="93"/>
      <c r="D14" s="93"/>
      <c r="E14" s="93"/>
      <c r="F14" s="96"/>
      <c r="G14" s="93"/>
      <c r="H14" s="93"/>
      <c r="I14" s="93"/>
      <c r="J14" s="165"/>
      <c r="K14" s="93"/>
    </row>
    <row r="15" spans="1:11">
      <c r="A15" s="93"/>
      <c r="B15" s="146"/>
      <c r="C15" s="93"/>
      <c r="D15" s="93"/>
      <c r="E15" s="93"/>
      <c r="F15" s="96"/>
      <c r="G15" s="93"/>
      <c r="H15" s="93"/>
      <c r="I15" s="93"/>
      <c r="J15" s="165"/>
      <c r="K15" s="93"/>
    </row>
    <row r="16" spans="1:11">
      <c r="A16" s="93"/>
      <c r="B16" s="146"/>
      <c r="C16" s="93"/>
      <c r="D16" s="93"/>
      <c r="E16" s="93"/>
      <c r="F16" s="96"/>
      <c r="G16" s="93"/>
      <c r="H16" s="93"/>
      <c r="I16" s="93"/>
      <c r="J16" s="165"/>
      <c r="K16" s="93"/>
    </row>
    <row r="17" spans="1:11">
      <c r="A17" s="93"/>
      <c r="B17" s="146"/>
      <c r="C17" s="93"/>
      <c r="D17" s="93"/>
      <c r="E17" s="93"/>
      <c r="F17" s="96"/>
      <c r="G17" s="93"/>
      <c r="H17" s="93"/>
      <c r="I17" s="93"/>
      <c r="J17" s="165"/>
      <c r="K17" s="93"/>
    </row>
    <row r="18" spans="1:11">
      <c r="A18" s="93"/>
      <c r="B18" s="146"/>
      <c r="C18" s="93"/>
      <c r="D18" s="93"/>
      <c r="E18" s="93"/>
      <c r="F18" s="96"/>
      <c r="G18" s="93"/>
      <c r="H18" s="93"/>
      <c r="I18" s="93"/>
      <c r="J18" s="165"/>
      <c r="K18" s="93"/>
    </row>
    <row r="19" spans="1:11">
      <c r="A19" s="93"/>
      <c r="B19" s="146"/>
      <c r="C19" s="93"/>
      <c r="D19" s="93"/>
      <c r="E19" s="93"/>
      <c r="F19" s="96"/>
      <c r="G19" s="93"/>
      <c r="H19" s="93"/>
      <c r="I19" s="93"/>
      <c r="J19" s="165"/>
      <c r="K19" s="93"/>
    </row>
    <row r="20" spans="1:11">
      <c r="A20" s="93"/>
      <c r="B20" s="146"/>
      <c r="C20" s="93"/>
      <c r="D20" s="93"/>
      <c r="E20" s="93"/>
      <c r="F20" s="96"/>
      <c r="G20" s="93"/>
      <c r="H20" s="93"/>
      <c r="I20" s="93"/>
      <c r="J20" s="165"/>
      <c r="K20" s="93"/>
    </row>
    <row r="21" spans="1:11">
      <c r="A21" s="93"/>
      <c r="B21" s="146"/>
      <c r="C21" s="93"/>
      <c r="D21" s="93"/>
      <c r="E21" s="93"/>
      <c r="F21" s="96"/>
      <c r="G21" s="93"/>
      <c r="H21" s="93"/>
      <c r="I21" s="93"/>
      <c r="J21" s="165"/>
      <c r="K21" s="93"/>
    </row>
  </sheetData>
  <dataValidations count="4">
    <dataValidation type="list" allowBlank="1" showErrorMessage="1" sqref="G2:G4" xr:uid="{B22F9A16-1C40-4A70-91DC-A4471770C202}">
      <formula1>"Minor,Significant,Major"</formula1>
    </dataValidation>
    <dataValidation type="list" allowBlank="1" showErrorMessage="1" sqref="H2:H4" xr:uid="{FF4B8343-59A3-48D2-8057-8C771D324213}">
      <formula1>"Internal,External"</formula1>
    </dataValidation>
    <dataValidation type="list" allowBlank="1" showErrorMessage="1" sqref="I2:I6 I8" xr:uid="{A7A7DC55-E100-4E51-97C7-E45A8527DFEC}">
      <formula1>"Open,Inprogress,Closed"</formula1>
    </dataValidation>
    <dataValidation type="list" allowBlank="1" showErrorMessage="1" sqref="E2:E4" xr:uid="{721E2B8B-4161-4A50-B9BA-DA61E1366468}">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2FF201C0-3071-4AAA-8C3C-B928361AA78A}">
          <x14:formula1>
            <xm:f>Details!$A$2:$A$10</xm:f>
          </x14:formula1>
          <xm:sqref>J2:J21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024DE-8B0B-4FB6-863B-E7E10ADBAA32}">
  <dimension ref="A1:X7"/>
  <sheetViews>
    <sheetView workbookViewId="0">
      <selection activeCell="A2" sqref="A2"/>
    </sheetView>
  </sheetViews>
  <sheetFormatPr defaultRowHeight="12.75"/>
  <cols>
    <col min="3" max="3" width="22.7109375" customWidth="1"/>
    <col min="5" max="5" width="38.140625" customWidth="1"/>
    <col min="10" max="10" width="14.140625" customWidth="1"/>
    <col min="12" max="12" width="14.7109375" customWidth="1"/>
    <col min="13" max="13" width="16.28515625" customWidth="1"/>
    <col min="17" max="17" width="17.28515625" customWidth="1"/>
    <col min="20" max="20" width="13.5703125" customWidth="1"/>
    <col min="21" max="21" width="14.140625" customWidth="1"/>
    <col min="22" max="22" width="13.7109375" customWidth="1"/>
    <col min="23" max="23" width="16.5703125" customWidth="1"/>
    <col min="24" max="24" width="19.5703125" customWidth="1"/>
  </cols>
  <sheetData>
    <row r="1" spans="1:24" ht="53.25">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4065</v>
      </c>
      <c r="Q1" s="98" t="s">
        <v>1201</v>
      </c>
      <c r="R1" s="98" t="s">
        <v>4066</v>
      </c>
      <c r="S1" s="98" t="s">
        <v>1202</v>
      </c>
      <c r="T1" s="98" t="s">
        <v>1201</v>
      </c>
      <c r="U1" s="98" t="s">
        <v>299</v>
      </c>
      <c r="V1" s="98" t="s">
        <v>300</v>
      </c>
      <c r="W1" s="98" t="s">
        <v>275</v>
      </c>
      <c r="X1" s="156" t="s">
        <v>277</v>
      </c>
    </row>
    <row r="2" spans="1:24" ht="73.5" customHeight="1">
      <c r="A2" s="77">
        <v>1</v>
      </c>
      <c r="B2" s="77" t="s">
        <v>4087</v>
      </c>
      <c r="C2" s="77" t="s">
        <v>3978</v>
      </c>
      <c r="D2" s="197" t="s">
        <v>4088</v>
      </c>
      <c r="E2" s="96" t="s">
        <v>4089</v>
      </c>
      <c r="F2" s="77">
        <v>5</v>
      </c>
      <c r="G2" s="77">
        <v>5</v>
      </c>
      <c r="H2" s="77" t="s">
        <v>319</v>
      </c>
      <c r="I2" s="77" t="s">
        <v>315</v>
      </c>
      <c r="J2" s="124" t="s">
        <v>3979</v>
      </c>
      <c r="K2" s="77" t="s">
        <v>315</v>
      </c>
      <c r="L2" s="124" t="s">
        <v>3979</v>
      </c>
      <c r="M2" s="145" t="s">
        <v>4090</v>
      </c>
      <c r="N2" s="121">
        <v>45527</v>
      </c>
      <c r="O2" s="121">
        <v>45527</v>
      </c>
      <c r="P2" s="197" t="s">
        <v>317</v>
      </c>
      <c r="Q2" s="124" t="s">
        <v>3979</v>
      </c>
      <c r="R2" s="47" t="s">
        <v>3981</v>
      </c>
      <c r="S2" s="121">
        <v>45527</v>
      </c>
      <c r="T2" s="124" t="s">
        <v>3979</v>
      </c>
      <c r="U2" s="124" t="s">
        <v>3979</v>
      </c>
      <c r="V2" s="124" t="s">
        <v>3979</v>
      </c>
      <c r="W2" s="77" t="s">
        <v>576</v>
      </c>
      <c r="X2" s="76"/>
    </row>
    <row r="3" spans="1:24" ht="48.75" customHeight="1">
      <c r="A3" s="197">
        <v>2</v>
      </c>
      <c r="B3" s="203" t="s">
        <v>4087</v>
      </c>
      <c r="C3" s="77" t="s">
        <v>315</v>
      </c>
      <c r="D3" s="197">
        <v>23827</v>
      </c>
      <c r="E3" s="96" t="s">
        <v>4091</v>
      </c>
      <c r="F3" s="197">
        <v>2</v>
      </c>
      <c r="G3" s="93">
        <v>2</v>
      </c>
      <c r="H3" s="93" t="s">
        <v>3993</v>
      </c>
      <c r="I3" s="77" t="s">
        <v>317</v>
      </c>
      <c r="J3" s="124" t="s">
        <v>3979</v>
      </c>
      <c r="K3" s="77" t="s">
        <v>317</v>
      </c>
      <c r="L3" s="124" t="s">
        <v>3979</v>
      </c>
      <c r="M3" s="93" t="s">
        <v>320</v>
      </c>
      <c r="N3" s="93" t="s">
        <v>320</v>
      </c>
      <c r="O3" s="93" t="s">
        <v>320</v>
      </c>
      <c r="P3" s="93" t="s">
        <v>320</v>
      </c>
      <c r="Q3" s="93" t="s">
        <v>320</v>
      </c>
      <c r="R3" s="93" t="s">
        <v>320</v>
      </c>
      <c r="S3" s="93" t="s">
        <v>320</v>
      </c>
      <c r="T3" s="93" t="s">
        <v>320</v>
      </c>
      <c r="U3" s="93" t="s">
        <v>320</v>
      </c>
      <c r="V3" s="93" t="s">
        <v>320</v>
      </c>
      <c r="W3" s="93" t="s">
        <v>576</v>
      </c>
      <c r="X3" s="96" t="s">
        <v>4092</v>
      </c>
    </row>
    <row r="4" spans="1:24" ht="78" customHeight="1">
      <c r="A4" s="197">
        <v>3</v>
      </c>
      <c r="B4" s="77" t="s">
        <v>4087</v>
      </c>
      <c r="C4" s="77" t="s">
        <v>3978</v>
      </c>
      <c r="D4" s="197" t="s">
        <v>4093</v>
      </c>
      <c r="E4" s="96" t="s">
        <v>4094</v>
      </c>
      <c r="F4" s="93">
        <v>0</v>
      </c>
      <c r="G4" s="93">
        <v>3</v>
      </c>
      <c r="H4" s="77" t="s">
        <v>319</v>
      </c>
      <c r="I4" s="77" t="s">
        <v>315</v>
      </c>
      <c r="J4" s="124" t="s">
        <v>3979</v>
      </c>
      <c r="K4" s="77" t="s">
        <v>315</v>
      </c>
      <c r="L4" s="124" t="s">
        <v>3979</v>
      </c>
      <c r="M4" s="145" t="s">
        <v>4095</v>
      </c>
      <c r="N4" s="121">
        <v>45518</v>
      </c>
      <c r="O4" s="121">
        <v>45518</v>
      </c>
      <c r="P4" s="197" t="s">
        <v>317</v>
      </c>
      <c r="Q4" s="124" t="s">
        <v>3979</v>
      </c>
      <c r="R4" s="47" t="s">
        <v>3981</v>
      </c>
      <c r="S4" s="121">
        <v>45518</v>
      </c>
      <c r="T4" s="124" t="s">
        <v>3979</v>
      </c>
      <c r="U4" s="124" t="s">
        <v>3979</v>
      </c>
      <c r="V4" s="124" t="s">
        <v>3979</v>
      </c>
      <c r="W4" s="77" t="s">
        <v>576</v>
      </c>
      <c r="X4" s="96" t="s">
        <v>4000</v>
      </c>
    </row>
    <row r="5" spans="1:24" ht="35.25">
      <c r="A5" s="197">
        <v>4</v>
      </c>
      <c r="B5" s="77" t="s">
        <v>4096</v>
      </c>
      <c r="C5" s="77" t="s">
        <v>3978</v>
      </c>
      <c r="D5" s="197">
        <v>44804</v>
      </c>
      <c r="E5" s="96" t="s">
        <v>4071</v>
      </c>
      <c r="F5" s="93">
        <v>3</v>
      </c>
      <c r="G5" s="93"/>
      <c r="H5" s="93"/>
      <c r="I5" s="93"/>
      <c r="J5" s="93"/>
      <c r="K5" s="93"/>
      <c r="L5" s="93"/>
      <c r="M5" s="93"/>
      <c r="N5" s="93"/>
      <c r="O5" s="93"/>
      <c r="P5" s="93"/>
      <c r="Q5" s="93"/>
      <c r="R5" s="93"/>
      <c r="S5" s="93"/>
      <c r="T5" s="93"/>
      <c r="U5" s="93"/>
      <c r="V5" s="93"/>
      <c r="W5" s="77" t="s">
        <v>1205</v>
      </c>
      <c r="X5" s="93" t="s">
        <v>4097</v>
      </c>
    </row>
    <row r="6" spans="1:24" s="213" customFormat="1" ht="35.25">
      <c r="A6" s="77">
        <v>5</v>
      </c>
      <c r="B6" s="203" t="s">
        <v>4096</v>
      </c>
      <c r="C6" s="77" t="s">
        <v>315</v>
      </c>
      <c r="D6" s="77">
        <v>44803</v>
      </c>
      <c r="E6" s="77" t="s">
        <v>4069</v>
      </c>
      <c r="F6" s="77">
        <v>5</v>
      </c>
      <c r="G6" s="77"/>
      <c r="H6" s="77"/>
      <c r="I6" s="77"/>
      <c r="J6" s="77"/>
      <c r="K6" s="77"/>
      <c r="L6" s="77"/>
      <c r="M6" s="77"/>
      <c r="N6" s="77"/>
      <c r="O6" s="77"/>
      <c r="P6" s="77"/>
      <c r="Q6" s="77"/>
      <c r="R6" s="77"/>
      <c r="S6" s="77"/>
      <c r="T6" s="77"/>
      <c r="U6" s="77"/>
      <c r="V6" s="77"/>
      <c r="W6" s="77" t="s">
        <v>1205</v>
      </c>
      <c r="X6" s="93" t="s">
        <v>4097</v>
      </c>
    </row>
    <row r="7" spans="1:24">
      <c r="A7" s="93"/>
      <c r="B7" s="93"/>
      <c r="C7" s="93"/>
      <c r="D7" s="93"/>
      <c r="E7" s="93"/>
      <c r="F7" s="93"/>
      <c r="G7" s="93"/>
      <c r="H7" s="93"/>
      <c r="I7" s="93"/>
      <c r="J7" s="93"/>
      <c r="K7" s="93"/>
      <c r="L7" s="93"/>
      <c r="M7" s="93"/>
      <c r="N7" s="93"/>
      <c r="O7" s="93"/>
      <c r="P7" s="93"/>
      <c r="Q7" s="93"/>
      <c r="R7" s="93"/>
      <c r="S7" s="93"/>
      <c r="T7" s="93"/>
      <c r="U7" s="93"/>
      <c r="V7" s="93"/>
      <c r="W7" s="93"/>
      <c r="X7" s="93"/>
    </row>
  </sheetData>
  <dataValidations count="1">
    <dataValidation type="list" allowBlank="1" showErrorMessage="1" sqref="W4:W5 W6 W2" xr:uid="{EAB36AC5-FFD3-4336-B2DD-F21C3C517E28}">
      <formula1>"Open,Inprogress,Closed"</formula1>
    </dataValidation>
  </dataValidations>
  <hyperlinks>
    <hyperlink ref="M4" r:id="rId1" xr:uid="{B089F689-C464-4473-A98C-F4D618E69B5B}"/>
    <hyperlink ref="M2" r:id="rId2" xr:uid="{9AC48E78-49A0-43CF-8566-047DAB0C180B}"/>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CE0E-F98F-4A1F-BAAD-8759DE0BACF7}">
  <dimension ref="A1:K6"/>
  <sheetViews>
    <sheetView workbookViewId="0">
      <selection activeCell="A2" sqref="A2"/>
    </sheetView>
  </sheetViews>
  <sheetFormatPr defaultRowHeight="12.75"/>
  <cols>
    <col min="3" max="3" width="15.5703125" customWidth="1"/>
    <col min="4" max="4" width="11.7109375" customWidth="1"/>
    <col min="5" max="5" width="15.5703125" customWidth="1"/>
    <col min="6" max="6" width="21.7109375" customWidth="1"/>
    <col min="9" max="9" width="15.7109375" customWidth="1"/>
    <col min="10" max="10" width="18.42578125" customWidth="1"/>
    <col min="11" max="11" width="23" customWidth="1"/>
  </cols>
  <sheetData>
    <row r="1" spans="1:11" ht="40.5">
      <c r="A1" s="155" t="s">
        <v>266</v>
      </c>
      <c r="B1" s="104" t="s">
        <v>10</v>
      </c>
      <c r="C1" s="105" t="s">
        <v>267</v>
      </c>
      <c r="D1" s="104" t="s">
        <v>269</v>
      </c>
      <c r="E1" s="61" t="s">
        <v>270</v>
      </c>
      <c r="F1" s="61" t="s">
        <v>271</v>
      </c>
      <c r="G1" s="104" t="s">
        <v>272</v>
      </c>
      <c r="H1" s="104" t="s">
        <v>274</v>
      </c>
      <c r="I1" s="104" t="s">
        <v>275</v>
      </c>
      <c r="J1" s="106" t="s">
        <v>276</v>
      </c>
      <c r="K1" s="107" t="s">
        <v>277</v>
      </c>
    </row>
    <row r="2" spans="1:11" ht="48">
      <c r="A2" s="189">
        <v>1</v>
      </c>
      <c r="B2" s="189" t="s">
        <v>4087</v>
      </c>
      <c r="C2" s="189">
        <v>23827</v>
      </c>
      <c r="D2" s="189" t="s">
        <v>315</v>
      </c>
      <c r="E2" s="214" t="s">
        <v>522</v>
      </c>
      <c r="F2" s="189" t="s">
        <v>4098</v>
      </c>
      <c r="G2" s="215" t="s">
        <v>524</v>
      </c>
      <c r="H2" s="202" t="s">
        <v>525</v>
      </c>
      <c r="I2" s="202" t="s">
        <v>576</v>
      </c>
      <c r="J2" s="202" t="s">
        <v>529</v>
      </c>
      <c r="K2" s="189"/>
    </row>
    <row r="3" spans="1:11" ht="72">
      <c r="A3" s="147">
        <v>2</v>
      </c>
      <c r="B3" s="146" t="s">
        <v>4087</v>
      </c>
      <c r="C3" s="147" t="s">
        <v>4093</v>
      </c>
      <c r="D3" s="216" t="s">
        <v>3978</v>
      </c>
      <c r="E3" s="165" t="s">
        <v>522</v>
      </c>
      <c r="F3" s="96" t="s">
        <v>4094</v>
      </c>
      <c r="G3" s="165" t="s">
        <v>524</v>
      </c>
      <c r="H3" s="165" t="s">
        <v>525</v>
      </c>
      <c r="I3" s="165" t="s">
        <v>576</v>
      </c>
      <c r="J3" s="165" t="s">
        <v>529</v>
      </c>
      <c r="K3" s="93"/>
    </row>
    <row r="4" spans="1:11">
      <c r="A4" s="147"/>
      <c r="B4" s="146"/>
      <c r="C4" s="216"/>
      <c r="D4" s="216"/>
      <c r="E4" s="165"/>
      <c r="F4" s="96"/>
      <c r="G4" s="165"/>
      <c r="H4" s="165"/>
      <c r="I4" s="165"/>
      <c r="J4" s="165"/>
      <c r="K4" s="93"/>
    </row>
    <row r="5" spans="1:11">
      <c r="A5" s="93"/>
      <c r="B5" s="93"/>
      <c r="C5" s="93"/>
      <c r="D5" s="93"/>
      <c r="E5" s="93"/>
      <c r="F5" s="93"/>
      <c r="G5" s="93"/>
      <c r="H5" s="93"/>
      <c r="I5" s="93"/>
      <c r="J5" s="93"/>
      <c r="K5" s="93"/>
    </row>
    <row r="6" spans="1:11">
      <c r="A6" s="93"/>
      <c r="B6" s="93"/>
      <c r="C6" s="93"/>
      <c r="D6" s="93"/>
      <c r="E6" s="93"/>
      <c r="F6" s="93"/>
      <c r="G6" s="93"/>
      <c r="H6" s="93"/>
      <c r="I6" s="93"/>
      <c r="J6" s="93"/>
      <c r="K6" s="93"/>
    </row>
  </sheetData>
  <dataValidations count="4">
    <dataValidation type="list" allowBlank="1" showErrorMessage="1" sqref="E2:E4" xr:uid="{3DE8205B-31CF-404D-9E9F-DD6067CAA355}">
      <formula1>"Bounceback,Defect,None"</formula1>
    </dataValidation>
    <dataValidation type="list" allowBlank="1" showErrorMessage="1" sqref="I2:I4" xr:uid="{1E6A21BA-18D5-4BE0-8018-5613D739E577}">
      <formula1>"Open,Inprogress,Closed"</formula1>
    </dataValidation>
    <dataValidation type="list" allowBlank="1" showErrorMessage="1" sqref="H2:H4" xr:uid="{EC744130-C96E-4817-A006-28C168CBDFCF}">
      <formula1>"Internal,External"</formula1>
    </dataValidation>
    <dataValidation type="list" allowBlank="1" showErrorMessage="1" sqref="G2:G4" xr:uid="{7588A09E-2EBE-42FA-A740-CE5DE2A3202F}">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3F62B4DC-C719-41E6-8C2C-8B6D3E3E25CE}">
          <x14:formula1>
            <xm:f>Details!$A$2:$A$10</xm:f>
          </x14:formula1>
          <xm:sqref>J2:J4</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4CBFB-677A-45C3-9C2E-10507A5E45EF}">
  <dimension ref="A1:X10"/>
  <sheetViews>
    <sheetView workbookViewId="0">
      <selection activeCell="H2" sqref="H2:L2"/>
    </sheetView>
  </sheetViews>
  <sheetFormatPr defaultColWidth="12.5703125" defaultRowHeight="12.75"/>
  <cols>
    <col min="4" max="4" width="13.85546875" customWidth="1"/>
    <col min="5" max="5" width="23.42578125" customWidth="1"/>
    <col min="13" max="13" width="18.28515625" customWidth="1"/>
    <col min="24" max="24" width="19.5703125" customWidth="1"/>
  </cols>
  <sheetData>
    <row r="1" spans="1:24" s="100" customFormat="1" ht="53.25">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4065</v>
      </c>
      <c r="Q1" s="98" t="s">
        <v>1201</v>
      </c>
      <c r="R1" s="98" t="s">
        <v>4066</v>
      </c>
      <c r="S1" s="98" t="s">
        <v>1202</v>
      </c>
      <c r="T1" s="98" t="s">
        <v>1201</v>
      </c>
      <c r="U1" s="98" t="s">
        <v>299</v>
      </c>
      <c r="V1" s="98" t="s">
        <v>300</v>
      </c>
      <c r="W1" s="98" t="s">
        <v>275</v>
      </c>
      <c r="X1" s="156" t="s">
        <v>277</v>
      </c>
    </row>
    <row r="2" spans="1:24" ht="79.5" customHeight="1">
      <c r="A2" s="203">
        <v>1</v>
      </c>
      <c r="B2" s="203" t="s">
        <v>4099</v>
      </c>
      <c r="C2" s="203" t="s">
        <v>315</v>
      </c>
      <c r="D2" s="205">
        <v>43294</v>
      </c>
      <c r="E2" s="203" t="s">
        <v>4100</v>
      </c>
      <c r="F2" s="206">
        <v>2</v>
      </c>
      <c r="G2" s="146">
        <v>2</v>
      </c>
      <c r="H2" s="146" t="s">
        <v>319</v>
      </c>
      <c r="I2" s="197" t="s">
        <v>3978</v>
      </c>
      <c r="J2" s="124" t="s">
        <v>3979</v>
      </c>
      <c r="K2" s="197" t="s">
        <v>3978</v>
      </c>
      <c r="L2" s="124" t="s">
        <v>3979</v>
      </c>
      <c r="M2" s="112" t="s">
        <v>4101</v>
      </c>
      <c r="N2" s="121">
        <v>45510</v>
      </c>
      <c r="O2" s="121">
        <v>45510</v>
      </c>
      <c r="P2" s="197" t="s">
        <v>317</v>
      </c>
      <c r="Q2" s="124" t="s">
        <v>3979</v>
      </c>
      <c r="R2" s="47" t="s">
        <v>3981</v>
      </c>
      <c r="S2" s="121">
        <v>45510</v>
      </c>
      <c r="T2" s="124" t="s">
        <v>3979</v>
      </c>
      <c r="U2" s="124" t="s">
        <v>3979</v>
      </c>
      <c r="V2" s="124" t="s">
        <v>3979</v>
      </c>
      <c r="W2" s="77" t="s">
        <v>576</v>
      </c>
      <c r="X2" s="63"/>
    </row>
    <row r="3" spans="1:24" ht="99" customHeight="1">
      <c r="A3" s="197">
        <v>2</v>
      </c>
      <c r="B3" s="77" t="s">
        <v>4099</v>
      </c>
      <c r="C3" s="197" t="s">
        <v>3978</v>
      </c>
      <c r="D3" s="199">
        <v>45382</v>
      </c>
      <c r="E3" s="77" t="s">
        <v>4102</v>
      </c>
      <c r="F3" s="209">
        <v>3</v>
      </c>
      <c r="G3" s="197">
        <v>3</v>
      </c>
      <c r="H3" s="77" t="s">
        <v>319</v>
      </c>
      <c r="I3" s="77" t="s">
        <v>315</v>
      </c>
      <c r="J3" s="124" t="s">
        <v>3979</v>
      </c>
      <c r="K3" s="77" t="s">
        <v>315</v>
      </c>
      <c r="L3" s="124" t="s">
        <v>3979</v>
      </c>
      <c r="M3" s="145" t="s">
        <v>4103</v>
      </c>
      <c r="N3" s="121">
        <v>45510</v>
      </c>
      <c r="O3" s="121">
        <v>45510</v>
      </c>
      <c r="P3" s="197" t="s">
        <v>317</v>
      </c>
      <c r="Q3" s="124" t="s">
        <v>3979</v>
      </c>
      <c r="R3" s="47" t="s">
        <v>3981</v>
      </c>
      <c r="S3" s="121">
        <v>45510</v>
      </c>
      <c r="T3" s="124" t="s">
        <v>3979</v>
      </c>
      <c r="U3" s="124" t="s">
        <v>3979</v>
      </c>
      <c r="V3" s="124" t="s">
        <v>3979</v>
      </c>
      <c r="W3" s="77" t="s">
        <v>576</v>
      </c>
      <c r="X3" s="76"/>
    </row>
    <row r="4" spans="1:24" ht="105" customHeight="1">
      <c r="A4" s="204">
        <v>3</v>
      </c>
      <c r="B4" s="203" t="s">
        <v>4099</v>
      </c>
      <c r="C4" s="204" t="s">
        <v>3978</v>
      </c>
      <c r="D4" s="205" t="s">
        <v>4104</v>
      </c>
      <c r="E4" s="203" t="s">
        <v>4105</v>
      </c>
      <c r="F4" s="209">
        <v>3</v>
      </c>
      <c r="G4" s="197">
        <v>3</v>
      </c>
      <c r="H4" s="77" t="s">
        <v>319</v>
      </c>
      <c r="I4" s="77" t="s">
        <v>315</v>
      </c>
      <c r="J4" s="124" t="s">
        <v>3979</v>
      </c>
      <c r="K4" s="77" t="s">
        <v>315</v>
      </c>
      <c r="L4" s="124" t="s">
        <v>3979</v>
      </c>
      <c r="M4" s="145" t="s">
        <v>4103</v>
      </c>
      <c r="N4" s="121">
        <v>45510</v>
      </c>
      <c r="O4" s="121">
        <v>45510</v>
      </c>
      <c r="P4" s="197" t="s">
        <v>317</v>
      </c>
      <c r="Q4" s="124" t="s">
        <v>3979</v>
      </c>
      <c r="R4" s="47" t="s">
        <v>3981</v>
      </c>
      <c r="S4" s="121">
        <v>45510</v>
      </c>
      <c r="T4" s="124" t="s">
        <v>3979</v>
      </c>
      <c r="U4" s="124" t="s">
        <v>3979</v>
      </c>
      <c r="V4" s="124" t="s">
        <v>3979</v>
      </c>
      <c r="W4" s="77" t="s">
        <v>576</v>
      </c>
      <c r="X4" s="76"/>
    </row>
    <row r="5" spans="1:24" ht="58.5" customHeight="1">
      <c r="A5" s="204">
        <v>4</v>
      </c>
      <c r="B5" s="203" t="s">
        <v>4099</v>
      </c>
      <c r="C5" s="203" t="s">
        <v>315</v>
      </c>
      <c r="D5" s="205" t="s">
        <v>4106</v>
      </c>
      <c r="E5" s="203" t="s">
        <v>4107</v>
      </c>
      <c r="F5" s="207">
        <v>5</v>
      </c>
      <c r="G5" s="197">
        <v>5</v>
      </c>
      <c r="H5" s="197" t="s">
        <v>320</v>
      </c>
      <c r="I5" s="197" t="s">
        <v>320</v>
      </c>
      <c r="J5" s="197" t="s">
        <v>320</v>
      </c>
      <c r="K5" s="197" t="s">
        <v>320</v>
      </c>
      <c r="L5" s="197" t="s">
        <v>320</v>
      </c>
      <c r="M5" s="112" t="s">
        <v>4042</v>
      </c>
      <c r="N5" s="197" t="s">
        <v>320</v>
      </c>
      <c r="O5" s="197" t="s">
        <v>320</v>
      </c>
      <c r="P5" s="197" t="s">
        <v>320</v>
      </c>
      <c r="Q5" s="197" t="s">
        <v>320</v>
      </c>
      <c r="R5" s="197" t="s">
        <v>320</v>
      </c>
      <c r="S5" s="197" t="s">
        <v>320</v>
      </c>
      <c r="T5" s="197" t="s">
        <v>320</v>
      </c>
      <c r="U5" s="197" t="s">
        <v>320</v>
      </c>
      <c r="V5" s="197" t="s">
        <v>320</v>
      </c>
      <c r="W5" s="93" t="s">
        <v>576</v>
      </c>
      <c r="X5" s="63" t="s">
        <v>4108</v>
      </c>
    </row>
    <row r="6" spans="1:24" ht="96" customHeight="1">
      <c r="A6" s="210">
        <v>5</v>
      </c>
      <c r="B6" s="77" t="s">
        <v>4099</v>
      </c>
      <c r="C6" s="197" t="s">
        <v>3978</v>
      </c>
      <c r="D6" s="212" t="s">
        <v>4109</v>
      </c>
      <c r="E6" s="211" t="s">
        <v>4110</v>
      </c>
      <c r="F6" s="197">
        <v>2</v>
      </c>
      <c r="G6" s="197">
        <v>2</v>
      </c>
      <c r="H6" s="77" t="s">
        <v>319</v>
      </c>
      <c r="I6" s="77" t="s">
        <v>315</v>
      </c>
      <c r="J6" s="124" t="s">
        <v>3979</v>
      </c>
      <c r="K6" s="77" t="s">
        <v>315</v>
      </c>
      <c r="L6" s="124" t="s">
        <v>3979</v>
      </c>
      <c r="M6" s="145" t="s">
        <v>4111</v>
      </c>
      <c r="N6" s="121">
        <v>45503</v>
      </c>
      <c r="O6" s="121">
        <v>45503</v>
      </c>
      <c r="P6" s="197" t="s">
        <v>317</v>
      </c>
      <c r="Q6" s="124" t="s">
        <v>3979</v>
      </c>
      <c r="R6" s="47" t="s">
        <v>3981</v>
      </c>
      <c r="S6" s="121">
        <v>45503</v>
      </c>
      <c r="T6" s="124" t="s">
        <v>3979</v>
      </c>
      <c r="U6" s="124" t="s">
        <v>3979</v>
      </c>
      <c r="V6" s="124" t="s">
        <v>3979</v>
      </c>
      <c r="W6" s="77" t="s">
        <v>576</v>
      </c>
      <c r="X6" s="76"/>
    </row>
    <row r="7" spans="1:24" ht="84">
      <c r="A7" s="147">
        <v>6</v>
      </c>
      <c r="B7" s="77" t="s">
        <v>4099</v>
      </c>
      <c r="C7" s="203" t="s">
        <v>315</v>
      </c>
      <c r="D7" s="188">
        <v>45384</v>
      </c>
      <c r="E7" s="189" t="s">
        <v>4112</v>
      </c>
      <c r="F7" s="197">
        <v>2</v>
      </c>
      <c r="G7" s="197">
        <v>2</v>
      </c>
      <c r="H7" s="146" t="s">
        <v>319</v>
      </c>
      <c r="I7" s="197" t="s">
        <v>3978</v>
      </c>
      <c r="J7" s="124" t="s">
        <v>3979</v>
      </c>
      <c r="K7" s="197" t="s">
        <v>3978</v>
      </c>
      <c r="L7" s="124" t="s">
        <v>3979</v>
      </c>
      <c r="M7" s="112" t="s">
        <v>4113</v>
      </c>
      <c r="N7" s="121">
        <v>45510</v>
      </c>
      <c r="O7" s="121">
        <v>45510</v>
      </c>
      <c r="P7" s="197" t="s">
        <v>317</v>
      </c>
      <c r="Q7" s="124" t="s">
        <v>3979</v>
      </c>
      <c r="R7" s="47" t="s">
        <v>3981</v>
      </c>
      <c r="S7" s="121">
        <v>45510</v>
      </c>
      <c r="T7" s="124" t="s">
        <v>3979</v>
      </c>
      <c r="U7" s="124" t="s">
        <v>3979</v>
      </c>
      <c r="V7" s="124" t="s">
        <v>3979</v>
      </c>
      <c r="W7" s="77" t="s">
        <v>576</v>
      </c>
      <c r="X7" s="63"/>
    </row>
    <row r="8" spans="1:24">
      <c r="A8" s="147"/>
      <c r="B8" s="146"/>
      <c r="C8" s="147"/>
      <c r="D8" s="147"/>
      <c r="E8" s="189"/>
      <c r="F8" s="189"/>
      <c r="G8" s="189"/>
      <c r="H8" s="189"/>
      <c r="I8" s="147"/>
      <c r="J8" s="147"/>
      <c r="K8" s="147"/>
      <c r="L8" s="147"/>
      <c r="M8" s="147"/>
      <c r="N8" s="147"/>
      <c r="O8" s="147"/>
      <c r="P8" s="147"/>
      <c r="Q8" s="147"/>
      <c r="R8" s="147"/>
      <c r="S8" s="147"/>
      <c r="T8" s="147"/>
      <c r="U8" s="147"/>
      <c r="V8" s="147"/>
      <c r="W8" s="93"/>
      <c r="X8" s="63"/>
    </row>
    <row r="9" spans="1:24">
      <c r="A9" s="190"/>
      <c r="B9" s="146"/>
      <c r="C9" s="190"/>
      <c r="D9" s="190"/>
      <c r="E9" s="189"/>
      <c r="F9" s="189"/>
      <c r="G9" s="189"/>
      <c r="H9" s="189"/>
      <c r="I9" s="190"/>
      <c r="J9" s="191"/>
      <c r="K9" s="190"/>
      <c r="L9" s="191"/>
      <c r="M9" s="192"/>
      <c r="N9" s="193"/>
      <c r="O9" s="193"/>
      <c r="P9" s="190"/>
      <c r="Q9" s="191"/>
      <c r="R9" s="194"/>
      <c r="S9" s="193"/>
      <c r="T9" s="191"/>
      <c r="U9" s="191"/>
      <c r="V9" s="191"/>
      <c r="W9" s="93"/>
      <c r="X9" s="63"/>
    </row>
    <row r="10" spans="1:24">
      <c r="A10" s="147"/>
      <c r="B10" s="77"/>
      <c r="C10" s="198"/>
      <c r="D10" s="147"/>
      <c r="E10" s="146"/>
      <c r="F10" s="147"/>
      <c r="G10" s="147"/>
      <c r="H10" s="147"/>
      <c r="I10" s="147"/>
      <c r="J10" s="176"/>
      <c r="K10" s="147"/>
      <c r="L10" s="176"/>
      <c r="M10" s="112"/>
      <c r="N10" s="195"/>
      <c r="O10" s="195"/>
      <c r="P10" s="147"/>
      <c r="Q10" s="146"/>
      <c r="R10" s="176"/>
      <c r="S10" s="195"/>
      <c r="T10" s="176"/>
      <c r="U10" s="176"/>
      <c r="V10" s="176"/>
      <c r="W10" s="147"/>
      <c r="X10" s="147"/>
    </row>
  </sheetData>
  <dataValidations count="1">
    <dataValidation type="list" allowBlank="1" showErrorMessage="1" sqref="W2:W10" xr:uid="{309E4EC2-7198-4774-9038-1900922D1739}">
      <formula1>"Open,Inprogress,Closed"</formula1>
    </dataValidation>
  </dataValidations>
  <hyperlinks>
    <hyperlink ref="M3" r:id="rId1" xr:uid="{E2952C16-19E6-4B0C-9A51-4010F9F52667}"/>
    <hyperlink ref="M4" r:id="rId2" xr:uid="{48085E6F-2882-4636-A37A-A40E6F319374}"/>
    <hyperlink ref="M2" r:id="rId3" xr:uid="{1D970E74-21FD-4449-95C7-52AFB3582648}"/>
    <hyperlink ref="M7" r:id="rId4" xr:uid="{7DE2BA92-2BD2-4C74-9D22-29630EDD7934}"/>
    <hyperlink ref="M6" r:id="rId5" xr:uid="{F918018C-B4C3-4C09-ABA5-2BDAA9CD047A}"/>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14F2-837C-4766-A737-9C514C618DBE}">
  <dimension ref="A1:K9"/>
  <sheetViews>
    <sheetView workbookViewId="0"/>
  </sheetViews>
  <sheetFormatPr defaultRowHeight="12.75"/>
  <cols>
    <col min="3" max="3" width="32.42578125" customWidth="1"/>
    <col min="4" max="4" width="17.42578125" customWidth="1"/>
    <col min="5" max="5" width="17.85546875" customWidth="1"/>
    <col min="6" max="6" width="76.5703125" customWidth="1"/>
  </cols>
  <sheetData>
    <row r="1" spans="1:11" ht="40.5">
      <c r="A1" s="155" t="s">
        <v>266</v>
      </c>
      <c r="B1" s="104" t="s">
        <v>10</v>
      </c>
      <c r="C1" s="105" t="s">
        <v>267</v>
      </c>
      <c r="D1" s="104" t="s">
        <v>269</v>
      </c>
      <c r="E1" s="61" t="s">
        <v>270</v>
      </c>
      <c r="F1" s="61" t="s">
        <v>271</v>
      </c>
      <c r="G1" s="104" t="s">
        <v>272</v>
      </c>
      <c r="H1" s="104" t="s">
        <v>274</v>
      </c>
      <c r="I1" s="104" t="s">
        <v>275</v>
      </c>
      <c r="J1" s="106" t="s">
        <v>276</v>
      </c>
      <c r="K1" s="107" t="s">
        <v>277</v>
      </c>
    </row>
    <row r="2" spans="1:11" ht="29.25" customHeight="1">
      <c r="A2" s="146">
        <v>1</v>
      </c>
      <c r="B2" s="146" t="s">
        <v>4114</v>
      </c>
      <c r="C2" s="146">
        <v>23468</v>
      </c>
      <c r="D2" s="146" t="s">
        <v>3978</v>
      </c>
      <c r="E2" s="166" t="s">
        <v>522</v>
      </c>
      <c r="F2" s="146" t="s">
        <v>4105</v>
      </c>
      <c r="G2" s="167" t="s">
        <v>1670</v>
      </c>
      <c r="H2" s="165" t="s">
        <v>525</v>
      </c>
      <c r="I2" s="165" t="s">
        <v>576</v>
      </c>
      <c r="J2" s="165" t="s">
        <v>529</v>
      </c>
      <c r="K2" s="146"/>
    </row>
    <row r="3" spans="1:11" ht="54" customHeight="1">
      <c r="A3" s="147">
        <v>2</v>
      </c>
      <c r="B3" s="146" t="s">
        <v>4115</v>
      </c>
      <c r="C3" s="147">
        <v>43294</v>
      </c>
      <c r="D3" s="146" t="s">
        <v>4046</v>
      </c>
      <c r="E3" s="166" t="s">
        <v>3503</v>
      </c>
      <c r="F3" s="146" t="s">
        <v>4116</v>
      </c>
      <c r="G3" s="167" t="s">
        <v>524</v>
      </c>
      <c r="H3" s="165" t="s">
        <v>525</v>
      </c>
      <c r="I3" s="165" t="s">
        <v>576</v>
      </c>
      <c r="J3" s="165" t="s">
        <v>526</v>
      </c>
      <c r="K3" s="147"/>
    </row>
    <row r="4" spans="1:11" ht="126" customHeight="1">
      <c r="A4" s="147">
        <v>3</v>
      </c>
      <c r="B4" s="146"/>
      <c r="C4" s="147" t="s">
        <v>4117</v>
      </c>
      <c r="D4" s="146" t="s">
        <v>4046</v>
      </c>
      <c r="E4" s="166" t="s">
        <v>3503</v>
      </c>
      <c r="F4" s="146" t="s">
        <v>4118</v>
      </c>
      <c r="G4" s="167" t="s">
        <v>524</v>
      </c>
      <c r="H4" s="165" t="s">
        <v>525</v>
      </c>
      <c r="I4" s="165" t="s">
        <v>576</v>
      </c>
      <c r="J4" s="165" t="s">
        <v>526</v>
      </c>
      <c r="K4" s="147"/>
    </row>
    <row r="5" spans="1:11" ht="45" customHeight="1">
      <c r="A5" s="146">
        <v>4</v>
      </c>
      <c r="B5" s="146"/>
      <c r="C5" s="146">
        <v>45384</v>
      </c>
      <c r="D5" s="146" t="s">
        <v>4046</v>
      </c>
      <c r="E5" s="166" t="s">
        <v>3503</v>
      </c>
      <c r="F5" s="146" t="s">
        <v>4119</v>
      </c>
      <c r="G5" s="167" t="s">
        <v>524</v>
      </c>
      <c r="H5" s="165" t="s">
        <v>525</v>
      </c>
      <c r="I5" s="165" t="s">
        <v>576</v>
      </c>
      <c r="J5" s="165" t="s">
        <v>526</v>
      </c>
      <c r="K5" s="147"/>
    </row>
    <row r="6" spans="1:11">
      <c r="A6" s="146"/>
      <c r="B6" s="146"/>
      <c r="C6" s="189"/>
      <c r="D6" s="189"/>
      <c r="E6" s="189"/>
      <c r="F6" s="189"/>
      <c r="G6" s="189"/>
      <c r="H6" s="165"/>
      <c r="I6" s="165"/>
      <c r="J6" s="189"/>
      <c r="K6" s="189"/>
    </row>
    <row r="7" spans="1:11">
      <c r="A7" s="146"/>
      <c r="B7" s="146"/>
      <c r="C7" s="146"/>
      <c r="D7" s="146"/>
      <c r="E7" s="146"/>
      <c r="F7" s="146"/>
      <c r="G7" s="146"/>
      <c r="H7" s="165"/>
      <c r="I7" s="165"/>
      <c r="J7" s="146"/>
      <c r="K7" s="146"/>
    </row>
    <row r="8" spans="1:11">
      <c r="A8" s="93"/>
      <c r="B8" s="93"/>
      <c r="C8" s="93"/>
      <c r="D8" s="93"/>
      <c r="E8" s="93"/>
      <c r="F8" s="93"/>
      <c r="G8" s="93"/>
      <c r="H8" s="93"/>
      <c r="I8" s="93"/>
      <c r="J8" s="93"/>
      <c r="K8" s="93"/>
    </row>
    <row r="9" spans="1:11">
      <c r="A9" s="93"/>
      <c r="B9" s="93"/>
      <c r="C9" s="93"/>
      <c r="D9" s="93"/>
      <c r="E9" s="93"/>
      <c r="F9" s="93"/>
      <c r="G9" s="93"/>
      <c r="H9" s="93"/>
      <c r="I9" s="93"/>
      <c r="J9" s="93"/>
      <c r="K9" s="93"/>
    </row>
  </sheetData>
  <dataValidations count="4">
    <dataValidation type="list" allowBlank="1" showErrorMessage="1" sqref="G2:G5" xr:uid="{E6C93D23-F852-4669-8B61-98A6DDCEABB0}">
      <formula1>"Minor,Significant,Major"</formula1>
    </dataValidation>
    <dataValidation type="list" allowBlank="1" showErrorMessage="1" sqref="H2:H7" xr:uid="{42F2B5E4-9B3C-45D5-95E4-CFDBE2428391}">
      <formula1>"Internal,External"</formula1>
    </dataValidation>
    <dataValidation type="list" allowBlank="1" showErrorMessage="1" sqref="I2:I7" xr:uid="{A2147DDF-B3AF-4579-BB7F-CDB6D5DFCFDF}">
      <formula1>"Open,Inprogress,Closed"</formula1>
    </dataValidation>
    <dataValidation type="list" allowBlank="1" showErrorMessage="1" sqref="E2:E5" xr:uid="{18DDE3FB-BBAB-485D-ADD9-420B42505E63}">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F41C23E-E9EA-457B-9F1C-358DA2972B83}">
          <x14:formula1>
            <xm:f>Details!$A$2:$A$10</xm:f>
          </x14:formula1>
          <xm:sqref>J2:J5</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F0417-6649-4BB3-A64B-7112F85B0C55}">
  <dimension ref="A1:X7"/>
  <sheetViews>
    <sheetView workbookViewId="0">
      <pane xSplit="5" topLeftCell="F5" activePane="topRight" state="frozen"/>
      <selection pane="topRight" activeCell="F5" sqref="F2:F5"/>
    </sheetView>
  </sheetViews>
  <sheetFormatPr defaultColWidth="14.5703125" defaultRowHeight="12.75"/>
  <cols>
    <col min="1" max="1" width="4.7109375" bestFit="1" customWidth="1"/>
    <col min="3" max="3" width="23.5703125" customWidth="1"/>
    <col min="5" max="5" width="41.140625" customWidth="1"/>
    <col min="13" max="13" width="25.7109375" customWidth="1"/>
  </cols>
  <sheetData>
    <row r="1" spans="1:24" ht="53.25">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4065</v>
      </c>
      <c r="Q1" s="98" t="s">
        <v>1201</v>
      </c>
      <c r="R1" s="98" t="s">
        <v>4066</v>
      </c>
      <c r="S1" s="98" t="s">
        <v>1202</v>
      </c>
      <c r="T1" s="98" t="s">
        <v>1201</v>
      </c>
      <c r="U1" s="98" t="s">
        <v>299</v>
      </c>
      <c r="V1" s="98" t="s">
        <v>300</v>
      </c>
      <c r="W1" s="98" t="s">
        <v>275</v>
      </c>
      <c r="X1" s="156" t="s">
        <v>277</v>
      </c>
    </row>
    <row r="2" spans="1:24" s="64" customFormat="1" ht="24">
      <c r="A2" s="146">
        <v>1</v>
      </c>
      <c r="B2" s="146" t="s">
        <v>4115</v>
      </c>
      <c r="C2" s="182" t="s">
        <v>1229</v>
      </c>
      <c r="D2" s="146">
        <v>45235</v>
      </c>
      <c r="E2" s="64" t="s">
        <v>4120</v>
      </c>
      <c r="F2" s="146">
        <v>5</v>
      </c>
      <c r="G2" s="146">
        <v>5</v>
      </c>
      <c r="H2" s="146"/>
      <c r="I2" s="146"/>
      <c r="J2" s="176"/>
      <c r="K2" s="146"/>
      <c r="L2" s="176"/>
      <c r="M2" s="112"/>
      <c r="N2" s="177"/>
      <c r="O2" s="178"/>
      <c r="P2" s="146"/>
      <c r="Q2" s="176"/>
      <c r="R2" s="179"/>
      <c r="S2" s="178"/>
      <c r="T2" s="176"/>
      <c r="U2" s="176"/>
      <c r="V2" s="176"/>
      <c r="W2" s="146" t="s">
        <v>576</v>
      </c>
      <c r="X2" s="63"/>
    </row>
    <row r="3" spans="1:24" s="150" customFormat="1" ht="36">
      <c r="A3" s="147">
        <v>2</v>
      </c>
      <c r="B3" s="146" t="s">
        <v>4115</v>
      </c>
      <c r="C3" s="159" t="s">
        <v>2251</v>
      </c>
      <c r="D3" s="181">
        <v>45376</v>
      </c>
      <c r="E3" s="160" t="s">
        <v>4121</v>
      </c>
      <c r="F3" s="147">
        <v>1</v>
      </c>
      <c r="G3" s="147">
        <v>4</v>
      </c>
      <c r="H3" s="147" t="s">
        <v>434</v>
      </c>
      <c r="I3" s="147" t="s">
        <v>434</v>
      </c>
      <c r="J3" s="176" t="s">
        <v>434</v>
      </c>
      <c r="K3" s="147" t="s">
        <v>434</v>
      </c>
      <c r="L3" s="176" t="s">
        <v>434</v>
      </c>
      <c r="M3" s="112" t="s">
        <v>434</v>
      </c>
      <c r="N3" s="180" t="s">
        <v>434</v>
      </c>
      <c r="O3" s="178" t="s">
        <v>434</v>
      </c>
      <c r="P3" s="147" t="s">
        <v>434</v>
      </c>
      <c r="Q3" s="176" t="s">
        <v>434</v>
      </c>
      <c r="R3" s="179" t="s">
        <v>434</v>
      </c>
      <c r="S3" s="178" t="s">
        <v>434</v>
      </c>
      <c r="T3" s="176" t="s">
        <v>434</v>
      </c>
      <c r="U3" s="176" t="s">
        <v>434</v>
      </c>
      <c r="V3" s="176" t="s">
        <v>434</v>
      </c>
      <c r="W3" s="146" t="s">
        <v>576</v>
      </c>
      <c r="X3" s="63" t="s">
        <v>4122</v>
      </c>
    </row>
    <row r="4" spans="1:24" s="201" customFormat="1" ht="93.75" customHeight="1">
      <c r="A4" s="197">
        <v>3</v>
      </c>
      <c r="B4" s="77" t="s">
        <v>4115</v>
      </c>
      <c r="C4" s="198" t="s">
        <v>3978</v>
      </c>
      <c r="D4" s="199">
        <v>45382</v>
      </c>
      <c r="E4" s="200" t="s">
        <v>4123</v>
      </c>
      <c r="F4" s="197">
        <v>13</v>
      </c>
      <c r="G4" s="197">
        <v>13</v>
      </c>
      <c r="H4" s="197" t="s">
        <v>319</v>
      </c>
      <c r="I4" s="197" t="s">
        <v>315</v>
      </c>
      <c r="J4" s="124" t="s">
        <v>3979</v>
      </c>
      <c r="K4" s="93" t="s">
        <v>315</v>
      </c>
      <c r="L4" s="124" t="s">
        <v>3979</v>
      </c>
      <c r="M4" s="145" t="s">
        <v>4124</v>
      </c>
      <c r="N4" s="121">
        <v>45498</v>
      </c>
      <c r="O4" s="121">
        <v>45498</v>
      </c>
      <c r="P4" s="47" t="s">
        <v>3981</v>
      </c>
      <c r="Q4" s="124" t="s">
        <v>3979</v>
      </c>
      <c r="R4" s="47" t="s">
        <v>3981</v>
      </c>
      <c r="S4" s="121">
        <v>45498</v>
      </c>
      <c r="T4" s="124" t="s">
        <v>3979</v>
      </c>
      <c r="U4" s="124" t="s">
        <v>3979</v>
      </c>
      <c r="V4" s="124" t="s">
        <v>3979</v>
      </c>
      <c r="W4" s="77" t="s">
        <v>576</v>
      </c>
      <c r="X4" s="76"/>
    </row>
    <row r="5" spans="1:24" s="150" customFormat="1" ht="93.75" customHeight="1">
      <c r="A5" s="147">
        <v>4</v>
      </c>
      <c r="B5" s="146" t="s">
        <v>4115</v>
      </c>
      <c r="C5" s="159" t="s">
        <v>4125</v>
      </c>
      <c r="D5" s="184">
        <v>45384</v>
      </c>
      <c r="E5" s="208" t="s">
        <v>4126</v>
      </c>
      <c r="F5" s="147">
        <v>13</v>
      </c>
      <c r="G5" s="197">
        <v>13</v>
      </c>
      <c r="H5" s="197" t="s">
        <v>319</v>
      </c>
      <c r="I5" s="197" t="s">
        <v>317</v>
      </c>
      <c r="J5" s="124" t="s">
        <v>3979</v>
      </c>
      <c r="K5" s="197" t="s">
        <v>317</v>
      </c>
      <c r="L5" s="124" t="s">
        <v>3979</v>
      </c>
      <c r="M5" s="112" t="s">
        <v>4127</v>
      </c>
      <c r="N5" s="121">
        <v>45502</v>
      </c>
      <c r="O5" s="121">
        <v>45502</v>
      </c>
      <c r="P5" s="47" t="s">
        <v>3981</v>
      </c>
      <c r="Q5" s="124" t="s">
        <v>3979</v>
      </c>
      <c r="R5" s="47" t="s">
        <v>3981</v>
      </c>
      <c r="S5" s="121">
        <v>45502</v>
      </c>
      <c r="T5" s="124" t="s">
        <v>3979</v>
      </c>
      <c r="U5" s="124" t="s">
        <v>3979</v>
      </c>
      <c r="V5" s="124" t="s">
        <v>3979</v>
      </c>
      <c r="W5" s="93" t="s">
        <v>576</v>
      </c>
      <c r="X5" s="63"/>
    </row>
    <row r="6" spans="1:24" s="150" customFormat="1" ht="24">
      <c r="A6" s="147">
        <v>5</v>
      </c>
      <c r="B6" s="146" t="s">
        <v>4128</v>
      </c>
      <c r="C6" s="159" t="s">
        <v>4129</v>
      </c>
      <c r="D6" s="181">
        <v>43294</v>
      </c>
      <c r="E6" s="160" t="s">
        <v>4130</v>
      </c>
      <c r="F6" s="147">
        <v>3</v>
      </c>
      <c r="G6" s="147" t="s">
        <v>434</v>
      </c>
      <c r="H6" s="147" t="s">
        <v>434</v>
      </c>
      <c r="I6" s="147" t="s">
        <v>434</v>
      </c>
      <c r="J6" s="147" t="s">
        <v>434</v>
      </c>
      <c r="K6" s="147" t="s">
        <v>434</v>
      </c>
      <c r="L6" s="147" t="s">
        <v>434</v>
      </c>
      <c r="M6" s="147" t="s">
        <v>434</v>
      </c>
      <c r="N6" s="147" t="s">
        <v>434</v>
      </c>
      <c r="O6" s="147"/>
      <c r="P6" s="147"/>
      <c r="Q6" s="147"/>
      <c r="R6" s="147"/>
      <c r="S6" s="147"/>
      <c r="T6" s="147"/>
      <c r="U6" s="147"/>
      <c r="V6" s="147"/>
      <c r="W6" s="147" t="s">
        <v>576</v>
      </c>
      <c r="X6" s="63" t="s">
        <v>4131</v>
      </c>
    </row>
    <row r="7" spans="1:24" s="150" customFormat="1">
      <c r="A7" s="147"/>
      <c r="B7" s="77"/>
      <c r="C7" s="198"/>
      <c r="D7" s="147"/>
      <c r="E7" s="146"/>
      <c r="F7" s="147"/>
      <c r="G7" s="147"/>
      <c r="H7" s="147"/>
      <c r="I7" s="147"/>
      <c r="J7" s="176"/>
      <c r="K7" s="147"/>
      <c r="L7" s="176"/>
      <c r="M7" s="112"/>
      <c r="N7" s="195"/>
      <c r="O7" s="195"/>
      <c r="P7" s="147"/>
      <c r="Q7" s="146"/>
      <c r="R7" s="176"/>
      <c r="S7" s="195"/>
      <c r="T7" s="176"/>
      <c r="U7" s="176"/>
      <c r="V7" s="176"/>
      <c r="W7" s="147"/>
      <c r="X7" s="147"/>
    </row>
  </sheetData>
  <dataValidations count="1">
    <dataValidation type="list" allowBlank="1" showErrorMessage="1" sqref="W2:W7" xr:uid="{5F956044-9251-4836-A4FA-9F4AF7E5DCB7}">
      <formula1>"Open,Inprogress,Closed"</formula1>
    </dataValidation>
  </dataValidations>
  <hyperlinks>
    <hyperlink ref="M4" r:id="rId1" xr:uid="{4D427757-1BF9-4B83-AF59-32FBACE107C5}"/>
    <hyperlink ref="M5" r:id="rId2" xr:uid="{5E27205D-CB3E-4ABF-B6CC-3CB491C534BD}"/>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7CF5F-6EE9-4DD0-AFC3-B74048AE5D07}">
  <dimension ref="A1:K7"/>
  <sheetViews>
    <sheetView workbookViewId="0">
      <pane ySplit="1" topLeftCell="A2" activePane="bottomLeft" state="frozen"/>
      <selection pane="bottomLeft" activeCell="H7" sqref="H7"/>
    </sheetView>
  </sheetViews>
  <sheetFormatPr defaultColWidth="12.42578125" defaultRowHeight="12.75"/>
  <cols>
    <col min="6" max="6" width="43" customWidth="1"/>
    <col min="10" max="10" width="20" customWidth="1"/>
  </cols>
  <sheetData>
    <row r="1" spans="1:11" ht="40.5">
      <c r="A1" s="98"/>
      <c r="B1" s="104" t="s">
        <v>10</v>
      </c>
      <c r="C1" s="105" t="s">
        <v>267</v>
      </c>
      <c r="D1" s="104" t="s">
        <v>269</v>
      </c>
      <c r="E1" s="61" t="s">
        <v>270</v>
      </c>
      <c r="F1" s="61" t="s">
        <v>271</v>
      </c>
      <c r="G1" s="104" t="s">
        <v>272</v>
      </c>
      <c r="H1" s="104" t="s">
        <v>274</v>
      </c>
      <c r="I1" s="104" t="s">
        <v>275</v>
      </c>
      <c r="J1" s="106" t="s">
        <v>276</v>
      </c>
      <c r="K1" s="107" t="s">
        <v>277</v>
      </c>
    </row>
    <row r="2" spans="1:11" s="64" customFormat="1" ht="48">
      <c r="A2" s="146">
        <v>1</v>
      </c>
      <c r="B2" s="146" t="s">
        <v>4115</v>
      </c>
      <c r="C2" s="146">
        <v>23563</v>
      </c>
      <c r="D2" s="146" t="s">
        <v>4046</v>
      </c>
      <c r="E2" s="166" t="s">
        <v>522</v>
      </c>
      <c r="F2" s="146" t="s">
        <v>4132</v>
      </c>
      <c r="G2" s="167" t="s">
        <v>524</v>
      </c>
      <c r="H2" s="165" t="s">
        <v>525</v>
      </c>
      <c r="I2" s="165" t="s">
        <v>576</v>
      </c>
      <c r="J2" s="165" t="s">
        <v>529</v>
      </c>
      <c r="K2" s="146"/>
    </row>
    <row r="3" spans="1:11" s="150" customFormat="1" ht="36">
      <c r="A3" s="147">
        <v>2</v>
      </c>
      <c r="B3" s="146" t="s">
        <v>4115</v>
      </c>
      <c r="C3" s="147">
        <v>23632</v>
      </c>
      <c r="D3" s="146" t="s">
        <v>4046</v>
      </c>
      <c r="E3" s="166" t="s">
        <v>522</v>
      </c>
      <c r="F3" s="146" t="s">
        <v>4133</v>
      </c>
      <c r="G3" s="167" t="s">
        <v>524</v>
      </c>
      <c r="H3" s="165" t="s">
        <v>525</v>
      </c>
      <c r="I3" s="165" t="s">
        <v>576</v>
      </c>
      <c r="J3" s="165" t="s">
        <v>529</v>
      </c>
      <c r="K3" s="147"/>
    </row>
    <row r="4" spans="1:11" s="64" customFormat="1" ht="24">
      <c r="A4" s="146">
        <v>4</v>
      </c>
      <c r="B4" s="146" t="s">
        <v>4115</v>
      </c>
      <c r="C4" s="146" t="s">
        <v>4134</v>
      </c>
      <c r="D4" s="146" t="s">
        <v>4046</v>
      </c>
      <c r="E4" s="146" t="s">
        <v>522</v>
      </c>
      <c r="F4" s="146" t="s">
        <v>4135</v>
      </c>
      <c r="G4" s="146" t="s">
        <v>524</v>
      </c>
      <c r="H4" s="165" t="s">
        <v>519</v>
      </c>
      <c r="I4" s="165" t="s">
        <v>576</v>
      </c>
      <c r="J4" s="146" t="s">
        <v>529</v>
      </c>
      <c r="K4" s="196" t="s">
        <v>3974</v>
      </c>
    </row>
    <row r="5" spans="1:11" s="64" customFormat="1" ht="24">
      <c r="A5" s="146">
        <v>5</v>
      </c>
      <c r="B5" s="146" t="s">
        <v>4115</v>
      </c>
      <c r="C5" s="189" t="s">
        <v>4136</v>
      </c>
      <c r="D5" s="189" t="s">
        <v>4046</v>
      </c>
      <c r="E5" s="189" t="s">
        <v>522</v>
      </c>
      <c r="F5" s="189" t="s">
        <v>4137</v>
      </c>
      <c r="G5" s="189" t="s">
        <v>524</v>
      </c>
      <c r="H5" s="165" t="s">
        <v>519</v>
      </c>
      <c r="I5" s="165" t="s">
        <v>576</v>
      </c>
      <c r="J5" s="189" t="s">
        <v>529</v>
      </c>
      <c r="K5" s="189" t="s">
        <v>3974</v>
      </c>
    </row>
    <row r="6" spans="1:11" s="64" customFormat="1" ht="24">
      <c r="A6" s="189">
        <v>6</v>
      </c>
      <c r="B6" s="189" t="s">
        <v>4115</v>
      </c>
      <c r="C6" s="189">
        <v>23711</v>
      </c>
      <c r="D6" s="189" t="s">
        <v>4046</v>
      </c>
      <c r="E6" s="189" t="s">
        <v>522</v>
      </c>
      <c r="F6" s="189" t="s">
        <v>4110</v>
      </c>
      <c r="G6" s="189" t="s">
        <v>524</v>
      </c>
      <c r="H6" s="202" t="s">
        <v>519</v>
      </c>
      <c r="I6" s="202" t="s">
        <v>576</v>
      </c>
      <c r="J6" s="189" t="s">
        <v>529</v>
      </c>
      <c r="K6" s="189"/>
    </row>
    <row r="7" spans="1:11" ht="36">
      <c r="A7" s="93">
        <v>7</v>
      </c>
      <c r="B7" s="146" t="s">
        <v>4128</v>
      </c>
      <c r="C7" s="147">
        <v>45162</v>
      </c>
      <c r="D7" s="146" t="s">
        <v>4046</v>
      </c>
      <c r="E7" s="146" t="s">
        <v>522</v>
      </c>
      <c r="F7" s="146" t="s">
        <v>4138</v>
      </c>
      <c r="G7" s="146" t="s">
        <v>524</v>
      </c>
      <c r="H7" s="165" t="s">
        <v>525</v>
      </c>
      <c r="I7" s="165" t="s">
        <v>576</v>
      </c>
      <c r="J7" s="146" t="s">
        <v>529</v>
      </c>
      <c r="K7" s="93"/>
    </row>
  </sheetData>
  <dataValidations count="4">
    <dataValidation type="list" allowBlank="1" showErrorMessage="1" sqref="E2:E3" xr:uid="{713E7589-FCF0-4F92-82EB-184F49A11AAC}">
      <formula1>"Bounceback,Defect,None"</formula1>
    </dataValidation>
    <dataValidation type="list" allowBlank="1" showErrorMessage="1" sqref="G2:G3" xr:uid="{1E557B5F-90D6-44CA-A9DC-0FE812F6B5F5}">
      <formula1>"Minor,Significant,Major"</formula1>
    </dataValidation>
    <dataValidation type="list" allowBlank="1" showErrorMessage="1" sqref="I2:I7" xr:uid="{32F80B42-36F7-40D2-9256-33F0D7996078}">
      <formula1>"Open,Inprogress,Closed"</formula1>
    </dataValidation>
    <dataValidation type="list" allowBlank="1" showErrorMessage="1" sqref="H2:H7" xr:uid="{1A40BEBE-631F-4E7E-8B34-C7CC16000E75}">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143E49B-95E3-4709-B64E-009790FF6AF0}">
          <x14:formula1>
            <xm:f>Details!$A$2:$A$10</xm:f>
          </x14:formula1>
          <xm:sqref>J2:J3</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536CA-E106-48B4-A65C-AE9C346389E7}">
  <dimension ref="A1:BM8"/>
  <sheetViews>
    <sheetView topLeftCell="S2" workbookViewId="0">
      <selection activeCell="W4" sqref="W4"/>
    </sheetView>
  </sheetViews>
  <sheetFormatPr defaultRowHeight="12.75"/>
  <cols>
    <col min="1" max="1" width="4.7109375" bestFit="1" customWidth="1"/>
    <col min="2" max="2" width="15.85546875" customWidth="1"/>
    <col min="3" max="3" width="13" customWidth="1"/>
    <col min="4" max="4" width="12.42578125" customWidth="1"/>
    <col min="5" max="5" width="70" bestFit="1" customWidth="1"/>
    <col min="9" max="9" width="11" bestFit="1" customWidth="1"/>
    <col min="10" max="10" width="14.28515625" customWidth="1"/>
    <col min="11" max="11" width="12" customWidth="1"/>
    <col min="12" max="12" width="17.140625" customWidth="1"/>
    <col min="13" max="13" width="23.42578125" customWidth="1"/>
    <col min="14" max="14" width="10.7109375" customWidth="1"/>
    <col min="15" max="15" width="11.28515625" customWidth="1"/>
    <col min="17" max="17" width="17.42578125" customWidth="1"/>
    <col min="18" max="18" width="14.85546875" customWidth="1"/>
    <col min="20" max="20" width="15.42578125" customWidth="1"/>
    <col min="21" max="21" width="13.42578125" customWidth="1"/>
    <col min="22" max="22" width="16.140625" customWidth="1"/>
    <col min="23" max="23" width="13.140625" customWidth="1"/>
    <col min="24" max="24" width="24.140625" customWidth="1"/>
  </cols>
  <sheetData>
    <row r="1" spans="1:65" ht="34.5" customHeight="1">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4065</v>
      </c>
      <c r="Q1" s="98" t="s">
        <v>1201</v>
      </c>
      <c r="R1" s="98" t="s">
        <v>4066</v>
      </c>
      <c r="S1" s="98" t="s">
        <v>1202</v>
      </c>
      <c r="T1" s="98" t="s">
        <v>1201</v>
      </c>
      <c r="U1" s="98" t="s">
        <v>299</v>
      </c>
      <c r="V1" s="98" t="s">
        <v>300</v>
      </c>
      <c r="W1" s="98" t="s">
        <v>275</v>
      </c>
      <c r="X1" s="156" t="s">
        <v>277</v>
      </c>
    </row>
    <row r="2" spans="1:65" s="93" customFormat="1" ht="72">
      <c r="A2" s="706">
        <v>1</v>
      </c>
      <c r="B2" s="706" t="s">
        <v>4139</v>
      </c>
      <c r="C2" s="93" t="s">
        <v>2038</v>
      </c>
      <c r="D2" s="706">
        <v>45239</v>
      </c>
      <c r="E2" s="709" t="s">
        <v>4140</v>
      </c>
      <c r="F2" s="706">
        <v>3</v>
      </c>
      <c r="G2" s="706">
        <v>3</v>
      </c>
      <c r="H2" s="93" t="s">
        <v>320</v>
      </c>
      <c r="I2" s="93" t="s">
        <v>320</v>
      </c>
      <c r="J2" s="124" t="s">
        <v>320</v>
      </c>
      <c r="K2" s="93" t="s">
        <v>320</v>
      </c>
      <c r="L2" s="124" t="s">
        <v>320</v>
      </c>
      <c r="M2" s="130" t="s">
        <v>4141</v>
      </c>
      <c r="N2" s="171">
        <v>45484</v>
      </c>
      <c r="O2" s="121">
        <v>45488</v>
      </c>
      <c r="P2" s="93" t="s">
        <v>317</v>
      </c>
      <c r="Q2" s="124" t="s">
        <v>3979</v>
      </c>
      <c r="R2" s="47" t="s">
        <v>320</v>
      </c>
      <c r="S2" s="121" t="s">
        <v>320</v>
      </c>
      <c r="T2" s="124" t="s">
        <v>320</v>
      </c>
      <c r="U2" s="186" t="s">
        <v>320</v>
      </c>
      <c r="V2" s="124" t="s">
        <v>320</v>
      </c>
      <c r="W2" s="708" t="s">
        <v>576</v>
      </c>
      <c r="X2" s="187"/>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spans="1:65" s="93" customFormat="1" ht="72">
      <c r="A3" s="707"/>
      <c r="B3" s="707"/>
      <c r="C3" s="93" t="s">
        <v>4142</v>
      </c>
      <c r="D3" s="707"/>
      <c r="E3" s="710"/>
      <c r="F3" s="707"/>
      <c r="G3" s="707"/>
      <c r="H3" s="93" t="s">
        <v>320</v>
      </c>
      <c r="I3" s="93" t="s">
        <v>320</v>
      </c>
      <c r="J3" s="124" t="s">
        <v>320</v>
      </c>
      <c r="K3" s="93" t="s">
        <v>320</v>
      </c>
      <c r="L3" s="124" t="s">
        <v>320</v>
      </c>
      <c r="M3" s="130" t="s">
        <v>4143</v>
      </c>
      <c r="N3" s="171">
        <v>45488</v>
      </c>
      <c r="O3" s="121">
        <v>45489</v>
      </c>
      <c r="P3" s="93" t="s">
        <v>317</v>
      </c>
      <c r="Q3" s="124" t="s">
        <v>3979</v>
      </c>
      <c r="R3" s="47" t="s">
        <v>320</v>
      </c>
      <c r="S3" s="121" t="s">
        <v>320</v>
      </c>
      <c r="T3" s="124" t="s">
        <v>320</v>
      </c>
      <c r="U3" s="186" t="s">
        <v>320</v>
      </c>
      <c r="V3" s="124" t="s">
        <v>320</v>
      </c>
      <c r="W3" s="708"/>
      <c r="X3" s="187"/>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row>
    <row r="4" spans="1:65" s="93" customFormat="1" ht="24">
      <c r="A4" s="93">
        <v>2</v>
      </c>
      <c r="B4" s="93" t="s">
        <v>4139</v>
      </c>
      <c r="C4" s="93" t="s">
        <v>4144</v>
      </c>
      <c r="D4" s="93">
        <v>45233</v>
      </c>
      <c r="E4" s="96" t="s">
        <v>4145</v>
      </c>
      <c r="F4" s="143">
        <v>5</v>
      </c>
      <c r="G4" s="143">
        <v>5</v>
      </c>
      <c r="H4" s="93" t="s">
        <v>320</v>
      </c>
      <c r="I4" s="93" t="s">
        <v>320</v>
      </c>
      <c r="J4" s="93" t="s">
        <v>320</v>
      </c>
      <c r="K4" s="93" t="s">
        <v>320</v>
      </c>
      <c r="L4" s="93" t="s">
        <v>320</v>
      </c>
      <c r="M4" s="93" t="s">
        <v>4146</v>
      </c>
      <c r="N4" s="47" t="s">
        <v>320</v>
      </c>
      <c r="O4" s="47" t="s">
        <v>320</v>
      </c>
      <c r="P4" s="47" t="s">
        <v>320</v>
      </c>
      <c r="Q4" s="47" t="s">
        <v>320</v>
      </c>
      <c r="R4" s="47" t="s">
        <v>320</v>
      </c>
      <c r="S4" s="121" t="s">
        <v>320</v>
      </c>
      <c r="T4" s="124" t="s">
        <v>320</v>
      </c>
      <c r="U4" s="186" t="s">
        <v>320</v>
      </c>
      <c r="V4" s="124" t="s">
        <v>320</v>
      </c>
      <c r="W4" s="93" t="s">
        <v>576</v>
      </c>
      <c r="X4" s="76" t="s">
        <v>4147</v>
      </c>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row>
    <row r="5" spans="1:65" s="93" customFormat="1" ht="24">
      <c r="A5" s="93">
        <v>3</v>
      </c>
      <c r="B5" s="93" t="s">
        <v>4139</v>
      </c>
      <c r="C5" s="93" t="s">
        <v>4144</v>
      </c>
      <c r="D5" s="93">
        <v>45234</v>
      </c>
      <c r="E5" s="119" t="s">
        <v>4148</v>
      </c>
      <c r="F5" s="185">
        <v>5</v>
      </c>
      <c r="G5" s="185">
        <v>5</v>
      </c>
      <c r="H5" s="93" t="s">
        <v>320</v>
      </c>
      <c r="I5" s="93" t="s">
        <v>320</v>
      </c>
      <c r="J5" s="93" t="s">
        <v>320</v>
      </c>
      <c r="K5" s="93" t="s">
        <v>320</v>
      </c>
      <c r="L5" s="93" t="s">
        <v>320</v>
      </c>
      <c r="M5" s="93" t="s">
        <v>4146</v>
      </c>
      <c r="N5" s="47" t="s">
        <v>320</v>
      </c>
      <c r="O5" s="47" t="s">
        <v>320</v>
      </c>
      <c r="P5" s="47" t="s">
        <v>320</v>
      </c>
      <c r="Q5" s="47" t="s">
        <v>320</v>
      </c>
      <c r="R5" s="47" t="s">
        <v>320</v>
      </c>
      <c r="S5" s="121" t="s">
        <v>320</v>
      </c>
      <c r="T5" s="124" t="s">
        <v>320</v>
      </c>
      <c r="U5" s="186" t="s">
        <v>320</v>
      </c>
      <c r="V5" s="124" t="s">
        <v>320</v>
      </c>
      <c r="W5" s="93" t="s">
        <v>576</v>
      </c>
      <c r="X5" s="76" t="s">
        <v>4147</v>
      </c>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row>
    <row r="6" spans="1:65" ht="24">
      <c r="A6" s="93">
        <v>4</v>
      </c>
      <c r="B6" s="93" t="s">
        <v>4139</v>
      </c>
      <c r="C6" s="93" t="s">
        <v>4149</v>
      </c>
      <c r="D6" s="93">
        <v>45235</v>
      </c>
      <c r="E6" s="119" t="s">
        <v>4150</v>
      </c>
      <c r="F6" s="185">
        <v>5</v>
      </c>
      <c r="G6" s="185">
        <v>0</v>
      </c>
      <c r="H6" s="119"/>
      <c r="I6" s="93"/>
      <c r="J6" s="93"/>
      <c r="K6" s="93"/>
      <c r="L6" s="93"/>
      <c r="M6" s="93"/>
      <c r="N6" s="93"/>
      <c r="O6" s="93"/>
      <c r="P6" s="93"/>
      <c r="Q6" s="93"/>
      <c r="R6" s="93"/>
      <c r="S6" s="93"/>
      <c r="T6" s="93"/>
      <c r="U6" s="93"/>
      <c r="V6" s="93"/>
      <c r="W6" s="93" t="s">
        <v>1205</v>
      </c>
      <c r="X6" s="76" t="s">
        <v>4151</v>
      </c>
    </row>
    <row r="7" spans="1:65">
      <c r="A7" s="118"/>
      <c r="B7" s="118"/>
      <c r="C7" s="118"/>
      <c r="D7" s="118"/>
      <c r="E7" s="119"/>
      <c r="F7" s="119"/>
      <c r="G7" s="119"/>
      <c r="H7" s="119"/>
      <c r="I7" s="118"/>
      <c r="J7" s="169"/>
      <c r="K7" s="118"/>
      <c r="L7" s="169"/>
      <c r="M7" s="170"/>
      <c r="N7" s="128"/>
      <c r="O7" s="128"/>
      <c r="P7" s="118"/>
      <c r="Q7" s="169"/>
      <c r="R7" s="126"/>
      <c r="S7" s="128"/>
      <c r="T7" s="169"/>
      <c r="U7" s="169"/>
      <c r="V7" s="169"/>
      <c r="W7" s="118"/>
      <c r="X7" s="80"/>
    </row>
    <row r="8" spans="1:65">
      <c r="A8" s="93"/>
      <c r="B8" s="93"/>
      <c r="C8" s="93"/>
      <c r="D8" s="93"/>
      <c r="E8" s="96"/>
      <c r="F8" s="93"/>
      <c r="G8" s="93"/>
      <c r="H8" s="93"/>
      <c r="I8" s="93"/>
      <c r="J8" s="124"/>
      <c r="K8" s="93"/>
      <c r="L8" s="124"/>
      <c r="M8" s="130"/>
      <c r="N8" s="168"/>
      <c r="O8" s="168"/>
      <c r="P8" s="93"/>
      <c r="Q8" s="96"/>
      <c r="R8" s="124"/>
      <c r="S8" s="168"/>
      <c r="T8" s="124"/>
      <c r="U8" s="124"/>
      <c r="V8" s="124"/>
      <c r="W8" s="93"/>
      <c r="X8" s="93"/>
    </row>
  </sheetData>
  <mergeCells count="7">
    <mergeCell ref="A2:A3"/>
    <mergeCell ref="B2:B3"/>
    <mergeCell ref="W2:W3"/>
    <mergeCell ref="F2:F3"/>
    <mergeCell ref="G2:G3"/>
    <mergeCell ref="E2:E3"/>
    <mergeCell ref="D2:D3"/>
  </mergeCells>
  <dataValidations count="1">
    <dataValidation type="list" allowBlank="1" showErrorMessage="1" sqref="W2 W4:W8" xr:uid="{99F3C488-C04C-424C-A1E7-266CCC562933}">
      <formula1>"Open,Inprogress,Closed"</formula1>
    </dataValidation>
  </dataValidations>
  <hyperlinks>
    <hyperlink ref="M2" r:id="rId1" xr:uid="{F8F58662-FC00-4183-8B9D-06DDDF5CB2C8}"/>
    <hyperlink ref="M3" r:id="rId2" xr:uid="{0498C16D-A447-46C7-B54D-B3015EFA8DED}"/>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70F88-C2E4-4AE5-BD33-368F862B3E7D}">
  <dimension ref="A1:K8"/>
  <sheetViews>
    <sheetView workbookViewId="0">
      <selection activeCell="K3" sqref="K3"/>
    </sheetView>
  </sheetViews>
  <sheetFormatPr defaultRowHeight="12.75"/>
  <cols>
    <col min="1" max="1" width="17.85546875" customWidth="1"/>
    <col min="2" max="2" width="10.7109375" customWidth="1"/>
    <col min="3" max="3" width="16" customWidth="1"/>
    <col min="4" max="4" width="11.42578125" customWidth="1"/>
    <col min="5" max="5" width="11.85546875" customWidth="1"/>
    <col min="6" max="6" width="42.140625" customWidth="1"/>
    <col min="7" max="7" width="10.140625" customWidth="1"/>
    <col min="10" max="10" width="14.28515625" customWidth="1"/>
    <col min="11" max="11" width="25.85546875" customWidth="1"/>
  </cols>
  <sheetData>
    <row r="1" spans="1:11" ht="27">
      <c r="A1" s="98"/>
      <c r="B1" s="104" t="s">
        <v>10</v>
      </c>
      <c r="C1" s="105" t="s">
        <v>267</v>
      </c>
      <c r="D1" s="104" t="s">
        <v>269</v>
      </c>
      <c r="E1" s="61" t="s">
        <v>270</v>
      </c>
      <c r="F1" s="61" t="s">
        <v>271</v>
      </c>
      <c r="G1" s="104" t="s">
        <v>272</v>
      </c>
      <c r="H1" s="104" t="s">
        <v>274</v>
      </c>
      <c r="I1" s="104" t="s">
        <v>275</v>
      </c>
      <c r="J1" s="106" t="s">
        <v>276</v>
      </c>
      <c r="K1" s="107" t="s">
        <v>277</v>
      </c>
    </row>
    <row r="2" spans="1:11" s="150" customFormat="1" ht="24">
      <c r="A2" s="165"/>
      <c r="B2" s="159" t="s">
        <v>4152</v>
      </c>
      <c r="C2" s="147" t="s">
        <v>4153</v>
      </c>
      <c r="D2" s="160" t="s">
        <v>4046</v>
      </c>
      <c r="E2" s="166" t="s">
        <v>522</v>
      </c>
      <c r="F2" s="160" t="s">
        <v>3190</v>
      </c>
      <c r="G2" s="167" t="s">
        <v>1670</v>
      </c>
      <c r="H2" s="165" t="s">
        <v>519</v>
      </c>
      <c r="I2" s="165" t="s">
        <v>1671</v>
      </c>
      <c r="J2" s="165" t="s">
        <v>529</v>
      </c>
      <c r="K2" s="175" t="s">
        <v>3974</v>
      </c>
    </row>
    <row r="3" spans="1:11" s="64" customFormat="1" ht="24">
      <c r="A3" s="62"/>
      <c r="B3" s="159" t="s">
        <v>4152</v>
      </c>
      <c r="C3" s="147" t="s">
        <v>4154</v>
      </c>
      <c r="D3" s="160" t="s">
        <v>4046</v>
      </c>
      <c r="E3" s="166" t="s">
        <v>522</v>
      </c>
      <c r="F3" s="146" t="s">
        <v>4155</v>
      </c>
      <c r="G3" s="167" t="s">
        <v>1670</v>
      </c>
      <c r="H3" s="165" t="s">
        <v>519</v>
      </c>
      <c r="I3" s="165" t="s">
        <v>576</v>
      </c>
      <c r="J3" s="165" t="s">
        <v>529</v>
      </c>
      <c r="K3" s="175" t="s">
        <v>3974</v>
      </c>
    </row>
    <row r="4" spans="1:11">
      <c r="A4" s="62"/>
      <c r="B4" s="159"/>
      <c r="C4" s="147"/>
      <c r="D4" s="160"/>
      <c r="E4" s="166"/>
      <c r="F4" s="146"/>
      <c r="G4" s="167"/>
      <c r="H4" s="165"/>
      <c r="I4" s="165"/>
      <c r="J4" s="165"/>
      <c r="K4" s="146"/>
    </row>
    <row r="5" spans="1:11">
      <c r="A5" s="62"/>
      <c r="B5" s="159"/>
      <c r="C5" s="147"/>
      <c r="D5" s="160"/>
      <c r="E5" s="161"/>
      <c r="F5" s="146"/>
      <c r="G5" s="167"/>
      <c r="H5" s="165"/>
      <c r="I5" s="165"/>
      <c r="J5" s="165"/>
      <c r="K5" s="146"/>
    </row>
    <row r="6" spans="1:11">
      <c r="A6" s="62"/>
      <c r="B6" s="159"/>
      <c r="C6" s="147"/>
      <c r="D6" s="160"/>
      <c r="E6" s="161"/>
      <c r="F6" s="146"/>
      <c r="G6" s="162"/>
      <c r="H6" s="62"/>
      <c r="I6" s="62"/>
      <c r="J6" s="62"/>
      <c r="K6" s="146"/>
    </row>
    <row r="7" spans="1:11">
      <c r="A7" s="62"/>
      <c r="B7" s="159"/>
      <c r="C7" s="147"/>
      <c r="D7" s="160"/>
      <c r="E7" s="161"/>
      <c r="F7" s="146"/>
      <c r="G7" s="162"/>
      <c r="H7" s="62"/>
      <c r="I7" s="62"/>
      <c r="J7" s="62"/>
      <c r="K7" s="146"/>
    </row>
    <row r="8" spans="1:11">
      <c r="A8" s="62"/>
      <c r="B8" s="159"/>
      <c r="C8" s="147"/>
      <c r="D8" s="160"/>
      <c r="E8" s="161"/>
      <c r="F8" s="146"/>
      <c r="G8" s="162"/>
      <c r="H8" s="62"/>
      <c r="I8" s="62"/>
      <c r="J8" s="62"/>
      <c r="K8" s="146"/>
    </row>
  </sheetData>
  <dataValidations count="4">
    <dataValidation type="list" allowBlank="1" showErrorMessage="1" sqref="G2:G8" xr:uid="{9D95410F-251F-404C-A46B-89AD0371AA79}">
      <formula1>"Minor,Significant,Major"</formula1>
    </dataValidation>
    <dataValidation type="list" allowBlank="1" showErrorMessage="1" sqref="H2:H8" xr:uid="{1D1E6AC4-2758-48C7-860F-9A70AA66EE6D}">
      <formula1>"Internal,External"</formula1>
    </dataValidation>
    <dataValidation type="list" allowBlank="1" showErrorMessage="1" sqref="I2:I8" xr:uid="{655185FF-CEC5-451B-B9EB-09AF702DBAA8}">
      <formula1>"Open,Inprogress,Closed"</formula1>
    </dataValidation>
    <dataValidation type="list" allowBlank="1" showErrorMessage="1" sqref="E2:E8" xr:uid="{37EF3D47-257F-489B-BF32-DE514DEA3B55}">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5D363C7-EE7D-4FF1-87BD-722B3D0FFF4B}">
          <x14:formula1>
            <xm:f>Details!$A$2:$A$10</xm:f>
          </x14:formula1>
          <xm:sqref>J2:J8</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DCE-623F-468C-9142-073758D65614}">
  <dimension ref="A1:X11"/>
  <sheetViews>
    <sheetView workbookViewId="0">
      <selection activeCell="X4" sqref="X4"/>
    </sheetView>
  </sheetViews>
  <sheetFormatPr defaultRowHeight="12.75"/>
  <cols>
    <col min="1" max="1" width="4.7109375" bestFit="1" customWidth="1"/>
    <col min="2" max="2" width="15.85546875" customWidth="1"/>
    <col min="3" max="3" width="13" customWidth="1"/>
    <col min="4" max="4" width="12.42578125" customWidth="1"/>
    <col min="5" max="5" width="70" bestFit="1" customWidth="1"/>
    <col min="9" max="9" width="11" bestFit="1" customWidth="1"/>
    <col min="10" max="10" width="14.28515625" customWidth="1"/>
    <col min="11" max="11" width="12" customWidth="1"/>
    <col min="12" max="12" width="17.140625" customWidth="1"/>
    <col min="13" max="13" width="23.42578125" customWidth="1"/>
    <col min="14" max="14" width="10.7109375" customWidth="1"/>
    <col min="15" max="15" width="11.28515625" customWidth="1"/>
    <col min="17" max="17" width="17.42578125" customWidth="1"/>
    <col min="18" max="18" width="14.85546875" customWidth="1"/>
    <col min="20" max="20" width="15.42578125" customWidth="1"/>
    <col min="21" max="21" width="13.42578125" customWidth="1"/>
    <col min="22" max="22" width="16.140625" customWidth="1"/>
    <col min="23" max="23" width="13.140625" customWidth="1"/>
    <col min="24" max="24" width="24.140625" customWidth="1"/>
  </cols>
  <sheetData>
    <row r="1" spans="1:24" ht="34.5" customHeight="1">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4065</v>
      </c>
      <c r="Q1" s="98" t="s">
        <v>1201</v>
      </c>
      <c r="R1" s="98" t="s">
        <v>4066</v>
      </c>
      <c r="S1" s="98" t="s">
        <v>1202</v>
      </c>
      <c r="T1" s="98" t="s">
        <v>1201</v>
      </c>
      <c r="U1" s="98" t="s">
        <v>299</v>
      </c>
      <c r="V1" s="98" t="s">
        <v>300</v>
      </c>
      <c r="W1" s="98" t="s">
        <v>275</v>
      </c>
      <c r="X1" s="156" t="s">
        <v>277</v>
      </c>
    </row>
    <row r="2" spans="1:24" s="93" customFormat="1" ht="72">
      <c r="A2" s="706">
        <v>1</v>
      </c>
      <c r="B2" s="706" t="s">
        <v>4156</v>
      </c>
      <c r="C2" s="706" t="s">
        <v>4149</v>
      </c>
      <c r="D2" s="706">
        <v>45124</v>
      </c>
      <c r="E2" s="706" t="s">
        <v>4157</v>
      </c>
      <c r="F2" s="706">
        <v>3</v>
      </c>
      <c r="G2" s="706">
        <v>15</v>
      </c>
      <c r="H2" s="706" t="s">
        <v>319</v>
      </c>
      <c r="I2" s="706" t="s">
        <v>320</v>
      </c>
      <c r="J2" s="706" t="s">
        <v>320</v>
      </c>
      <c r="K2" s="706" t="s">
        <v>320</v>
      </c>
      <c r="L2" s="706" t="s">
        <v>320</v>
      </c>
      <c r="M2" s="130" t="s">
        <v>4158</v>
      </c>
      <c r="N2" s="171">
        <v>45469</v>
      </c>
      <c r="O2" s="121">
        <v>45474</v>
      </c>
      <c r="P2" s="93" t="s">
        <v>317</v>
      </c>
      <c r="Q2" s="124" t="s">
        <v>3979</v>
      </c>
      <c r="R2" s="47" t="s">
        <v>320</v>
      </c>
      <c r="S2" s="121" t="s">
        <v>320</v>
      </c>
      <c r="T2" s="124" t="s">
        <v>320</v>
      </c>
      <c r="U2" s="124" t="s">
        <v>320</v>
      </c>
      <c r="V2" s="124" t="s">
        <v>320</v>
      </c>
      <c r="W2" s="706" t="s">
        <v>576</v>
      </c>
      <c r="X2" s="712" t="s">
        <v>4159</v>
      </c>
    </row>
    <row r="3" spans="1:24" s="93" customFormat="1" ht="72">
      <c r="A3" s="711"/>
      <c r="B3" s="711"/>
      <c r="C3" s="711"/>
      <c r="D3" s="711"/>
      <c r="E3" s="707"/>
      <c r="F3" s="707"/>
      <c r="G3" s="707"/>
      <c r="H3" s="707"/>
      <c r="I3" s="707"/>
      <c r="J3" s="707"/>
      <c r="K3" s="707"/>
      <c r="L3" s="707"/>
      <c r="M3" s="130" t="s">
        <v>4160</v>
      </c>
      <c r="N3" s="171">
        <v>45475</v>
      </c>
      <c r="O3" s="171">
        <v>45475</v>
      </c>
      <c r="P3" s="93" t="s">
        <v>317</v>
      </c>
      <c r="Q3" s="124" t="s">
        <v>3979</v>
      </c>
      <c r="R3" s="47" t="s">
        <v>320</v>
      </c>
      <c r="S3" s="121" t="s">
        <v>320</v>
      </c>
      <c r="T3" s="124" t="s">
        <v>320</v>
      </c>
      <c r="U3" s="124" t="s">
        <v>320</v>
      </c>
      <c r="V3" s="124" t="s">
        <v>320</v>
      </c>
      <c r="W3" s="707"/>
      <c r="X3" s="713"/>
    </row>
    <row r="4" spans="1:24" s="93" customFormat="1" ht="24">
      <c r="A4" s="93">
        <v>2</v>
      </c>
      <c r="B4" s="93" t="s">
        <v>4156</v>
      </c>
      <c r="C4" s="123" t="s">
        <v>4161</v>
      </c>
      <c r="D4" s="93">
        <v>45232</v>
      </c>
      <c r="E4" s="133" t="s">
        <v>4162</v>
      </c>
      <c r="F4" s="93">
        <v>13</v>
      </c>
      <c r="W4" s="93" t="s">
        <v>1205</v>
      </c>
      <c r="X4" s="76" t="s">
        <v>4163</v>
      </c>
    </row>
    <row r="5" spans="1:24" s="93" customFormat="1">
      <c r="A5" s="183"/>
      <c r="B5" s="183"/>
      <c r="C5" s="183"/>
      <c r="D5" s="183"/>
      <c r="E5" s="96"/>
      <c r="J5" s="124"/>
      <c r="L5" s="124"/>
      <c r="M5" s="130"/>
      <c r="N5" s="121"/>
      <c r="O5" s="121"/>
      <c r="Q5" s="124"/>
      <c r="R5" s="47"/>
      <c r="S5" s="121"/>
      <c r="T5" s="124"/>
      <c r="U5" s="124"/>
      <c r="V5" s="124"/>
      <c r="X5" s="76"/>
    </row>
    <row r="6" spans="1:24" s="93" customFormat="1">
      <c r="E6" s="96"/>
      <c r="J6" s="124"/>
      <c r="L6" s="124"/>
      <c r="M6" s="130"/>
      <c r="N6" s="121"/>
      <c r="O6" s="121"/>
      <c r="P6" s="47"/>
      <c r="Q6" s="124"/>
      <c r="R6" s="47"/>
      <c r="S6" s="121"/>
      <c r="T6" s="124"/>
      <c r="U6" s="124"/>
      <c r="V6" s="124"/>
      <c r="X6" s="76"/>
    </row>
    <row r="7" spans="1:24" s="93" customFormat="1">
      <c r="E7" s="96"/>
      <c r="X7" s="76"/>
    </row>
    <row r="8" spans="1:24" s="93" customFormat="1">
      <c r="E8" s="119"/>
      <c r="F8" s="119"/>
      <c r="G8" s="119"/>
      <c r="H8" s="119"/>
      <c r="J8" s="124"/>
      <c r="L8" s="124"/>
      <c r="M8" s="130"/>
      <c r="N8" s="121"/>
      <c r="O8" s="121"/>
      <c r="Q8" s="124"/>
      <c r="R8" s="47"/>
      <c r="S8" s="121"/>
      <c r="T8" s="124"/>
      <c r="U8" s="124"/>
      <c r="V8" s="124"/>
      <c r="X8" s="76"/>
    </row>
    <row r="9" spans="1:24">
      <c r="A9" s="93"/>
      <c r="B9" s="93"/>
      <c r="C9" s="93"/>
      <c r="D9" s="93"/>
      <c r="E9" s="119"/>
      <c r="F9" s="119"/>
      <c r="G9" s="119"/>
      <c r="H9" s="119"/>
      <c r="I9" s="93"/>
      <c r="J9" s="93"/>
      <c r="K9" s="93"/>
      <c r="L9" s="93"/>
      <c r="M9" s="93"/>
      <c r="N9" s="93"/>
      <c r="O9" s="93"/>
      <c r="P9" s="93"/>
      <c r="Q9" s="93"/>
      <c r="R9" s="93"/>
      <c r="S9" s="93"/>
      <c r="T9" s="93"/>
      <c r="U9" s="93"/>
      <c r="V9" s="93"/>
      <c r="W9" s="93"/>
      <c r="X9" s="76"/>
    </row>
    <row r="10" spans="1:24">
      <c r="A10" s="118"/>
      <c r="B10" s="118"/>
      <c r="C10" s="118"/>
      <c r="D10" s="118"/>
      <c r="E10" s="119"/>
      <c r="F10" s="119"/>
      <c r="G10" s="119"/>
      <c r="H10" s="119"/>
      <c r="I10" s="118"/>
      <c r="J10" s="169"/>
      <c r="K10" s="118"/>
      <c r="L10" s="169"/>
      <c r="M10" s="170"/>
      <c r="N10" s="128"/>
      <c r="O10" s="128"/>
      <c r="P10" s="118"/>
      <c r="Q10" s="169"/>
      <c r="R10" s="126"/>
      <c r="S10" s="128"/>
      <c r="T10" s="169"/>
      <c r="U10" s="169"/>
      <c r="V10" s="169"/>
      <c r="W10" s="118"/>
      <c r="X10" s="80"/>
    </row>
    <row r="11" spans="1:24">
      <c r="A11" s="93"/>
      <c r="B11" s="93"/>
      <c r="C11" s="93"/>
      <c r="D11" s="93"/>
      <c r="E11" s="96"/>
      <c r="F11" s="93"/>
      <c r="G11" s="93"/>
      <c r="H11" s="93"/>
      <c r="I11" s="93"/>
      <c r="J11" s="124"/>
      <c r="K11" s="93"/>
      <c r="L11" s="124"/>
      <c r="M11" s="130"/>
      <c r="N11" s="168"/>
      <c r="O11" s="168"/>
      <c r="P11" s="93"/>
      <c r="Q11" s="96"/>
      <c r="R11" s="124"/>
      <c r="S11" s="168"/>
      <c r="T11" s="124"/>
      <c r="U11" s="124"/>
      <c r="V11" s="124"/>
      <c r="W11" s="93"/>
      <c r="X11" s="93"/>
    </row>
  </sheetData>
  <mergeCells count="14">
    <mergeCell ref="A2:A3"/>
    <mergeCell ref="B2:B3"/>
    <mergeCell ref="C2:C3"/>
    <mergeCell ref="D2:D3"/>
    <mergeCell ref="X2:X3"/>
    <mergeCell ref="W2:W3"/>
    <mergeCell ref="E2:E3"/>
    <mergeCell ref="F2:F3"/>
    <mergeCell ref="G2:G3"/>
    <mergeCell ref="H2:H3"/>
    <mergeCell ref="I2:I3"/>
    <mergeCell ref="J2:J3"/>
    <mergeCell ref="K2:K3"/>
    <mergeCell ref="L2:L3"/>
  </mergeCells>
  <dataValidations count="1">
    <dataValidation type="list" allowBlank="1" showErrorMessage="1" sqref="W8:W11 W2 W4:W6" xr:uid="{9BB23672-A2A1-425F-9C8C-E5A29E7B277C}">
      <formula1>"Open,Inprogress,Closed"</formula1>
    </dataValidation>
  </dataValidations>
  <hyperlinks>
    <hyperlink ref="M3" r:id="rId1" xr:uid="{EFE38B2D-0C41-4C50-B0C1-5BEDB543EF58}"/>
    <hyperlink ref="M2" r:id="rId2" xr:uid="{451572FE-4C04-4F4C-A10D-EBDA69B60CAD}"/>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91A5F-BE60-4488-9968-AE977EAFCE2B}">
  <dimension ref="A1:X11"/>
  <sheetViews>
    <sheetView topLeftCell="R2" workbookViewId="0">
      <selection activeCell="R2" sqref="R2"/>
    </sheetView>
  </sheetViews>
  <sheetFormatPr defaultRowHeight="12.75"/>
  <cols>
    <col min="1" max="1" width="4.7109375" bestFit="1" customWidth="1"/>
    <col min="2" max="2" width="15.85546875" customWidth="1"/>
    <col min="3" max="3" width="13" customWidth="1"/>
    <col min="4" max="4" width="12.42578125" customWidth="1"/>
    <col min="5" max="5" width="70" bestFit="1" customWidth="1"/>
    <col min="9" max="9" width="11" bestFit="1" customWidth="1"/>
    <col min="10" max="10" width="14.28515625" customWidth="1"/>
    <col min="11" max="11" width="12" customWidth="1"/>
    <col min="12" max="12" width="17.140625" customWidth="1"/>
    <col min="13" max="13" width="23.42578125" customWidth="1"/>
    <col min="14" max="14" width="10.7109375" customWidth="1"/>
    <col min="15" max="15" width="11.28515625" customWidth="1"/>
    <col min="17" max="17" width="17.42578125" customWidth="1"/>
    <col min="18" max="18" width="14.85546875" customWidth="1"/>
    <col min="20" max="20" width="15.42578125" customWidth="1"/>
    <col min="21" max="21" width="13.42578125" customWidth="1"/>
    <col min="22" max="22" width="16.140625" customWidth="1"/>
    <col min="23" max="23" width="13.140625" customWidth="1"/>
    <col min="24" max="24" width="24.140625" customWidth="1"/>
  </cols>
  <sheetData>
    <row r="1" spans="1:24" ht="34.5" customHeight="1">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4065</v>
      </c>
      <c r="Q1" s="98" t="s">
        <v>1201</v>
      </c>
      <c r="R1" s="98" t="s">
        <v>4066</v>
      </c>
      <c r="S1" s="98" t="s">
        <v>1202</v>
      </c>
      <c r="T1" s="98" t="s">
        <v>1201</v>
      </c>
      <c r="U1" s="98" t="s">
        <v>299</v>
      </c>
      <c r="V1" s="98" t="s">
        <v>300</v>
      </c>
      <c r="W1" s="98" t="s">
        <v>275</v>
      </c>
      <c r="X1" s="156" t="s">
        <v>277</v>
      </c>
    </row>
    <row r="2" spans="1:24" s="93" customFormat="1" ht="72">
      <c r="A2" s="93">
        <v>1</v>
      </c>
      <c r="B2" s="93" t="s">
        <v>4164</v>
      </c>
      <c r="C2" s="93" t="s">
        <v>3978</v>
      </c>
      <c r="D2" s="93">
        <v>22950</v>
      </c>
      <c r="E2" s="96" t="s">
        <v>4165</v>
      </c>
      <c r="F2" s="93">
        <v>2</v>
      </c>
      <c r="G2" s="93">
        <v>2</v>
      </c>
      <c r="H2" s="93" t="s">
        <v>319</v>
      </c>
      <c r="I2" s="93" t="s">
        <v>315</v>
      </c>
      <c r="J2" s="124" t="s">
        <v>3979</v>
      </c>
      <c r="K2" s="93" t="s">
        <v>315</v>
      </c>
      <c r="L2" s="124" t="s">
        <v>3979</v>
      </c>
      <c r="M2" s="130" t="s">
        <v>4166</v>
      </c>
      <c r="N2" s="121">
        <v>45448</v>
      </c>
      <c r="O2" s="121">
        <v>45448</v>
      </c>
      <c r="P2" s="93" t="s">
        <v>317</v>
      </c>
      <c r="Q2" s="124" t="s">
        <v>3979</v>
      </c>
      <c r="R2" s="47" t="s">
        <v>3981</v>
      </c>
      <c r="S2" s="121">
        <v>45448</v>
      </c>
      <c r="T2" s="124" t="s">
        <v>3979</v>
      </c>
      <c r="U2" s="124" t="s">
        <v>3979</v>
      </c>
      <c r="V2" s="124" t="s">
        <v>3979</v>
      </c>
      <c r="W2" s="93" t="s">
        <v>576</v>
      </c>
      <c r="X2" s="76"/>
    </row>
    <row r="3" spans="1:24" s="93" customFormat="1" ht="36">
      <c r="A3" s="93">
        <v>2</v>
      </c>
      <c r="B3" s="93" t="s">
        <v>4164</v>
      </c>
      <c r="C3" s="93" t="s">
        <v>3978</v>
      </c>
      <c r="D3" s="93">
        <v>23468</v>
      </c>
      <c r="E3" s="96" t="s">
        <v>4167</v>
      </c>
      <c r="F3" s="174">
        <v>2</v>
      </c>
      <c r="G3" s="93">
        <v>2</v>
      </c>
      <c r="H3" s="93" t="s">
        <v>320</v>
      </c>
      <c r="I3" s="93" t="s">
        <v>320</v>
      </c>
      <c r="J3" s="93" t="s">
        <v>320</v>
      </c>
      <c r="K3" s="93" t="s">
        <v>320</v>
      </c>
      <c r="L3" s="93" t="s">
        <v>320</v>
      </c>
      <c r="M3" s="93" t="s">
        <v>320</v>
      </c>
      <c r="N3" s="93" t="s">
        <v>320</v>
      </c>
      <c r="O3" s="93" t="s">
        <v>320</v>
      </c>
      <c r="P3" s="93" t="s">
        <v>320</v>
      </c>
      <c r="Q3" s="93" t="s">
        <v>320</v>
      </c>
      <c r="R3" s="93" t="s">
        <v>320</v>
      </c>
      <c r="S3" s="93" t="s">
        <v>320</v>
      </c>
      <c r="T3" s="93" t="s">
        <v>320</v>
      </c>
      <c r="U3" s="93" t="s">
        <v>320</v>
      </c>
      <c r="V3" s="93" t="s">
        <v>320</v>
      </c>
      <c r="W3" s="93" t="s">
        <v>1671</v>
      </c>
      <c r="X3" s="76" t="s">
        <v>4168</v>
      </c>
    </row>
    <row r="4" spans="1:24" s="93" customFormat="1" ht="118.5">
      <c r="A4" s="93">
        <v>3</v>
      </c>
      <c r="B4" s="93" t="s">
        <v>4169</v>
      </c>
      <c r="C4" s="123" t="s">
        <v>4170</v>
      </c>
      <c r="D4" s="93">
        <v>23488</v>
      </c>
      <c r="E4" s="96" t="s">
        <v>4171</v>
      </c>
      <c r="F4" s="174">
        <v>5</v>
      </c>
      <c r="G4" s="93">
        <v>5</v>
      </c>
      <c r="H4" s="93" t="s">
        <v>320</v>
      </c>
      <c r="I4" s="93" t="s">
        <v>320</v>
      </c>
      <c r="J4" s="93" t="s">
        <v>320</v>
      </c>
      <c r="K4" s="93" t="s">
        <v>320</v>
      </c>
      <c r="L4" s="93" t="s">
        <v>320</v>
      </c>
      <c r="M4" s="93" t="s">
        <v>320</v>
      </c>
      <c r="N4" s="93" t="s">
        <v>320</v>
      </c>
      <c r="O4" s="93" t="s">
        <v>320</v>
      </c>
      <c r="P4" s="93" t="s">
        <v>320</v>
      </c>
      <c r="Q4" s="93" t="s">
        <v>320</v>
      </c>
      <c r="R4" s="93" t="s">
        <v>320</v>
      </c>
      <c r="S4" s="93" t="s">
        <v>320</v>
      </c>
      <c r="T4" s="93" t="s">
        <v>320</v>
      </c>
      <c r="U4" s="93" t="s">
        <v>320</v>
      </c>
      <c r="V4" s="93" t="s">
        <v>320</v>
      </c>
      <c r="W4" s="93" t="s">
        <v>1205</v>
      </c>
      <c r="X4" s="76" t="s">
        <v>4172</v>
      </c>
    </row>
    <row r="5" spans="1:24" s="93" customFormat="1" ht="72">
      <c r="A5" s="93">
        <v>4</v>
      </c>
      <c r="B5" s="93" t="s">
        <v>4164</v>
      </c>
      <c r="C5" s="93" t="s">
        <v>315</v>
      </c>
      <c r="D5" s="93">
        <v>43063</v>
      </c>
      <c r="E5" s="96" t="s">
        <v>4173</v>
      </c>
      <c r="F5" s="93">
        <v>8</v>
      </c>
      <c r="G5" s="93">
        <v>8</v>
      </c>
      <c r="H5" s="93" t="s">
        <v>319</v>
      </c>
      <c r="I5" s="93" t="s">
        <v>317</v>
      </c>
      <c r="J5" s="124" t="s">
        <v>3979</v>
      </c>
      <c r="K5" s="93" t="s">
        <v>317</v>
      </c>
      <c r="L5" s="124" t="s">
        <v>3979</v>
      </c>
      <c r="M5" s="130" t="s">
        <v>4174</v>
      </c>
      <c r="N5" s="121">
        <v>45457</v>
      </c>
      <c r="O5" s="121">
        <v>45457</v>
      </c>
      <c r="P5" s="93" t="s">
        <v>317</v>
      </c>
      <c r="Q5" s="124" t="s">
        <v>3979</v>
      </c>
      <c r="R5" s="47" t="s">
        <v>3981</v>
      </c>
      <c r="S5" s="121">
        <v>45457</v>
      </c>
      <c r="T5" s="124" t="s">
        <v>3979</v>
      </c>
      <c r="U5" s="124" t="s">
        <v>3979</v>
      </c>
      <c r="V5" s="124" t="s">
        <v>3979</v>
      </c>
      <c r="W5" s="93" t="s">
        <v>576</v>
      </c>
      <c r="X5" s="76" t="s">
        <v>4175</v>
      </c>
    </row>
    <row r="6" spans="1:24" s="93" customFormat="1" ht="72">
      <c r="A6" s="93">
        <v>5</v>
      </c>
      <c r="B6" s="93" t="s">
        <v>4164</v>
      </c>
      <c r="C6" s="93" t="s">
        <v>317</v>
      </c>
      <c r="D6" s="93">
        <v>23487</v>
      </c>
      <c r="E6" s="96" t="s">
        <v>4176</v>
      </c>
      <c r="F6" s="93">
        <v>2</v>
      </c>
      <c r="G6" s="93">
        <v>2</v>
      </c>
      <c r="H6" s="93" t="s">
        <v>319</v>
      </c>
      <c r="I6" s="93" t="s">
        <v>3978</v>
      </c>
      <c r="J6" s="124" t="s">
        <v>3979</v>
      </c>
      <c r="K6" s="93" t="s">
        <v>3978</v>
      </c>
      <c r="L6" s="124" t="s">
        <v>3979</v>
      </c>
      <c r="M6" s="130" t="s">
        <v>4177</v>
      </c>
      <c r="N6" s="121">
        <v>45450</v>
      </c>
      <c r="O6" s="121">
        <v>45450</v>
      </c>
      <c r="P6" s="47" t="s">
        <v>3981</v>
      </c>
      <c r="Q6" s="124" t="s">
        <v>3979</v>
      </c>
      <c r="R6" s="47" t="s">
        <v>3981</v>
      </c>
      <c r="S6" s="121">
        <v>45450</v>
      </c>
      <c r="T6" s="124" t="s">
        <v>3979</v>
      </c>
      <c r="U6" s="124" t="s">
        <v>3979</v>
      </c>
      <c r="V6" s="124" t="s">
        <v>3979</v>
      </c>
      <c r="W6" s="93" t="s">
        <v>576</v>
      </c>
      <c r="X6" s="76"/>
    </row>
    <row r="7" spans="1:24" s="93" customFormat="1" ht="60">
      <c r="A7" s="93">
        <v>6</v>
      </c>
      <c r="B7" s="93" t="s">
        <v>4164</v>
      </c>
      <c r="C7" s="93" t="s">
        <v>315</v>
      </c>
      <c r="D7" s="93">
        <v>45031</v>
      </c>
      <c r="E7" s="96" t="s">
        <v>4178</v>
      </c>
      <c r="F7" s="93">
        <v>0</v>
      </c>
      <c r="G7" s="93">
        <v>0</v>
      </c>
      <c r="H7" s="93" t="s">
        <v>320</v>
      </c>
      <c r="I7" s="93" t="s">
        <v>320</v>
      </c>
      <c r="J7" s="93" t="s">
        <v>320</v>
      </c>
      <c r="K7" s="93" t="s">
        <v>320</v>
      </c>
      <c r="L7" s="93" t="s">
        <v>320</v>
      </c>
      <c r="M7" s="93" t="s">
        <v>320</v>
      </c>
      <c r="N7" s="93" t="s">
        <v>320</v>
      </c>
      <c r="O7" s="93" t="s">
        <v>320</v>
      </c>
      <c r="P7" s="93" t="s">
        <v>320</v>
      </c>
      <c r="Q7" s="93" t="s">
        <v>320</v>
      </c>
      <c r="R7" s="93" t="s">
        <v>320</v>
      </c>
      <c r="S7" s="93" t="s">
        <v>320</v>
      </c>
      <c r="T7" s="93" t="s">
        <v>320</v>
      </c>
      <c r="U7" s="93" t="s">
        <v>320</v>
      </c>
      <c r="V7" s="93" t="s">
        <v>320</v>
      </c>
      <c r="W7" s="93" t="s">
        <v>320</v>
      </c>
      <c r="X7" s="76" t="s">
        <v>4179</v>
      </c>
    </row>
    <row r="8" spans="1:24" s="93" customFormat="1">
      <c r="E8" s="119"/>
      <c r="F8" s="119"/>
      <c r="G8" s="119"/>
      <c r="H8" s="119"/>
      <c r="J8" s="124"/>
      <c r="L8" s="124"/>
      <c r="M8" s="130"/>
      <c r="N8" s="121"/>
      <c r="O8" s="121"/>
      <c r="Q8" s="124"/>
      <c r="R8" s="47"/>
      <c r="S8" s="121"/>
      <c r="T8" s="124"/>
      <c r="U8" s="124"/>
      <c r="V8" s="124"/>
      <c r="X8" s="76"/>
    </row>
    <row r="9" spans="1:24">
      <c r="A9" s="93"/>
      <c r="B9" s="93"/>
      <c r="C9" s="93"/>
      <c r="D9" s="93"/>
      <c r="E9" s="119"/>
      <c r="F9" s="119"/>
      <c r="G9" s="119"/>
      <c r="H9" s="119"/>
      <c r="I9" s="93"/>
      <c r="J9" s="93"/>
      <c r="K9" s="93"/>
      <c r="L9" s="93"/>
      <c r="M9" s="93"/>
      <c r="N9" s="93"/>
      <c r="O9" s="93"/>
      <c r="P9" s="93"/>
      <c r="Q9" s="93"/>
      <c r="R9" s="93"/>
      <c r="S9" s="93"/>
      <c r="T9" s="93"/>
      <c r="U9" s="93"/>
      <c r="V9" s="93"/>
      <c r="W9" s="93"/>
      <c r="X9" s="76"/>
    </row>
    <row r="10" spans="1:24">
      <c r="A10" s="118"/>
      <c r="B10" s="118"/>
      <c r="C10" s="118"/>
      <c r="D10" s="118"/>
      <c r="E10" s="119"/>
      <c r="F10" s="119"/>
      <c r="G10" s="119"/>
      <c r="H10" s="119"/>
      <c r="I10" s="118"/>
      <c r="J10" s="169"/>
      <c r="K10" s="118"/>
      <c r="L10" s="169"/>
      <c r="M10" s="170"/>
      <c r="N10" s="128"/>
      <c r="O10" s="128"/>
      <c r="P10" s="118"/>
      <c r="Q10" s="169"/>
      <c r="R10" s="126"/>
      <c r="S10" s="128"/>
      <c r="T10" s="169"/>
      <c r="U10" s="169"/>
      <c r="V10" s="169"/>
      <c r="W10" s="118"/>
      <c r="X10" s="80"/>
    </row>
    <row r="11" spans="1:24">
      <c r="A11" s="93"/>
      <c r="B11" s="93"/>
      <c r="C11" s="93"/>
      <c r="D11" s="93"/>
      <c r="E11" s="96"/>
      <c r="F11" s="93"/>
      <c r="G11" s="93"/>
      <c r="H11" s="93"/>
      <c r="I11" s="93"/>
      <c r="J11" s="124"/>
      <c r="K11" s="93"/>
      <c r="L11" s="124"/>
      <c r="M11" s="130"/>
      <c r="N11" s="168"/>
      <c r="O11" s="168"/>
      <c r="P11" s="93"/>
      <c r="Q11" s="96"/>
      <c r="R11" s="124"/>
      <c r="S11" s="168"/>
      <c r="T11" s="124"/>
      <c r="U11" s="124"/>
      <c r="V11" s="124"/>
      <c r="W11" s="93"/>
      <c r="X11" s="93"/>
    </row>
  </sheetData>
  <autoFilter ref="A1:X7" xr:uid="{EB391A5F-BE60-4488-9968-AE977EAFCE2B}"/>
  <dataValidations count="1">
    <dataValidation type="list" allowBlank="1" showErrorMessage="1" sqref="W2:W6 W8:W11" xr:uid="{1D5F54C5-3F3B-45F9-B4FA-7DF2BBB81366}">
      <formula1>"Open,Inprogress,Closed"</formula1>
    </dataValidation>
  </dataValidations>
  <hyperlinks>
    <hyperlink ref="M2" r:id="rId1" xr:uid="{39A50A2E-8ABD-413E-B98D-7F3438632214}"/>
    <hyperlink ref="M3" r:id="rId2" xr:uid="{54C5CAA6-995D-4428-9A0F-844C3C6B354C}"/>
    <hyperlink ref="M4" r:id="rId3" xr:uid="{67B1535D-DB68-42C2-B39E-4AEEFBACA364}"/>
    <hyperlink ref="M5" r:id="rId4" xr:uid="{DF495528-ACB7-4AD5-9F50-34B16ADDC85D}"/>
    <hyperlink ref="M6" r:id="rId5" xr:uid="{32506FE5-24A5-4BE8-ACE9-1A586D8DC96C}"/>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E6DC5-D450-47E3-B1A5-024A18AB2FF1}">
  <dimension ref="A1:K8"/>
  <sheetViews>
    <sheetView workbookViewId="0">
      <selection activeCell="B11" sqref="B11"/>
    </sheetView>
  </sheetViews>
  <sheetFormatPr defaultRowHeight="12.75"/>
  <cols>
    <col min="2" max="2" width="10.7109375" customWidth="1"/>
    <col min="3" max="3" width="16" customWidth="1"/>
    <col min="4" max="4" width="11.42578125" customWidth="1"/>
    <col min="5" max="5" width="11.85546875" customWidth="1"/>
    <col min="6" max="6" width="42.140625" customWidth="1"/>
    <col min="7" max="7" width="10.140625" customWidth="1"/>
    <col min="10" max="10" width="14.28515625" customWidth="1"/>
    <col min="11" max="11" width="47" customWidth="1"/>
  </cols>
  <sheetData>
    <row r="1" spans="1:11" ht="27">
      <c r="A1" s="98"/>
      <c r="B1" s="104" t="s">
        <v>10</v>
      </c>
      <c r="C1" s="105" t="s">
        <v>267</v>
      </c>
      <c r="D1" s="104" t="s">
        <v>269</v>
      </c>
      <c r="E1" s="61" t="s">
        <v>270</v>
      </c>
      <c r="F1" s="61" t="s">
        <v>271</v>
      </c>
      <c r="G1" s="104" t="s">
        <v>272</v>
      </c>
      <c r="H1" s="104" t="s">
        <v>274</v>
      </c>
      <c r="I1" s="104" t="s">
        <v>275</v>
      </c>
      <c r="J1" s="106" t="s">
        <v>276</v>
      </c>
      <c r="K1" s="107" t="s">
        <v>277</v>
      </c>
    </row>
    <row r="2" spans="1:11" s="150" customFormat="1" ht="36">
      <c r="A2" s="165">
        <v>1</v>
      </c>
      <c r="B2" s="159" t="s">
        <v>4180</v>
      </c>
      <c r="C2" s="147">
        <v>22950</v>
      </c>
      <c r="D2" s="160" t="s">
        <v>3978</v>
      </c>
      <c r="E2" s="166" t="s">
        <v>522</v>
      </c>
      <c r="F2" s="160" t="s">
        <v>4165</v>
      </c>
      <c r="G2" s="167" t="s">
        <v>1670</v>
      </c>
      <c r="H2" s="165" t="s">
        <v>525</v>
      </c>
      <c r="I2" s="165" t="s">
        <v>576</v>
      </c>
      <c r="J2" s="165" t="s">
        <v>529</v>
      </c>
      <c r="K2" s="175"/>
    </row>
    <row r="3" spans="1:11" s="64" customFormat="1" ht="36">
      <c r="A3" s="62">
        <v>2</v>
      </c>
      <c r="B3" s="159" t="s">
        <v>4180</v>
      </c>
      <c r="C3" s="159">
        <v>23454</v>
      </c>
      <c r="D3" s="160" t="s">
        <v>3978</v>
      </c>
      <c r="E3" s="166" t="s">
        <v>522</v>
      </c>
      <c r="F3" s="146" t="s">
        <v>4181</v>
      </c>
      <c r="G3" s="167" t="s">
        <v>1670</v>
      </c>
      <c r="H3" s="165" t="s">
        <v>525</v>
      </c>
      <c r="I3" s="165" t="s">
        <v>576</v>
      </c>
      <c r="J3" s="165" t="s">
        <v>529</v>
      </c>
      <c r="K3" s="146"/>
    </row>
    <row r="4" spans="1:11" ht="36">
      <c r="A4" s="62">
        <v>3</v>
      </c>
      <c r="B4" s="159" t="s">
        <v>4180</v>
      </c>
      <c r="C4" s="147">
        <v>23487</v>
      </c>
      <c r="D4" s="160" t="s">
        <v>317</v>
      </c>
      <c r="E4" s="166" t="s">
        <v>522</v>
      </c>
      <c r="F4" s="146" t="s">
        <v>4176</v>
      </c>
      <c r="G4" s="167" t="s">
        <v>1670</v>
      </c>
      <c r="H4" s="165" t="s">
        <v>525</v>
      </c>
      <c r="I4" s="165" t="s">
        <v>576</v>
      </c>
      <c r="J4" s="165" t="s">
        <v>529</v>
      </c>
      <c r="K4" s="146"/>
    </row>
    <row r="5" spans="1:11">
      <c r="A5" s="62"/>
      <c r="B5" s="159"/>
      <c r="C5" s="147"/>
      <c r="D5" s="160"/>
      <c r="E5" s="161"/>
      <c r="F5" s="146"/>
      <c r="G5" s="167"/>
      <c r="H5" s="165"/>
      <c r="I5" s="165"/>
      <c r="J5" s="165"/>
      <c r="K5" s="146"/>
    </row>
    <row r="6" spans="1:11">
      <c r="A6" s="62"/>
      <c r="B6" s="159"/>
      <c r="C6" s="147"/>
      <c r="D6" s="160"/>
      <c r="E6" s="161"/>
      <c r="F6" s="146"/>
      <c r="G6" s="162"/>
      <c r="H6" s="62"/>
      <c r="I6" s="62"/>
      <c r="J6" s="62"/>
      <c r="K6" s="146"/>
    </row>
    <row r="7" spans="1:11">
      <c r="A7" s="62"/>
      <c r="B7" s="159"/>
      <c r="C7" s="147"/>
      <c r="D7" s="160"/>
      <c r="E7" s="161"/>
      <c r="F7" s="146"/>
      <c r="G7" s="162"/>
      <c r="H7" s="62"/>
      <c r="I7" s="62"/>
      <c r="J7" s="62"/>
      <c r="K7" s="146"/>
    </row>
    <row r="8" spans="1:11">
      <c r="A8" s="62"/>
      <c r="B8" s="159"/>
      <c r="C8" s="147"/>
      <c r="D8" s="160"/>
      <c r="E8" s="161"/>
      <c r="F8" s="146"/>
      <c r="G8" s="162"/>
      <c r="H8" s="62"/>
      <c r="I8" s="62"/>
      <c r="J8" s="62"/>
      <c r="K8" s="146"/>
    </row>
  </sheetData>
  <dataValidations count="4">
    <dataValidation type="list" allowBlank="1" showErrorMessage="1" sqref="G2:G8" xr:uid="{5CF25845-C9B2-42FC-8750-6BB7C1F9A1F9}">
      <formula1>"Minor,Significant,Major"</formula1>
    </dataValidation>
    <dataValidation type="list" allowBlank="1" showErrorMessage="1" sqref="H2:H8" xr:uid="{4189E930-71C9-4B2F-A1DD-FBF82291DBD4}">
      <formula1>"Internal,External"</formula1>
    </dataValidation>
    <dataValidation type="list" allowBlank="1" showErrorMessage="1" sqref="I2:I8" xr:uid="{EDCECBC9-5319-495C-A186-3C08ED068F51}">
      <formula1>"Open,Inprogress,Closed"</formula1>
    </dataValidation>
    <dataValidation type="list" allowBlank="1" showErrorMessage="1" sqref="E2:E8" xr:uid="{0E4DD913-0636-47C1-8C6D-FDA7CA581C10}">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453C288-B602-4A9B-A62D-982D7F4539B1}">
          <x14:formula1>
            <xm:f>Details!$A$2:$A$10</xm:f>
          </x14:formula1>
          <xm:sqref>J2:J8</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12B2-403F-402B-937D-69F8E7D9BC49}">
  <dimension ref="A1:K8"/>
  <sheetViews>
    <sheetView workbookViewId="0">
      <selection activeCell="F12" sqref="F12"/>
    </sheetView>
  </sheetViews>
  <sheetFormatPr defaultRowHeight="12.75"/>
  <cols>
    <col min="1" max="1" width="17.85546875" customWidth="1"/>
    <col min="2" max="2" width="10.7109375" customWidth="1"/>
    <col min="3" max="3" width="16" customWidth="1"/>
    <col min="4" max="4" width="11.42578125" customWidth="1"/>
    <col min="5" max="5" width="11.85546875" customWidth="1"/>
    <col min="6" max="6" width="42.140625" customWidth="1"/>
    <col min="7" max="7" width="10.140625" customWidth="1"/>
    <col min="10" max="10" width="14.28515625" customWidth="1"/>
    <col min="11" max="11" width="25.85546875" customWidth="1"/>
  </cols>
  <sheetData>
    <row r="1" spans="1:11" ht="27">
      <c r="A1" s="98"/>
      <c r="B1" s="104" t="s">
        <v>10</v>
      </c>
      <c r="C1" s="105" t="s">
        <v>267</v>
      </c>
      <c r="D1" s="104" t="s">
        <v>269</v>
      </c>
      <c r="E1" s="61" t="s">
        <v>270</v>
      </c>
      <c r="F1" s="61" t="s">
        <v>271</v>
      </c>
      <c r="G1" s="104" t="s">
        <v>272</v>
      </c>
      <c r="H1" s="104" t="s">
        <v>274</v>
      </c>
      <c r="I1" s="104" t="s">
        <v>275</v>
      </c>
      <c r="J1" s="106" t="s">
        <v>276</v>
      </c>
      <c r="K1" s="107" t="s">
        <v>277</v>
      </c>
    </row>
    <row r="2" spans="1:11" s="150" customFormat="1">
      <c r="A2" s="165">
        <v>1</v>
      </c>
      <c r="B2" s="159" t="s">
        <v>434</v>
      </c>
      <c r="C2" s="147" t="s">
        <v>434</v>
      </c>
      <c r="D2" s="160" t="s">
        <v>434</v>
      </c>
      <c r="E2" s="166"/>
      <c r="F2" s="160"/>
      <c r="G2" s="167"/>
      <c r="H2" s="165"/>
      <c r="I2" s="165"/>
      <c r="J2" s="165"/>
      <c r="K2" s="175" t="s">
        <v>4182</v>
      </c>
    </row>
    <row r="3" spans="1:11" s="64" customFormat="1">
      <c r="A3" s="62"/>
      <c r="B3" s="159"/>
      <c r="C3" s="147"/>
      <c r="D3" s="160"/>
      <c r="E3" s="166"/>
      <c r="F3" s="146"/>
      <c r="G3" s="167"/>
      <c r="H3" s="165"/>
      <c r="I3" s="165"/>
      <c r="J3" s="165"/>
      <c r="K3" s="146"/>
    </row>
    <row r="4" spans="1:11">
      <c r="A4" s="62"/>
      <c r="B4" s="159"/>
      <c r="C4" s="147"/>
      <c r="D4" s="160"/>
      <c r="E4" s="166"/>
      <c r="F4" s="146"/>
      <c r="G4" s="167"/>
      <c r="H4" s="165"/>
      <c r="I4" s="165"/>
      <c r="J4" s="165"/>
      <c r="K4" s="146"/>
    </row>
    <row r="5" spans="1:11">
      <c r="A5" s="62"/>
      <c r="B5" s="159"/>
      <c r="C5" s="147"/>
      <c r="D5" s="160"/>
      <c r="E5" s="161"/>
      <c r="F5" s="146"/>
      <c r="G5" s="167"/>
      <c r="H5" s="165"/>
      <c r="I5" s="165"/>
      <c r="J5" s="165"/>
      <c r="K5" s="146"/>
    </row>
    <row r="6" spans="1:11">
      <c r="A6" s="62"/>
      <c r="B6" s="159"/>
      <c r="C6" s="147"/>
      <c r="D6" s="160"/>
      <c r="E6" s="161"/>
      <c r="F6" s="146"/>
      <c r="G6" s="162"/>
      <c r="H6" s="62"/>
      <c r="I6" s="62"/>
      <c r="J6" s="62"/>
      <c r="K6" s="146"/>
    </row>
    <row r="7" spans="1:11">
      <c r="A7" s="62"/>
      <c r="B7" s="159"/>
      <c r="C7" s="147"/>
      <c r="D7" s="160"/>
      <c r="E7" s="161"/>
      <c r="F7" s="146"/>
      <c r="G7" s="162"/>
      <c r="H7" s="62"/>
      <c r="I7" s="62"/>
      <c r="J7" s="62"/>
      <c r="K7" s="146"/>
    </row>
    <row r="8" spans="1:11">
      <c r="A8" s="62"/>
      <c r="B8" s="159"/>
      <c r="C8" s="147"/>
      <c r="D8" s="160"/>
      <c r="E8" s="161"/>
      <c r="F8" s="146"/>
      <c r="G8" s="162"/>
      <c r="H8" s="62"/>
      <c r="I8" s="62"/>
      <c r="J8" s="62"/>
      <c r="K8" s="146"/>
    </row>
  </sheetData>
  <dataValidations count="4">
    <dataValidation type="list" allowBlank="1" showErrorMessage="1" sqref="E2:E8" xr:uid="{A016A5E9-5B95-45DD-8A2D-3544F200ADC8}">
      <formula1>"Bounceback,Defect,None"</formula1>
    </dataValidation>
    <dataValidation type="list" allowBlank="1" showErrorMessage="1" sqref="I2:I8" xr:uid="{4CDEF5B5-2FC6-45B3-B826-718313D8319A}">
      <formula1>"Open,Inprogress,Closed"</formula1>
    </dataValidation>
    <dataValidation type="list" allowBlank="1" showErrorMessage="1" sqref="H2:H8" xr:uid="{78BA2CCF-218B-409D-BAA5-D190E6E76104}">
      <formula1>"Internal,External"</formula1>
    </dataValidation>
    <dataValidation type="list" allowBlank="1" showErrorMessage="1" sqref="G2:G8" xr:uid="{44531F2B-7E54-482F-9070-D0E7E0643C5C}">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DBCC6E5-473B-46DA-8BB9-BC9D6ABE7A0A}">
          <x14:formula1>
            <xm:f>Details!$A$2:$A$10</xm:f>
          </x14:formula1>
          <xm:sqref>J2:J8</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D0431-210D-4A58-9A23-C5270AA74AC3}">
  <dimension ref="A1:X11"/>
  <sheetViews>
    <sheetView workbookViewId="0">
      <selection activeCell="M2" sqref="M2"/>
    </sheetView>
  </sheetViews>
  <sheetFormatPr defaultRowHeight="12.75"/>
  <cols>
    <col min="1" max="1" width="4.7109375" bestFit="1" customWidth="1"/>
    <col min="2" max="2" width="15.85546875" customWidth="1"/>
    <col min="3" max="3" width="13" customWidth="1"/>
    <col min="4" max="4" width="12.42578125" customWidth="1"/>
    <col min="5" max="5" width="70" bestFit="1" customWidth="1"/>
    <col min="9" max="9" width="11" bestFit="1" customWidth="1"/>
    <col min="10" max="10" width="14.28515625" customWidth="1"/>
    <col min="11" max="11" width="12" customWidth="1"/>
    <col min="12" max="12" width="17.140625" customWidth="1"/>
    <col min="13" max="13" width="23.42578125" customWidth="1"/>
    <col min="14" max="14" width="10.7109375" customWidth="1"/>
    <col min="15" max="15" width="11.28515625" customWidth="1"/>
    <col min="17" max="17" width="17.42578125" customWidth="1"/>
    <col min="18" max="18" width="14.85546875" customWidth="1"/>
    <col min="20" max="20" width="15.42578125" customWidth="1"/>
    <col min="21" max="21" width="13.42578125" customWidth="1"/>
    <col min="22" max="22" width="16.140625" customWidth="1"/>
    <col min="23" max="23" width="13.140625" customWidth="1"/>
    <col min="24" max="24" width="24.140625" customWidth="1"/>
  </cols>
  <sheetData>
    <row r="1" spans="1:24" ht="34.5" customHeight="1">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4065</v>
      </c>
      <c r="Q1" s="98" t="s">
        <v>1201</v>
      </c>
      <c r="R1" s="98" t="s">
        <v>4066</v>
      </c>
      <c r="S1" s="98" t="s">
        <v>1202</v>
      </c>
      <c r="T1" s="98" t="s">
        <v>1201</v>
      </c>
      <c r="U1" s="98" t="s">
        <v>299</v>
      </c>
      <c r="V1" s="98" t="s">
        <v>300</v>
      </c>
      <c r="W1" s="98" t="s">
        <v>275</v>
      </c>
      <c r="X1" s="156" t="s">
        <v>277</v>
      </c>
    </row>
    <row r="2" spans="1:24" s="93" customFormat="1" ht="69">
      <c r="A2" s="93">
        <v>1</v>
      </c>
      <c r="B2" s="93" t="s">
        <v>4183</v>
      </c>
      <c r="C2" s="93" t="s">
        <v>1229</v>
      </c>
      <c r="D2" s="93">
        <v>44857</v>
      </c>
      <c r="E2" s="96" t="s">
        <v>4184</v>
      </c>
      <c r="F2" s="93">
        <v>5</v>
      </c>
      <c r="G2" s="93">
        <v>5</v>
      </c>
      <c r="H2" s="93" t="s">
        <v>319</v>
      </c>
      <c r="I2" s="118" t="s">
        <v>3978</v>
      </c>
      <c r="J2" s="124" t="s">
        <v>3979</v>
      </c>
      <c r="K2" s="118" t="s">
        <v>3978</v>
      </c>
      <c r="L2" s="124" t="s">
        <v>3979</v>
      </c>
      <c r="M2" s="130" t="s">
        <v>4185</v>
      </c>
      <c r="N2" s="168">
        <v>45436</v>
      </c>
      <c r="O2" s="168">
        <v>45436</v>
      </c>
      <c r="P2" s="93" t="s">
        <v>317</v>
      </c>
      <c r="Q2" s="124" t="s">
        <v>3979</v>
      </c>
      <c r="R2" s="47" t="s">
        <v>3981</v>
      </c>
      <c r="S2" s="168">
        <v>45436</v>
      </c>
      <c r="T2" s="124" t="s">
        <v>3979</v>
      </c>
      <c r="U2" s="124" t="s">
        <v>3979</v>
      </c>
      <c r="V2" s="124" t="s">
        <v>3979</v>
      </c>
      <c r="W2" s="93" t="s">
        <v>576</v>
      </c>
    </row>
    <row r="3" spans="1:24" s="93" customFormat="1" ht="46.5">
      <c r="A3" s="93">
        <v>2</v>
      </c>
      <c r="B3" s="93" t="s">
        <v>4183</v>
      </c>
      <c r="C3" s="93" t="s">
        <v>1229</v>
      </c>
      <c r="D3" s="164">
        <v>44193</v>
      </c>
      <c r="E3" s="96" t="s">
        <v>4186</v>
      </c>
      <c r="F3" s="93">
        <v>2</v>
      </c>
      <c r="G3" s="93">
        <v>2</v>
      </c>
      <c r="R3" s="93" t="s">
        <v>320</v>
      </c>
      <c r="S3" s="93" t="s">
        <v>320</v>
      </c>
      <c r="T3" s="93" t="s">
        <v>320</v>
      </c>
      <c r="U3" s="93" t="s">
        <v>320</v>
      </c>
      <c r="V3" s="93" t="s">
        <v>320</v>
      </c>
      <c r="W3" s="93" t="s">
        <v>576</v>
      </c>
      <c r="X3" s="96" t="s">
        <v>4187</v>
      </c>
    </row>
    <row r="4" spans="1:24" s="93" customFormat="1" ht="69">
      <c r="A4" s="93">
        <v>3</v>
      </c>
      <c r="B4" s="93" t="s">
        <v>4183</v>
      </c>
      <c r="C4" s="93" t="s">
        <v>317</v>
      </c>
      <c r="D4" s="93">
        <v>23317</v>
      </c>
      <c r="E4" s="96" t="s">
        <v>4188</v>
      </c>
      <c r="F4" s="93">
        <v>1</v>
      </c>
      <c r="G4" s="93">
        <v>1</v>
      </c>
      <c r="H4" s="93" t="s">
        <v>319</v>
      </c>
      <c r="I4" s="93" t="s">
        <v>3978</v>
      </c>
      <c r="J4" s="93" t="s">
        <v>3979</v>
      </c>
      <c r="K4" s="118" t="s">
        <v>3978</v>
      </c>
      <c r="L4" s="93" t="s">
        <v>3979</v>
      </c>
      <c r="M4" s="130" t="s">
        <v>4189</v>
      </c>
      <c r="N4" s="171">
        <v>45433</v>
      </c>
      <c r="O4" s="171">
        <v>45433</v>
      </c>
      <c r="P4" s="93" t="s">
        <v>317</v>
      </c>
      <c r="Q4" s="93" t="s">
        <v>3979</v>
      </c>
      <c r="R4" s="47" t="s">
        <v>3981</v>
      </c>
      <c r="S4" s="168">
        <v>45436</v>
      </c>
      <c r="T4" s="124" t="s">
        <v>3979</v>
      </c>
      <c r="U4" s="124" t="s">
        <v>3979</v>
      </c>
      <c r="V4" s="124" t="s">
        <v>3979</v>
      </c>
      <c r="W4" s="93" t="s">
        <v>576</v>
      </c>
    </row>
    <row r="5" spans="1:24" s="93" customFormat="1" ht="83.25" customHeight="1">
      <c r="A5" s="93">
        <v>4</v>
      </c>
      <c r="B5" s="93" t="s">
        <v>4190</v>
      </c>
      <c r="C5" s="93" t="s">
        <v>3978</v>
      </c>
      <c r="D5" s="93">
        <v>44840</v>
      </c>
      <c r="E5" s="96" t="s">
        <v>4191</v>
      </c>
      <c r="F5" s="93">
        <v>5</v>
      </c>
      <c r="G5" s="93">
        <v>5</v>
      </c>
      <c r="H5" s="93" t="s">
        <v>320</v>
      </c>
      <c r="I5" s="93" t="s">
        <v>320</v>
      </c>
      <c r="J5" s="93" t="s">
        <v>320</v>
      </c>
      <c r="K5" s="93" t="s">
        <v>320</v>
      </c>
      <c r="L5" s="93" t="s">
        <v>320</v>
      </c>
      <c r="M5" s="93" t="s">
        <v>320</v>
      </c>
      <c r="N5" s="93" t="s">
        <v>320</v>
      </c>
      <c r="O5" s="93" t="s">
        <v>320</v>
      </c>
      <c r="P5" s="93" t="s">
        <v>320</v>
      </c>
      <c r="Q5" s="93" t="s">
        <v>320</v>
      </c>
      <c r="R5" s="93" t="s">
        <v>320</v>
      </c>
      <c r="S5" s="93" t="s">
        <v>320</v>
      </c>
      <c r="T5" s="93" t="s">
        <v>320</v>
      </c>
      <c r="U5" s="93" t="s">
        <v>320</v>
      </c>
      <c r="V5" s="93" t="s">
        <v>320</v>
      </c>
      <c r="W5" s="93" t="s">
        <v>576</v>
      </c>
      <c r="X5" s="76" t="s">
        <v>4192</v>
      </c>
    </row>
    <row r="6" spans="1:24" s="93" customFormat="1" ht="69">
      <c r="A6" s="93">
        <v>5</v>
      </c>
      <c r="B6" s="93" t="s">
        <v>4190</v>
      </c>
      <c r="C6" s="93" t="s">
        <v>3978</v>
      </c>
      <c r="D6" s="93">
        <v>44028</v>
      </c>
      <c r="E6" s="96" t="s">
        <v>4193</v>
      </c>
      <c r="F6" s="93">
        <v>1</v>
      </c>
      <c r="G6" s="93">
        <v>1</v>
      </c>
      <c r="H6" s="93" t="s">
        <v>319</v>
      </c>
      <c r="I6" s="93" t="s">
        <v>315</v>
      </c>
      <c r="J6" s="124" t="s">
        <v>3979</v>
      </c>
      <c r="K6" s="93" t="s">
        <v>315</v>
      </c>
      <c r="L6" s="124" t="s">
        <v>3979</v>
      </c>
      <c r="M6" s="130" t="s">
        <v>4194</v>
      </c>
      <c r="N6" s="121">
        <v>45435</v>
      </c>
      <c r="O6" s="121">
        <v>45436</v>
      </c>
      <c r="P6" s="93" t="s">
        <v>317</v>
      </c>
      <c r="Q6" s="124" t="s">
        <v>3979</v>
      </c>
      <c r="R6" s="47" t="s">
        <v>3981</v>
      </c>
      <c r="S6" s="121">
        <v>45436</v>
      </c>
      <c r="T6" s="124" t="s">
        <v>3979</v>
      </c>
      <c r="U6" s="124" t="s">
        <v>3979</v>
      </c>
      <c r="V6" s="124" t="s">
        <v>3979</v>
      </c>
      <c r="W6" s="93" t="s">
        <v>576</v>
      </c>
      <c r="X6" s="76"/>
    </row>
    <row r="7" spans="1:24" s="93" customFormat="1" ht="69">
      <c r="A7" s="93">
        <v>6</v>
      </c>
      <c r="B7" s="93" t="s">
        <v>4195</v>
      </c>
      <c r="C7" s="93" t="s">
        <v>3978</v>
      </c>
      <c r="D7" s="93">
        <v>23443</v>
      </c>
      <c r="E7" s="96" t="s">
        <v>4196</v>
      </c>
      <c r="F7" s="93">
        <v>1</v>
      </c>
      <c r="G7" s="93">
        <v>1</v>
      </c>
      <c r="H7" s="93" t="s">
        <v>319</v>
      </c>
      <c r="I7" s="93" t="s">
        <v>315</v>
      </c>
      <c r="J7" s="124" t="s">
        <v>3979</v>
      </c>
      <c r="K7" s="93" t="s">
        <v>315</v>
      </c>
      <c r="L7" s="124" t="s">
        <v>3979</v>
      </c>
      <c r="M7" s="130" t="s">
        <v>4197</v>
      </c>
      <c r="N7" s="121">
        <v>45441</v>
      </c>
      <c r="O7" s="121">
        <v>45441</v>
      </c>
      <c r="P7" s="93" t="s">
        <v>317</v>
      </c>
      <c r="Q7" s="124" t="s">
        <v>3979</v>
      </c>
      <c r="R7" s="47" t="s">
        <v>3981</v>
      </c>
      <c r="S7" s="121">
        <v>45441</v>
      </c>
      <c r="T7" s="124" t="s">
        <v>3979</v>
      </c>
      <c r="U7" s="124" t="s">
        <v>3979</v>
      </c>
      <c r="V7" s="124" t="s">
        <v>3979</v>
      </c>
      <c r="W7" s="93" t="s">
        <v>576</v>
      </c>
      <c r="X7" s="76"/>
    </row>
    <row r="8" spans="1:24" s="93" customFormat="1" ht="69">
      <c r="A8" s="93">
        <v>6</v>
      </c>
      <c r="B8" s="93" t="s">
        <v>4195</v>
      </c>
      <c r="C8" s="93" t="s">
        <v>3978</v>
      </c>
      <c r="D8" s="93">
        <v>23444</v>
      </c>
      <c r="E8" s="96" t="s">
        <v>4198</v>
      </c>
      <c r="F8" s="93">
        <v>1</v>
      </c>
      <c r="G8" s="93">
        <v>1</v>
      </c>
      <c r="H8" s="93" t="s">
        <v>319</v>
      </c>
      <c r="I8" s="93" t="s">
        <v>315</v>
      </c>
      <c r="J8" s="124" t="s">
        <v>3979</v>
      </c>
      <c r="K8" s="93" t="s">
        <v>315</v>
      </c>
      <c r="L8" s="124" t="s">
        <v>3979</v>
      </c>
      <c r="M8" s="130" t="s">
        <v>4199</v>
      </c>
      <c r="N8" s="121">
        <v>45443</v>
      </c>
      <c r="O8" s="121">
        <v>45443</v>
      </c>
      <c r="P8" s="93" t="s">
        <v>317</v>
      </c>
      <c r="Q8" s="124" t="s">
        <v>3979</v>
      </c>
      <c r="R8" s="47" t="s">
        <v>3981</v>
      </c>
      <c r="S8" s="121">
        <v>45443</v>
      </c>
      <c r="T8" s="124" t="s">
        <v>3979</v>
      </c>
      <c r="U8" s="124" t="s">
        <v>3979</v>
      </c>
      <c r="V8" s="124" t="s">
        <v>3979</v>
      </c>
      <c r="W8" s="93" t="s">
        <v>576</v>
      </c>
      <c r="X8" s="76"/>
    </row>
    <row r="9" spans="1:24" ht="43.5" customHeight="1">
      <c r="A9" s="93">
        <v>7</v>
      </c>
      <c r="B9" s="93" t="s">
        <v>4195</v>
      </c>
      <c r="C9" s="93" t="s">
        <v>3978</v>
      </c>
      <c r="D9" s="93">
        <v>22950</v>
      </c>
      <c r="E9" s="96" t="s">
        <v>4165</v>
      </c>
      <c r="F9" s="172">
        <v>3</v>
      </c>
      <c r="G9" s="93">
        <v>3</v>
      </c>
      <c r="H9" s="93" t="s">
        <v>320</v>
      </c>
      <c r="I9" s="93" t="s">
        <v>320</v>
      </c>
      <c r="J9" s="93" t="s">
        <v>320</v>
      </c>
      <c r="K9" s="93" t="s">
        <v>320</v>
      </c>
      <c r="L9" s="93" t="s">
        <v>320</v>
      </c>
      <c r="M9" s="93" t="s">
        <v>320</v>
      </c>
      <c r="N9" s="93" t="s">
        <v>320</v>
      </c>
      <c r="O9" s="93" t="s">
        <v>320</v>
      </c>
      <c r="P9" s="93" t="s">
        <v>320</v>
      </c>
      <c r="Q9" s="93" t="s">
        <v>320</v>
      </c>
      <c r="R9" s="93" t="s">
        <v>320</v>
      </c>
      <c r="S9" s="93" t="s">
        <v>320</v>
      </c>
      <c r="T9" s="93" t="s">
        <v>320</v>
      </c>
      <c r="U9" s="93" t="s">
        <v>320</v>
      </c>
      <c r="V9" s="93" t="s">
        <v>320</v>
      </c>
      <c r="W9" s="93" t="s">
        <v>1205</v>
      </c>
      <c r="X9" s="76" t="s">
        <v>4200</v>
      </c>
    </row>
    <row r="10" spans="1:24" ht="69">
      <c r="A10" s="118">
        <v>8</v>
      </c>
      <c r="B10" s="118" t="s">
        <v>4195</v>
      </c>
      <c r="C10" s="118" t="s">
        <v>317</v>
      </c>
      <c r="D10" s="118">
        <v>23454</v>
      </c>
      <c r="E10" s="119" t="s">
        <v>4181</v>
      </c>
      <c r="F10" s="173">
        <v>1</v>
      </c>
      <c r="G10" s="118">
        <v>1</v>
      </c>
      <c r="H10" s="118" t="s">
        <v>319</v>
      </c>
      <c r="I10" s="118" t="s">
        <v>3978</v>
      </c>
      <c r="J10" s="169" t="s">
        <v>3979</v>
      </c>
      <c r="K10" s="118" t="s">
        <v>3978</v>
      </c>
      <c r="L10" s="169" t="s">
        <v>3979</v>
      </c>
      <c r="M10" s="170" t="s">
        <v>4201</v>
      </c>
      <c r="N10" s="128">
        <v>45447</v>
      </c>
      <c r="O10" s="128">
        <v>45447</v>
      </c>
      <c r="P10" s="118" t="s">
        <v>317</v>
      </c>
      <c r="Q10" s="169" t="s">
        <v>3979</v>
      </c>
      <c r="R10" s="126" t="s">
        <v>3981</v>
      </c>
      <c r="S10" s="128">
        <v>45447</v>
      </c>
      <c r="T10" s="169" t="s">
        <v>3979</v>
      </c>
      <c r="U10" s="169" t="s">
        <v>3979</v>
      </c>
      <c r="V10" s="169" t="s">
        <v>3979</v>
      </c>
      <c r="W10" s="118" t="s">
        <v>1205</v>
      </c>
      <c r="X10" s="80" t="s">
        <v>4202</v>
      </c>
    </row>
    <row r="11" spans="1:24" ht="69">
      <c r="A11" s="93">
        <v>9</v>
      </c>
      <c r="B11" s="93" t="s">
        <v>4195</v>
      </c>
      <c r="C11" s="93" t="s">
        <v>1229</v>
      </c>
      <c r="D11" s="93">
        <v>44855</v>
      </c>
      <c r="E11" s="96" t="s">
        <v>4203</v>
      </c>
      <c r="F11" s="93">
        <v>1</v>
      </c>
      <c r="G11" s="93">
        <v>1</v>
      </c>
      <c r="H11" s="93" t="s">
        <v>319</v>
      </c>
      <c r="I11" s="93" t="s">
        <v>3978</v>
      </c>
      <c r="J11" s="124" t="s">
        <v>3979</v>
      </c>
      <c r="K11" s="93" t="s">
        <v>3978</v>
      </c>
      <c r="L11" s="124" t="s">
        <v>3979</v>
      </c>
      <c r="M11" s="130" t="s">
        <v>4204</v>
      </c>
      <c r="N11" s="168">
        <v>45443</v>
      </c>
      <c r="O11" s="168">
        <v>45446</v>
      </c>
      <c r="P11" s="93" t="s">
        <v>317</v>
      </c>
      <c r="Q11" s="96" t="s">
        <v>4205</v>
      </c>
      <c r="R11" s="124" t="s">
        <v>3981</v>
      </c>
      <c r="S11" s="168">
        <v>45446</v>
      </c>
      <c r="T11" s="124" t="s">
        <v>3979</v>
      </c>
      <c r="U11" s="124" t="s">
        <v>3979</v>
      </c>
      <c r="V11" s="124" t="s">
        <v>3979</v>
      </c>
      <c r="W11" s="93" t="s">
        <v>576</v>
      </c>
      <c r="X11" s="93"/>
    </row>
  </sheetData>
  <dataValidations count="1">
    <dataValidation type="list" allowBlank="1" showErrorMessage="1" sqref="W2:W11" xr:uid="{57BEF26F-7B22-4DE2-936E-09F23330B684}">
      <formula1>"Open,Inprogress,Closed"</formula1>
    </dataValidation>
  </dataValidations>
  <hyperlinks>
    <hyperlink ref="M5" r:id="rId1" xr:uid="{ECF7D8B9-D1CC-4492-B06C-037FF8122BE3}"/>
    <hyperlink ref="M6" r:id="rId2" xr:uid="{B8CACF5E-1D58-4924-9227-9DD9C21BBC5C}"/>
    <hyperlink ref="M7" r:id="rId3" xr:uid="{C5551E15-C0C9-4C21-8DC2-7AD7A6618A9B}"/>
    <hyperlink ref="M8" r:id="rId4" xr:uid="{69B2F17F-9478-4731-8E20-9B2A01D0CF04}"/>
    <hyperlink ref="M9" r:id="rId5" xr:uid="{C7AAEBF0-7819-427F-A772-DC5C9DB90632}"/>
    <hyperlink ref="M10" r:id="rId6" xr:uid="{098AFCA5-BBC8-48F6-9383-1A04CBC16DEA}"/>
    <hyperlink ref="M11" r:id="rId7" xr:uid="{B133B6D0-DE84-4470-87DE-5F38AE2E4539}"/>
    <hyperlink ref="M2" r:id="rId8" xr:uid="{80171CE6-5F1A-42EE-8BE8-F2378F60ADC1}"/>
    <hyperlink ref="M4" r:id="rId9" xr:uid="{9B728F68-696F-4735-A294-21E49129B7FE}"/>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C8E3A-8FC0-41BE-8F73-4D0D8670CBD5}">
  <dimension ref="A1:K8"/>
  <sheetViews>
    <sheetView workbookViewId="0">
      <selection activeCell="J5" sqref="J5"/>
    </sheetView>
  </sheetViews>
  <sheetFormatPr defaultRowHeight="12.75"/>
  <cols>
    <col min="2" max="2" width="10.7109375" customWidth="1"/>
    <col min="3" max="3" width="16" customWidth="1"/>
    <col min="4" max="4" width="11.42578125" customWidth="1"/>
    <col min="5" max="5" width="11.85546875" customWidth="1"/>
    <col min="6" max="6" width="42.140625" customWidth="1"/>
    <col min="7" max="7" width="10.140625" customWidth="1"/>
    <col min="10" max="10" width="14.28515625" customWidth="1"/>
    <col min="11" max="11" width="10.28515625" customWidth="1"/>
  </cols>
  <sheetData>
    <row r="1" spans="1:11" ht="27">
      <c r="A1" s="98" t="s">
        <v>266</v>
      </c>
      <c r="B1" s="104" t="s">
        <v>10</v>
      </c>
      <c r="C1" s="105" t="s">
        <v>267</v>
      </c>
      <c r="D1" s="104" t="s">
        <v>269</v>
      </c>
      <c r="E1" s="61" t="s">
        <v>270</v>
      </c>
      <c r="F1" s="61" t="s">
        <v>271</v>
      </c>
      <c r="G1" s="104" t="s">
        <v>272</v>
      </c>
      <c r="H1" s="104" t="s">
        <v>274</v>
      </c>
      <c r="I1" s="104" t="s">
        <v>275</v>
      </c>
      <c r="J1" s="106" t="s">
        <v>276</v>
      </c>
      <c r="K1" s="107" t="s">
        <v>277</v>
      </c>
    </row>
    <row r="2" spans="1:11" s="150" customFormat="1" ht="24">
      <c r="A2" s="165">
        <v>1</v>
      </c>
      <c r="B2" s="159" t="s">
        <v>4183</v>
      </c>
      <c r="C2" s="147">
        <v>23317</v>
      </c>
      <c r="D2" s="160" t="s">
        <v>4046</v>
      </c>
      <c r="E2" s="166" t="s">
        <v>522</v>
      </c>
      <c r="F2" s="160" t="s">
        <v>4206</v>
      </c>
      <c r="G2" s="167" t="s">
        <v>1670</v>
      </c>
      <c r="H2" s="165" t="s">
        <v>525</v>
      </c>
      <c r="I2" s="165" t="s">
        <v>576</v>
      </c>
      <c r="J2" s="165" t="s">
        <v>529</v>
      </c>
      <c r="K2" s="147"/>
    </row>
    <row r="3" spans="1:11" s="64" customFormat="1" ht="36">
      <c r="A3" s="62">
        <v>2</v>
      </c>
      <c r="B3" s="159" t="s">
        <v>4183</v>
      </c>
      <c r="C3" s="147">
        <v>23443</v>
      </c>
      <c r="D3" s="160" t="s">
        <v>4046</v>
      </c>
      <c r="E3" s="166" t="s">
        <v>522</v>
      </c>
      <c r="F3" s="146" t="s">
        <v>4196</v>
      </c>
      <c r="G3" s="167" t="s">
        <v>1670</v>
      </c>
      <c r="H3" s="165" t="s">
        <v>525</v>
      </c>
      <c r="I3" s="165" t="s">
        <v>576</v>
      </c>
      <c r="J3" s="165" t="s">
        <v>529</v>
      </c>
      <c r="K3" s="146"/>
    </row>
    <row r="4" spans="1:11" ht="36">
      <c r="A4" s="62">
        <v>3</v>
      </c>
      <c r="B4" s="159" t="s">
        <v>4183</v>
      </c>
      <c r="C4" s="147">
        <v>23444</v>
      </c>
      <c r="D4" s="160" t="s">
        <v>4046</v>
      </c>
      <c r="E4" s="166" t="s">
        <v>522</v>
      </c>
      <c r="F4" s="146" t="s">
        <v>4198</v>
      </c>
      <c r="G4" s="167" t="s">
        <v>1670</v>
      </c>
      <c r="H4" s="165" t="s">
        <v>525</v>
      </c>
      <c r="I4" s="165" t="s">
        <v>576</v>
      </c>
      <c r="J4" s="165" t="s">
        <v>529</v>
      </c>
      <c r="K4" s="146"/>
    </row>
    <row r="5" spans="1:11" ht="36">
      <c r="A5" s="62">
        <v>4</v>
      </c>
      <c r="B5" s="159" t="s">
        <v>4183</v>
      </c>
      <c r="C5" s="147" t="s">
        <v>4207</v>
      </c>
      <c r="D5" s="160" t="s">
        <v>4046</v>
      </c>
      <c r="E5" s="161" t="s">
        <v>522</v>
      </c>
      <c r="F5" s="146" t="s">
        <v>4208</v>
      </c>
      <c r="G5" s="167" t="s">
        <v>1670</v>
      </c>
      <c r="H5" s="165" t="s">
        <v>525</v>
      </c>
      <c r="I5" s="165" t="s">
        <v>576</v>
      </c>
      <c r="J5" s="165" t="s">
        <v>529</v>
      </c>
      <c r="K5" s="146"/>
    </row>
    <row r="6" spans="1:11">
      <c r="A6" s="62"/>
      <c r="B6" s="159"/>
      <c r="C6" s="147"/>
      <c r="D6" s="160"/>
      <c r="E6" s="161"/>
      <c r="F6" s="146"/>
      <c r="G6" s="162"/>
      <c r="H6" s="62"/>
      <c r="I6" s="62"/>
      <c r="J6" s="62"/>
      <c r="K6" s="146"/>
    </row>
    <row r="7" spans="1:11">
      <c r="A7" s="62"/>
      <c r="B7" s="159"/>
      <c r="C7" s="147"/>
      <c r="D7" s="160"/>
      <c r="E7" s="161"/>
      <c r="F7" s="146"/>
      <c r="G7" s="162"/>
      <c r="H7" s="62"/>
      <c r="I7" s="62"/>
      <c r="J7" s="62"/>
      <c r="K7" s="146"/>
    </row>
    <row r="8" spans="1:11">
      <c r="A8" s="62"/>
      <c r="B8" s="159"/>
      <c r="C8" s="147"/>
      <c r="D8" s="160"/>
      <c r="E8" s="161"/>
      <c r="F8" s="146"/>
      <c r="G8" s="162"/>
      <c r="H8" s="62"/>
      <c r="I8" s="62"/>
      <c r="J8" s="62"/>
      <c r="K8" s="146"/>
    </row>
  </sheetData>
  <dataValidations count="4">
    <dataValidation type="list" allowBlank="1" showErrorMessage="1" sqref="E2:E8" xr:uid="{AE178BCD-94CA-4EF4-9E34-F1F96B409F59}">
      <formula1>"Bounceback,Defect,None"</formula1>
    </dataValidation>
    <dataValidation type="list" allowBlank="1" showErrorMessage="1" sqref="I2:I8" xr:uid="{6DDDDDE8-C0EE-44F1-9847-53C62F9758FA}">
      <formula1>"Open,Inprogress,Closed"</formula1>
    </dataValidation>
    <dataValidation type="list" allowBlank="1" showErrorMessage="1" sqref="H2:H8" xr:uid="{F0C0BCD9-B9F1-4B03-8C33-835A646B51F7}">
      <formula1>"Internal,External"</formula1>
    </dataValidation>
    <dataValidation type="list" allowBlank="1" showErrorMessage="1" sqref="G2:G8" xr:uid="{3B26B304-898B-4924-9AB8-7C7F29202908}">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EF57A2B-69E6-4583-BB93-C6EA4D6FAD78}">
          <x14:formula1>
            <xm:f>Details!$A$2:$A$10</xm:f>
          </x14:formula1>
          <xm:sqref>J2:J8</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32391-F9F9-4152-9AC9-FB4D2BE65CCB}">
  <dimension ref="A1:X9"/>
  <sheetViews>
    <sheetView workbookViewId="0">
      <pane xSplit="4" topLeftCell="V1" activePane="topRight" state="frozen"/>
      <selection pane="topRight" activeCell="X5" sqref="X5"/>
    </sheetView>
  </sheetViews>
  <sheetFormatPr defaultRowHeight="12.75"/>
  <cols>
    <col min="1" max="1" width="4.7109375" bestFit="1" customWidth="1"/>
    <col min="2" max="2" width="15.85546875" customWidth="1"/>
    <col min="3" max="3" width="13" customWidth="1"/>
    <col min="4" max="4" width="12.42578125" customWidth="1"/>
    <col min="5" max="5" width="70" bestFit="1" customWidth="1"/>
    <col min="9" max="9" width="11" bestFit="1" customWidth="1"/>
    <col min="10" max="10" width="14.28515625" customWidth="1"/>
    <col min="11" max="11" width="12" customWidth="1"/>
    <col min="12" max="12" width="17.140625" customWidth="1"/>
    <col min="13" max="13" width="23.42578125" customWidth="1"/>
    <col min="14" max="14" width="10.7109375" customWidth="1"/>
    <col min="15" max="15" width="11.28515625" customWidth="1"/>
    <col min="17" max="17" width="17.42578125" customWidth="1"/>
    <col min="18" max="18" width="14.85546875" customWidth="1"/>
    <col min="19" max="19" width="22.85546875" customWidth="1"/>
    <col min="20" max="20" width="15.42578125" customWidth="1"/>
    <col min="21" max="21" width="13.42578125" customWidth="1"/>
    <col min="22" max="22" width="16.140625" customWidth="1"/>
    <col min="23" max="23" width="13.140625" customWidth="1"/>
    <col min="24" max="24" width="24.140625" customWidth="1"/>
  </cols>
  <sheetData>
    <row r="1" spans="1:24" ht="34.5" customHeight="1">
      <c r="A1" s="155" t="s">
        <v>266</v>
      </c>
      <c r="B1" s="98" t="s">
        <v>278</v>
      </c>
      <c r="C1" s="98" t="s">
        <v>269</v>
      </c>
      <c r="D1" s="98" t="s">
        <v>279</v>
      </c>
      <c r="E1" s="98" t="s">
        <v>280</v>
      </c>
      <c r="F1" s="98" t="s">
        <v>1195</v>
      </c>
      <c r="G1" s="98" t="s">
        <v>1196</v>
      </c>
      <c r="H1" s="98" t="s">
        <v>286</v>
      </c>
      <c r="I1" s="98" t="s">
        <v>287</v>
      </c>
      <c r="J1" s="98" t="s">
        <v>288</v>
      </c>
      <c r="K1" s="98" t="s">
        <v>289</v>
      </c>
      <c r="L1" s="98" t="s">
        <v>290</v>
      </c>
      <c r="M1" s="98" t="s">
        <v>291</v>
      </c>
      <c r="N1" s="98" t="s">
        <v>292</v>
      </c>
      <c r="O1" s="98" t="s">
        <v>293</v>
      </c>
      <c r="P1" s="98" t="s">
        <v>4065</v>
      </c>
      <c r="Q1" s="98" t="s">
        <v>1201</v>
      </c>
      <c r="R1" s="98" t="s">
        <v>4066</v>
      </c>
      <c r="S1" s="98" t="s">
        <v>1202</v>
      </c>
      <c r="T1" s="98" t="s">
        <v>1201</v>
      </c>
      <c r="U1" s="98" t="s">
        <v>299</v>
      </c>
      <c r="V1" s="98" t="s">
        <v>300</v>
      </c>
      <c r="W1" s="98" t="s">
        <v>275</v>
      </c>
      <c r="X1" s="156" t="s">
        <v>277</v>
      </c>
    </row>
    <row r="2" spans="1:24" s="93" customFormat="1">
      <c r="A2" s="93">
        <v>1</v>
      </c>
      <c r="B2" s="93" t="s">
        <v>4209</v>
      </c>
      <c r="C2" s="93" t="s">
        <v>317</v>
      </c>
      <c r="D2" s="93">
        <v>23357</v>
      </c>
      <c r="E2" s="93" t="s">
        <v>4210</v>
      </c>
      <c r="F2" s="93">
        <v>3</v>
      </c>
      <c r="G2" s="93">
        <v>3</v>
      </c>
      <c r="H2" s="7" t="s">
        <v>319</v>
      </c>
      <c r="I2" s="93" t="s">
        <v>3978</v>
      </c>
      <c r="J2" s="124" t="s">
        <v>3979</v>
      </c>
      <c r="K2" s="93" t="s">
        <v>3978</v>
      </c>
      <c r="L2" s="124" t="s">
        <v>3979</v>
      </c>
      <c r="M2" s="157" t="s">
        <v>4211</v>
      </c>
      <c r="N2" s="158">
        <v>45421</v>
      </c>
      <c r="O2" s="158">
        <v>45421</v>
      </c>
      <c r="P2" s="93" t="s">
        <v>317</v>
      </c>
      <c r="Q2" s="93" t="s">
        <v>3979</v>
      </c>
      <c r="S2" s="158">
        <v>45421</v>
      </c>
      <c r="T2" s="93" t="s">
        <v>3979</v>
      </c>
      <c r="U2" s="93" t="s">
        <v>3979</v>
      </c>
      <c r="V2" s="93" t="s">
        <v>3979</v>
      </c>
      <c r="W2" s="93" t="s">
        <v>576</v>
      </c>
    </row>
    <row r="3" spans="1:24" s="93" customFormat="1" ht="48">
      <c r="A3" s="93">
        <v>2</v>
      </c>
      <c r="B3" s="93" t="s">
        <v>4209</v>
      </c>
      <c r="C3" s="93" t="s">
        <v>3978</v>
      </c>
      <c r="D3" s="93">
        <v>44191</v>
      </c>
      <c r="E3" s="96" t="s">
        <v>4212</v>
      </c>
      <c r="F3" s="93">
        <v>1</v>
      </c>
      <c r="G3" s="93">
        <v>1</v>
      </c>
      <c r="H3" s="93" t="s">
        <v>320</v>
      </c>
      <c r="I3" s="93" t="s">
        <v>320</v>
      </c>
      <c r="J3" s="93" t="s">
        <v>320</v>
      </c>
      <c r="K3" s="93" t="s">
        <v>320</v>
      </c>
      <c r="L3" s="93" t="s">
        <v>320</v>
      </c>
      <c r="M3" s="93" t="s">
        <v>320</v>
      </c>
      <c r="N3" s="93" t="s">
        <v>320</v>
      </c>
      <c r="O3" s="93" t="s">
        <v>320</v>
      </c>
      <c r="P3" s="93" t="s">
        <v>320</v>
      </c>
      <c r="Q3" s="93" t="s">
        <v>320</v>
      </c>
      <c r="R3" s="93" t="s">
        <v>320</v>
      </c>
      <c r="S3" s="93" t="s">
        <v>320</v>
      </c>
      <c r="T3" s="93" t="s">
        <v>320</v>
      </c>
      <c r="U3" s="93" t="s">
        <v>320</v>
      </c>
      <c r="V3" s="93" t="s">
        <v>320</v>
      </c>
      <c r="W3" s="93" t="s">
        <v>576</v>
      </c>
      <c r="X3" s="96" t="s">
        <v>4187</v>
      </c>
    </row>
    <row r="4" spans="1:24" s="93" customFormat="1" ht="72">
      <c r="A4" s="93">
        <v>3</v>
      </c>
      <c r="B4" s="93" t="s">
        <v>4209</v>
      </c>
      <c r="C4" s="93" t="s">
        <v>315</v>
      </c>
      <c r="D4" s="164">
        <v>44193</v>
      </c>
      <c r="E4" s="96" t="s">
        <v>4186</v>
      </c>
      <c r="F4" s="93">
        <v>3</v>
      </c>
      <c r="G4" s="93">
        <v>5</v>
      </c>
      <c r="H4" s="93" t="s">
        <v>319</v>
      </c>
      <c r="I4" s="93" t="s">
        <v>3978</v>
      </c>
      <c r="J4" s="124" t="s">
        <v>3979</v>
      </c>
      <c r="K4" s="93" t="s">
        <v>3978</v>
      </c>
      <c r="L4" s="124" t="s">
        <v>3979</v>
      </c>
      <c r="M4" s="130" t="s">
        <v>4213</v>
      </c>
      <c r="N4" s="121">
        <v>45429</v>
      </c>
      <c r="O4" s="121">
        <v>45429</v>
      </c>
      <c r="P4" s="93" t="s">
        <v>317</v>
      </c>
      <c r="Q4" s="96" t="s">
        <v>4214</v>
      </c>
      <c r="R4" s="47" t="s">
        <v>3981</v>
      </c>
      <c r="S4" s="121">
        <v>45429</v>
      </c>
      <c r="T4" s="124" t="s">
        <v>3979</v>
      </c>
      <c r="U4" s="124" t="s">
        <v>3979</v>
      </c>
      <c r="V4" s="124" t="s">
        <v>3979</v>
      </c>
      <c r="W4" s="93" t="s">
        <v>1205</v>
      </c>
      <c r="X4" s="93" t="s">
        <v>4215</v>
      </c>
    </row>
    <row r="5" spans="1:24" s="93" customFormat="1" ht="69">
      <c r="A5" s="93">
        <v>4</v>
      </c>
      <c r="B5" s="93" t="s">
        <v>4209</v>
      </c>
      <c r="C5" s="93" t="s">
        <v>3978</v>
      </c>
      <c r="D5" s="93">
        <v>44195</v>
      </c>
      <c r="E5" s="96" t="s">
        <v>4216</v>
      </c>
      <c r="F5" s="93">
        <v>2</v>
      </c>
      <c r="G5" s="93">
        <v>2</v>
      </c>
      <c r="H5" s="93" t="s">
        <v>319</v>
      </c>
      <c r="I5" s="93" t="s">
        <v>315</v>
      </c>
      <c r="J5" s="124" t="s">
        <v>3979</v>
      </c>
      <c r="K5" s="93" t="s">
        <v>315</v>
      </c>
      <c r="L5" s="124" t="s">
        <v>3979</v>
      </c>
      <c r="M5" s="130" t="s">
        <v>4217</v>
      </c>
      <c r="N5" s="121">
        <v>45428</v>
      </c>
      <c r="O5" s="121">
        <v>45429</v>
      </c>
      <c r="P5" s="93" t="s">
        <v>317</v>
      </c>
      <c r="Q5" s="124" t="s">
        <v>3979</v>
      </c>
      <c r="R5" s="47" t="s">
        <v>3981</v>
      </c>
      <c r="S5" s="121">
        <v>45429</v>
      </c>
      <c r="T5" s="124" t="s">
        <v>3979</v>
      </c>
      <c r="U5" s="124" t="s">
        <v>3979</v>
      </c>
      <c r="V5" s="124" t="s">
        <v>3979</v>
      </c>
      <c r="W5" s="93" t="s">
        <v>576</v>
      </c>
      <c r="X5" s="76" t="s">
        <v>4218</v>
      </c>
    </row>
    <row r="6" spans="1:24" s="93" customFormat="1" ht="69">
      <c r="A6" s="93">
        <v>5</v>
      </c>
      <c r="B6" s="93" t="s">
        <v>4219</v>
      </c>
      <c r="C6" s="93" t="s">
        <v>3978</v>
      </c>
      <c r="D6" s="93">
        <v>44782</v>
      </c>
      <c r="E6" s="96" t="s">
        <v>4220</v>
      </c>
      <c r="F6" s="93">
        <v>3</v>
      </c>
      <c r="G6" s="93">
        <v>3</v>
      </c>
      <c r="H6" s="93" t="s">
        <v>319</v>
      </c>
      <c r="I6" s="93" t="s">
        <v>315</v>
      </c>
      <c r="J6" s="124" t="s">
        <v>3979</v>
      </c>
      <c r="K6" s="93" t="s">
        <v>315</v>
      </c>
      <c r="L6" s="124" t="s">
        <v>3979</v>
      </c>
      <c r="M6" s="130" t="s">
        <v>4217</v>
      </c>
      <c r="N6" s="121">
        <v>45428</v>
      </c>
      <c r="O6" s="121">
        <v>45429</v>
      </c>
      <c r="P6" s="93" t="s">
        <v>317</v>
      </c>
      <c r="Q6" s="124" t="s">
        <v>3979</v>
      </c>
      <c r="R6" s="47" t="s">
        <v>3981</v>
      </c>
      <c r="S6" s="121">
        <v>45429</v>
      </c>
      <c r="T6" s="124" t="s">
        <v>3979</v>
      </c>
      <c r="U6" s="124" t="s">
        <v>3979</v>
      </c>
      <c r="V6" s="124" t="s">
        <v>3979</v>
      </c>
      <c r="W6" s="93" t="s">
        <v>576</v>
      </c>
      <c r="X6" s="76" t="s">
        <v>4218</v>
      </c>
    </row>
    <row r="7" spans="1:24" s="93" customFormat="1" ht="69">
      <c r="A7" s="93">
        <v>6</v>
      </c>
      <c r="B7" s="93" t="s">
        <v>4219</v>
      </c>
      <c r="C7" s="93" t="s">
        <v>3978</v>
      </c>
      <c r="D7" s="93">
        <v>22922</v>
      </c>
      <c r="E7" s="96" t="s">
        <v>4221</v>
      </c>
      <c r="F7" s="93">
        <v>2</v>
      </c>
      <c r="G7" s="93">
        <v>2</v>
      </c>
      <c r="H7" s="93" t="s">
        <v>319</v>
      </c>
      <c r="I7" s="93" t="s">
        <v>315</v>
      </c>
      <c r="J7" s="124" t="s">
        <v>3979</v>
      </c>
      <c r="K7" s="93" t="s">
        <v>315</v>
      </c>
      <c r="L7" s="124" t="s">
        <v>3979</v>
      </c>
      <c r="M7" s="130" t="s">
        <v>4217</v>
      </c>
      <c r="N7" s="121">
        <v>45428</v>
      </c>
      <c r="O7" s="121">
        <v>45429</v>
      </c>
      <c r="P7" s="93" t="s">
        <v>317</v>
      </c>
      <c r="Q7" s="124" t="s">
        <v>3979</v>
      </c>
      <c r="R7" s="47" t="s">
        <v>3981</v>
      </c>
      <c r="S7" s="121">
        <v>45429</v>
      </c>
      <c r="T7" s="124" t="s">
        <v>3979</v>
      </c>
      <c r="U7" s="124" t="s">
        <v>3979</v>
      </c>
      <c r="V7" s="124" t="s">
        <v>3979</v>
      </c>
      <c r="W7" s="93" t="s">
        <v>576</v>
      </c>
      <c r="X7" s="76" t="s">
        <v>4218</v>
      </c>
    </row>
    <row r="8" spans="1:24" s="93" customFormat="1" ht="69">
      <c r="A8" s="93">
        <v>7</v>
      </c>
      <c r="B8" s="93" t="s">
        <v>4219</v>
      </c>
      <c r="C8" s="93" t="s">
        <v>3978</v>
      </c>
      <c r="D8" s="93">
        <v>44028</v>
      </c>
      <c r="E8" s="96" t="s">
        <v>4193</v>
      </c>
      <c r="F8" s="93">
        <v>3</v>
      </c>
      <c r="G8" s="93">
        <v>3</v>
      </c>
      <c r="H8" s="93" t="s">
        <v>319</v>
      </c>
      <c r="I8" s="93" t="s">
        <v>315</v>
      </c>
      <c r="J8" s="124" t="s">
        <v>3979</v>
      </c>
      <c r="K8" s="93" t="s">
        <v>315</v>
      </c>
      <c r="L8" s="124" t="s">
        <v>3979</v>
      </c>
      <c r="M8" s="130" t="s">
        <v>4222</v>
      </c>
      <c r="N8" s="121">
        <v>45432</v>
      </c>
      <c r="O8" s="121">
        <v>45433</v>
      </c>
      <c r="P8" s="93" t="s">
        <v>317</v>
      </c>
      <c r="Q8" s="124" t="s">
        <v>3979</v>
      </c>
      <c r="R8" s="47" t="s">
        <v>3981</v>
      </c>
      <c r="S8" s="121">
        <v>45433</v>
      </c>
      <c r="T8" s="124" t="s">
        <v>3979</v>
      </c>
      <c r="U8" s="124" t="s">
        <v>3979</v>
      </c>
      <c r="V8" s="124" t="s">
        <v>3979</v>
      </c>
      <c r="W8" s="93" t="s">
        <v>576</v>
      </c>
      <c r="X8" s="76" t="s">
        <v>4218</v>
      </c>
    </row>
    <row r="9" spans="1:24">
      <c r="A9" s="93">
        <v>8</v>
      </c>
      <c r="B9" s="93" t="s">
        <v>4209</v>
      </c>
      <c r="C9" s="93" t="s">
        <v>4223</v>
      </c>
      <c r="D9" s="93">
        <v>44704</v>
      </c>
      <c r="E9" s="96" t="s">
        <v>4224</v>
      </c>
      <c r="F9" s="93">
        <v>3</v>
      </c>
      <c r="G9" s="93">
        <v>3</v>
      </c>
      <c r="H9" s="93" t="s">
        <v>320</v>
      </c>
      <c r="I9" s="93" t="s">
        <v>320</v>
      </c>
      <c r="J9" s="124" t="s">
        <v>320</v>
      </c>
      <c r="K9" s="93" t="s">
        <v>320</v>
      </c>
      <c r="L9" s="124" t="s">
        <v>320</v>
      </c>
      <c r="M9" s="130" t="s">
        <v>320</v>
      </c>
      <c r="N9" s="121" t="s">
        <v>320</v>
      </c>
      <c r="O9" s="121" t="s">
        <v>320</v>
      </c>
      <c r="P9" s="93" t="s">
        <v>320</v>
      </c>
      <c r="Q9" s="124" t="s">
        <v>320</v>
      </c>
      <c r="R9" s="47" t="s">
        <v>320</v>
      </c>
      <c r="S9" s="121" t="s">
        <v>320</v>
      </c>
      <c r="T9" s="124" t="s">
        <v>320</v>
      </c>
      <c r="U9" s="124" t="s">
        <v>320</v>
      </c>
      <c r="V9" s="124" t="s">
        <v>320</v>
      </c>
      <c r="W9" s="93" t="s">
        <v>576</v>
      </c>
      <c r="X9" s="76"/>
    </row>
  </sheetData>
  <dataValidations count="1">
    <dataValidation type="list" allowBlank="1" showErrorMessage="1" sqref="W2:W9" xr:uid="{DF09777D-45CC-447F-883F-3ED3A589F724}">
      <formula1>"Open,Inprogress,Closed"</formula1>
    </dataValidation>
  </dataValidations>
  <hyperlinks>
    <hyperlink ref="M2" r:id="rId1" xr:uid="{B917C800-21D2-4FE7-A017-547546A61734}"/>
    <hyperlink ref="M5" r:id="rId2" xr:uid="{A1B8C0EF-85F8-48E1-BD3B-D7930E313724}"/>
    <hyperlink ref="M6" r:id="rId3" xr:uid="{D10EAF88-3AA4-4B11-BBEA-52C35966EE84}"/>
    <hyperlink ref="M7" r:id="rId4" xr:uid="{EBDBFD11-938C-4DEE-9A71-97D47A13AD22}"/>
    <hyperlink ref="M8" r:id="rId5" xr:uid="{562A7634-02AF-4601-84FE-4A1FC062674A}"/>
    <hyperlink ref="M4" r:id="rId6" xr:uid="{36576052-2680-4078-831C-C3468E00A1BB}"/>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A6F7C-634B-421B-A778-6449F4C27D19}">
  <dimension ref="A1:K6"/>
  <sheetViews>
    <sheetView workbookViewId="0">
      <selection activeCell="K4" sqref="K4"/>
    </sheetView>
  </sheetViews>
  <sheetFormatPr defaultRowHeight="12.75"/>
  <cols>
    <col min="2" max="2" width="10.7109375" customWidth="1"/>
    <col min="3" max="3" width="16" customWidth="1"/>
    <col min="4" max="4" width="9.85546875" customWidth="1"/>
    <col min="5" max="5" width="11.85546875" customWidth="1"/>
    <col min="6" max="6" width="15.42578125" customWidth="1"/>
    <col min="7" max="7" width="10.140625" customWidth="1"/>
    <col min="10" max="10" width="14.28515625" customWidth="1"/>
    <col min="11" max="11" width="10.28515625" customWidth="1"/>
  </cols>
  <sheetData>
    <row r="1" spans="1:11" ht="40.5">
      <c r="A1" s="98" t="s">
        <v>266</v>
      </c>
      <c r="B1" s="104" t="s">
        <v>10</v>
      </c>
      <c r="C1" s="105" t="s">
        <v>267</v>
      </c>
      <c r="D1" s="104" t="s">
        <v>269</v>
      </c>
      <c r="E1" s="61" t="s">
        <v>270</v>
      </c>
      <c r="F1" s="61" t="s">
        <v>271</v>
      </c>
      <c r="G1" s="104" t="s">
        <v>272</v>
      </c>
      <c r="H1" s="104" t="s">
        <v>274</v>
      </c>
      <c r="I1" s="104" t="s">
        <v>275</v>
      </c>
      <c r="J1" s="106" t="s">
        <v>276</v>
      </c>
      <c r="K1" s="107" t="s">
        <v>277</v>
      </c>
    </row>
    <row r="2" spans="1:11" s="64" customFormat="1" ht="60">
      <c r="A2" s="62"/>
      <c r="B2" s="159" t="s">
        <v>4209</v>
      </c>
      <c r="C2" s="147">
        <v>23357</v>
      </c>
      <c r="D2" s="160" t="s">
        <v>4046</v>
      </c>
      <c r="E2" s="161" t="s">
        <v>522</v>
      </c>
      <c r="F2" s="146" t="s">
        <v>4225</v>
      </c>
      <c r="G2" s="162" t="s">
        <v>524</v>
      </c>
      <c r="H2" s="62" t="s">
        <v>525</v>
      </c>
      <c r="I2" s="62" t="s">
        <v>576</v>
      </c>
      <c r="J2" s="62"/>
      <c r="K2" s="146"/>
    </row>
    <row r="3" spans="1:11" s="64" customFormat="1" ht="48">
      <c r="A3" s="62"/>
      <c r="B3" s="159" t="s">
        <v>4209</v>
      </c>
      <c r="C3" s="163">
        <v>23328</v>
      </c>
      <c r="D3" s="160" t="s">
        <v>4046</v>
      </c>
      <c r="E3" s="161" t="s">
        <v>522</v>
      </c>
      <c r="F3" s="146" t="s">
        <v>4226</v>
      </c>
      <c r="G3" s="162" t="s">
        <v>524</v>
      </c>
      <c r="H3" s="62" t="s">
        <v>519</v>
      </c>
      <c r="I3" s="62" t="s">
        <v>576</v>
      </c>
      <c r="J3" s="62" t="s">
        <v>1325</v>
      </c>
      <c r="K3" s="146"/>
    </row>
    <row r="4" spans="1:11" ht="84">
      <c r="A4" s="62"/>
      <c r="B4" s="159" t="s">
        <v>4209</v>
      </c>
      <c r="C4" s="147">
        <v>44493</v>
      </c>
      <c r="D4" s="160" t="s">
        <v>4046</v>
      </c>
      <c r="E4" s="161" t="s">
        <v>3503</v>
      </c>
      <c r="F4" s="146" t="s">
        <v>4227</v>
      </c>
      <c r="G4" s="162" t="s">
        <v>524</v>
      </c>
      <c r="H4" s="62" t="s">
        <v>525</v>
      </c>
      <c r="I4" s="62" t="s">
        <v>576</v>
      </c>
      <c r="J4" s="62" t="s">
        <v>1325</v>
      </c>
      <c r="K4" s="146"/>
    </row>
    <row r="5" spans="1:11">
      <c r="A5" s="62"/>
      <c r="B5" s="159"/>
      <c r="C5" s="147"/>
      <c r="D5" s="160"/>
      <c r="E5" s="161"/>
      <c r="F5" s="146"/>
      <c r="G5" s="162"/>
      <c r="H5" s="62"/>
      <c r="I5" s="62"/>
      <c r="J5" s="62"/>
      <c r="K5" s="146"/>
    </row>
    <row r="6" spans="1:11">
      <c r="A6" s="62"/>
      <c r="B6" s="159"/>
      <c r="C6" s="147"/>
      <c r="D6" s="160"/>
      <c r="E6" s="161"/>
      <c r="F6" s="146"/>
      <c r="G6" s="162"/>
      <c r="H6" s="62"/>
      <c r="I6" s="62"/>
      <c r="J6" s="62"/>
      <c r="K6" s="146"/>
    </row>
  </sheetData>
  <dataValidations count="4">
    <dataValidation type="list" allowBlank="1" showErrorMessage="1" sqref="G2:G6" xr:uid="{85DF0903-CB79-4BC8-8DA3-7F0A37810F9E}">
      <formula1>"Minor,Significant,Major"</formula1>
    </dataValidation>
    <dataValidation type="list" allowBlank="1" showErrorMessage="1" sqref="H2:H6" xr:uid="{852A8697-0E1F-4191-8112-3E57DCA7DED2}">
      <formula1>"Internal,External"</formula1>
    </dataValidation>
    <dataValidation type="list" allowBlank="1" showErrorMessage="1" sqref="I2:I6" xr:uid="{B3AD6431-0A08-481D-A5C2-FE90AB3B60C2}">
      <formula1>"Open,Inprogress,Closed"</formula1>
    </dataValidation>
    <dataValidation type="list" allowBlank="1" showErrorMessage="1" sqref="E2:E6" xr:uid="{771EB907-3DED-4F11-9C7D-C1FA71200DE9}">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10DA2E1-D9A1-4D20-8347-5C0F7F21047A}">
          <x14:formula1>
            <xm:f>Details!$A$2:$A$10</xm:f>
          </x14:formula1>
          <xm:sqref>J2:J6</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F0A0C-8F2E-4CE2-9FCB-EAAFC91105D9}">
  <dimension ref="A2:X8"/>
  <sheetViews>
    <sheetView workbookViewId="0">
      <selection activeCell="J3" sqref="J3"/>
    </sheetView>
  </sheetViews>
  <sheetFormatPr defaultRowHeight="12.75"/>
  <cols>
    <col min="1" max="1" width="9.140625" style="111"/>
    <col min="2" max="2" width="13" customWidth="1"/>
    <col min="3" max="3" width="15.140625" customWidth="1"/>
    <col min="4" max="4" width="12.28515625" customWidth="1"/>
    <col min="5" max="5" width="43.140625" customWidth="1"/>
    <col min="9" max="9" width="13.42578125" customWidth="1"/>
    <col min="10" max="10" width="15.42578125" customWidth="1"/>
    <col min="11" max="11" width="12.85546875" customWidth="1"/>
    <col min="12" max="12" width="16.5703125" customWidth="1"/>
    <col min="13" max="13" width="25.85546875" customWidth="1"/>
    <col min="17" max="17" width="14.7109375" customWidth="1"/>
    <col min="18" max="18" width="15.5703125" customWidth="1"/>
    <col min="20" max="20" width="15.28515625" customWidth="1"/>
    <col min="21" max="21" width="14.7109375" customWidth="1"/>
    <col min="22" max="22" width="21.140625" customWidth="1"/>
    <col min="23" max="23" width="11.28515625" customWidth="1"/>
    <col min="24" max="24" width="23.28515625" customWidth="1"/>
  </cols>
  <sheetData>
    <row r="2" spans="1:24" ht="40.5">
      <c r="A2" s="108" t="s">
        <v>266</v>
      </c>
      <c r="B2" s="98" t="s">
        <v>278</v>
      </c>
      <c r="C2" s="1" t="s">
        <v>269</v>
      </c>
      <c r="D2" s="1" t="s">
        <v>279</v>
      </c>
      <c r="E2" s="1" t="s">
        <v>280</v>
      </c>
      <c r="F2" s="1" t="s">
        <v>1195</v>
      </c>
      <c r="G2" s="1" t="s">
        <v>1196</v>
      </c>
      <c r="H2" s="1" t="s">
        <v>286</v>
      </c>
      <c r="I2" s="1" t="s">
        <v>287</v>
      </c>
      <c r="J2" s="1" t="s">
        <v>288</v>
      </c>
      <c r="K2" s="1" t="s">
        <v>289</v>
      </c>
      <c r="L2" s="1" t="s">
        <v>290</v>
      </c>
      <c r="M2" s="1" t="s">
        <v>291</v>
      </c>
      <c r="N2" s="1" t="s">
        <v>292</v>
      </c>
      <c r="O2" s="1" t="s">
        <v>293</v>
      </c>
      <c r="P2" s="1" t="s">
        <v>4065</v>
      </c>
      <c r="Q2" s="1" t="s">
        <v>1201</v>
      </c>
      <c r="R2" s="1" t="s">
        <v>4066</v>
      </c>
      <c r="S2" s="1" t="s">
        <v>1202</v>
      </c>
      <c r="T2" s="1" t="s">
        <v>1201</v>
      </c>
      <c r="U2" s="1" t="s">
        <v>299</v>
      </c>
      <c r="V2" s="1" t="s">
        <v>300</v>
      </c>
      <c r="W2" s="1" t="s">
        <v>275</v>
      </c>
      <c r="X2" s="4" t="s">
        <v>277</v>
      </c>
    </row>
    <row r="3" spans="1:24" ht="60">
      <c r="A3" s="122">
        <v>1</v>
      </c>
      <c r="B3" s="93" t="s">
        <v>4228</v>
      </c>
      <c r="C3" s="132" t="s">
        <v>3976</v>
      </c>
      <c r="D3" s="135">
        <v>22841</v>
      </c>
      <c r="E3" s="131" t="s">
        <v>4229</v>
      </c>
      <c r="F3" s="154">
        <v>1</v>
      </c>
      <c r="G3" s="84">
        <v>1</v>
      </c>
      <c r="H3" s="132" t="s">
        <v>319</v>
      </c>
      <c r="I3" s="94" t="s">
        <v>3978</v>
      </c>
      <c r="J3" s="47" t="s">
        <v>3979</v>
      </c>
      <c r="K3" s="94" t="s">
        <v>3978</v>
      </c>
      <c r="L3" s="47" t="s">
        <v>3979</v>
      </c>
      <c r="M3" s="145" t="s">
        <v>4230</v>
      </c>
      <c r="N3" s="121">
        <v>45412</v>
      </c>
      <c r="O3" s="121">
        <v>45415</v>
      </c>
      <c r="P3" s="47" t="s">
        <v>317</v>
      </c>
      <c r="Q3" s="47" t="s">
        <v>3979</v>
      </c>
      <c r="R3" s="47" t="s">
        <v>3981</v>
      </c>
      <c r="S3" s="121">
        <v>45415</v>
      </c>
      <c r="T3" s="47" t="s">
        <v>3979</v>
      </c>
      <c r="U3" s="47" t="s">
        <v>3979</v>
      </c>
      <c r="V3" s="47" t="s">
        <v>4231</v>
      </c>
      <c r="W3" s="93" t="s">
        <v>576</v>
      </c>
      <c r="X3" s="63"/>
    </row>
    <row r="4" spans="1:24" ht="60">
      <c r="A4" s="122">
        <v>2</v>
      </c>
      <c r="B4" s="93" t="s">
        <v>4228</v>
      </c>
      <c r="C4" s="132" t="s">
        <v>3976</v>
      </c>
      <c r="D4" s="77">
        <v>23252</v>
      </c>
      <c r="E4" s="131" t="s">
        <v>4232</v>
      </c>
      <c r="F4" s="154">
        <v>3</v>
      </c>
      <c r="G4" s="84">
        <v>3</v>
      </c>
      <c r="H4" s="132" t="s">
        <v>319</v>
      </c>
      <c r="I4" s="94" t="s">
        <v>3978</v>
      </c>
      <c r="J4" s="47" t="s">
        <v>3979</v>
      </c>
      <c r="K4" s="94" t="s">
        <v>3978</v>
      </c>
      <c r="L4" s="47" t="s">
        <v>3979</v>
      </c>
      <c r="M4" s="144" t="s">
        <v>4233</v>
      </c>
      <c r="N4" s="121">
        <v>45406</v>
      </c>
      <c r="O4" s="121">
        <v>45406</v>
      </c>
      <c r="P4" s="47" t="s">
        <v>317</v>
      </c>
      <c r="Q4" s="47" t="s">
        <v>3979</v>
      </c>
      <c r="R4" s="47" t="s">
        <v>3981</v>
      </c>
      <c r="S4" s="121">
        <v>45406</v>
      </c>
      <c r="T4" s="47" t="s">
        <v>3979</v>
      </c>
      <c r="U4" s="47" t="s">
        <v>3979</v>
      </c>
      <c r="V4" s="47" t="s">
        <v>3979</v>
      </c>
      <c r="W4" s="93" t="s">
        <v>576</v>
      </c>
      <c r="X4" s="63"/>
    </row>
    <row r="5" spans="1:24" ht="112.5" customHeight="1">
      <c r="A5" s="152">
        <v>3</v>
      </c>
      <c r="B5" s="118" t="s">
        <v>4228</v>
      </c>
      <c r="C5" s="140" t="s">
        <v>4234</v>
      </c>
      <c r="D5" s="138">
        <v>44191</v>
      </c>
      <c r="E5" s="139" t="s">
        <v>4212</v>
      </c>
      <c r="F5" s="81">
        <v>5</v>
      </c>
      <c r="G5" s="81">
        <v>5</v>
      </c>
      <c r="H5" s="140" t="s">
        <v>319</v>
      </c>
      <c r="I5" s="132" t="s">
        <v>3976</v>
      </c>
      <c r="J5" s="47" t="s">
        <v>3979</v>
      </c>
      <c r="K5" s="132" t="s">
        <v>3976</v>
      </c>
      <c r="L5" s="47" t="s">
        <v>3979</v>
      </c>
      <c r="M5" s="144" t="s">
        <v>4235</v>
      </c>
      <c r="N5" s="121">
        <v>45413</v>
      </c>
      <c r="O5" s="121">
        <v>45413</v>
      </c>
      <c r="P5" s="47" t="s">
        <v>317</v>
      </c>
      <c r="Q5" s="47" t="s">
        <v>4236</v>
      </c>
      <c r="R5" s="47" t="s">
        <v>3981</v>
      </c>
      <c r="S5" s="121">
        <v>45413</v>
      </c>
      <c r="T5" s="47" t="s">
        <v>3979</v>
      </c>
      <c r="U5" s="47" t="s">
        <v>3979</v>
      </c>
      <c r="V5" s="47" t="s">
        <v>4237</v>
      </c>
      <c r="W5" s="93" t="s">
        <v>1205</v>
      </c>
      <c r="X5" s="76" t="s">
        <v>4238</v>
      </c>
    </row>
    <row r="6" spans="1:24" ht="60">
      <c r="A6" s="143">
        <v>4</v>
      </c>
      <c r="B6" s="93" t="s">
        <v>4228</v>
      </c>
      <c r="C6" s="7" t="s">
        <v>4234</v>
      </c>
      <c r="D6" s="93" t="s">
        <v>4239</v>
      </c>
      <c r="E6" s="96" t="s">
        <v>4240</v>
      </c>
      <c r="F6" s="153">
        <v>2</v>
      </c>
      <c r="G6" s="93">
        <v>2</v>
      </c>
      <c r="H6" s="7" t="s">
        <v>319</v>
      </c>
      <c r="I6" s="132" t="s">
        <v>3976</v>
      </c>
      <c r="J6" s="47" t="s">
        <v>3979</v>
      </c>
      <c r="K6" s="132" t="s">
        <v>3976</v>
      </c>
      <c r="L6" s="47" t="s">
        <v>3979</v>
      </c>
      <c r="M6" s="49" t="s">
        <v>4241</v>
      </c>
      <c r="N6" s="121">
        <v>45415</v>
      </c>
      <c r="O6" s="121">
        <v>45415</v>
      </c>
      <c r="P6" s="47" t="s">
        <v>317</v>
      </c>
      <c r="Q6" s="47" t="s">
        <v>3979</v>
      </c>
      <c r="R6" s="47" t="s">
        <v>3981</v>
      </c>
      <c r="S6" s="121">
        <v>45415</v>
      </c>
      <c r="T6" s="47" t="s">
        <v>3979</v>
      </c>
      <c r="U6" s="47" t="s">
        <v>3979</v>
      </c>
      <c r="V6" s="47" t="s">
        <v>3979</v>
      </c>
      <c r="W6" s="93" t="s">
        <v>576</v>
      </c>
      <c r="X6" s="63"/>
    </row>
    <row r="7" spans="1:24" ht="24">
      <c r="A7" s="143">
        <v>5</v>
      </c>
      <c r="B7" s="93" t="s">
        <v>4228</v>
      </c>
      <c r="C7" s="7" t="s">
        <v>317</v>
      </c>
      <c r="D7" s="93">
        <v>23351</v>
      </c>
      <c r="E7" s="96" t="s">
        <v>4242</v>
      </c>
      <c r="F7" s="153">
        <v>3</v>
      </c>
      <c r="G7" s="93">
        <v>3</v>
      </c>
      <c r="H7" s="140" t="s">
        <v>319</v>
      </c>
      <c r="I7" s="94" t="s">
        <v>3978</v>
      </c>
      <c r="J7" s="47" t="s">
        <v>3979</v>
      </c>
      <c r="K7" s="94" t="s">
        <v>3978</v>
      </c>
      <c r="L7" s="47" t="s">
        <v>3979</v>
      </c>
      <c r="M7" s="49"/>
      <c r="N7" s="121"/>
      <c r="O7" s="121"/>
      <c r="P7" s="47" t="s">
        <v>3981</v>
      </c>
      <c r="Q7" s="47" t="s">
        <v>3979</v>
      </c>
      <c r="R7" s="47" t="s">
        <v>3981</v>
      </c>
      <c r="S7" s="121"/>
      <c r="T7" s="47" t="s">
        <v>3979</v>
      </c>
      <c r="U7" s="47" t="s">
        <v>3979</v>
      </c>
      <c r="V7" s="47" t="s">
        <v>3979</v>
      </c>
      <c r="W7" s="93" t="s">
        <v>576</v>
      </c>
      <c r="X7" s="63"/>
    </row>
    <row r="8" spans="1:24" ht="60">
      <c r="A8" s="143">
        <v>6</v>
      </c>
      <c r="B8" s="93" t="s">
        <v>4228</v>
      </c>
      <c r="C8" s="7" t="s">
        <v>317</v>
      </c>
      <c r="D8" s="93">
        <v>23229</v>
      </c>
      <c r="E8" s="96" t="s">
        <v>4243</v>
      </c>
      <c r="F8" s="153">
        <v>2</v>
      </c>
      <c r="G8" s="93">
        <v>2</v>
      </c>
      <c r="H8" s="140" t="s">
        <v>319</v>
      </c>
      <c r="I8" s="132" t="s">
        <v>3976</v>
      </c>
      <c r="J8" s="47" t="s">
        <v>3979</v>
      </c>
      <c r="K8" s="132" t="s">
        <v>3976</v>
      </c>
      <c r="L8" s="47" t="s">
        <v>3979</v>
      </c>
      <c r="M8" s="49" t="s">
        <v>4244</v>
      </c>
      <c r="N8" s="121">
        <v>45408</v>
      </c>
      <c r="O8" s="121">
        <v>45408</v>
      </c>
      <c r="P8" s="47" t="s">
        <v>3981</v>
      </c>
      <c r="Q8" s="47" t="s">
        <v>3979</v>
      </c>
      <c r="R8" s="47" t="s">
        <v>3981</v>
      </c>
      <c r="S8" s="121">
        <v>45408</v>
      </c>
      <c r="T8" s="47" t="s">
        <v>3979</v>
      </c>
      <c r="U8" s="47" t="s">
        <v>3979</v>
      </c>
      <c r="V8" s="47" t="s">
        <v>3979</v>
      </c>
      <c r="W8" s="93" t="s">
        <v>576</v>
      </c>
      <c r="X8" s="63"/>
    </row>
  </sheetData>
  <dataValidations count="1">
    <dataValidation type="list" allowBlank="1" showErrorMessage="1" sqref="W3:W8" xr:uid="{149D5A7F-388F-4438-9390-41931CD0C4FE}">
      <formula1>"Open,Inprogress,Closed"</formula1>
    </dataValidation>
  </dataValidations>
  <hyperlinks>
    <hyperlink ref="M3" r:id="rId1" xr:uid="{E10827F5-B5F0-420C-B744-343C2CC4C25B}"/>
    <hyperlink ref="M4" r:id="rId2" xr:uid="{DC9D78D3-84C2-4B87-84A1-DE06BD6B6780}"/>
    <hyperlink ref="M5" r:id="rId3" xr:uid="{5B0786C6-1413-4339-A0DC-BB112C4AA04D}"/>
    <hyperlink ref="M6" r:id="rId4" xr:uid="{B9A1E60A-EB66-4E35-8E1A-509FD6B64B40}"/>
    <hyperlink ref="M8" r:id="rId5" xr:uid="{42CC64EA-97F5-48A9-9B43-64AA0310BA42}"/>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B7F5-B68F-4E29-A8DA-6990D5926690}">
  <dimension ref="A1:K12"/>
  <sheetViews>
    <sheetView workbookViewId="0"/>
  </sheetViews>
  <sheetFormatPr defaultRowHeight="12.75"/>
  <cols>
    <col min="1" max="1" width="4.7109375" style="100" bestFit="1" customWidth="1"/>
    <col min="2" max="2" width="7.5703125" style="100" bestFit="1" customWidth="1"/>
    <col min="3" max="3" width="11.28515625" style="100" bestFit="1" customWidth="1"/>
    <col min="4" max="5" width="9.140625" style="100"/>
    <col min="6" max="6" width="68.7109375" style="100" customWidth="1"/>
    <col min="7" max="7" width="9.7109375" style="100" bestFit="1" customWidth="1"/>
    <col min="8" max="8" width="7.28515625" style="100" bestFit="1" customWidth="1"/>
    <col min="9" max="9" width="9.85546875" style="100" bestFit="1" customWidth="1"/>
    <col min="10" max="10" width="17.42578125" style="100" bestFit="1" customWidth="1"/>
    <col min="11" max="11" width="9.42578125" style="100" bestFit="1" customWidth="1"/>
    <col min="12" max="16384" width="9.140625" style="100"/>
  </cols>
  <sheetData>
    <row r="1" spans="1:11" ht="27">
      <c r="A1" s="98" t="s">
        <v>266</v>
      </c>
      <c r="B1" s="104" t="s">
        <v>10</v>
      </c>
      <c r="C1" s="105" t="s">
        <v>267</v>
      </c>
      <c r="D1" s="104" t="s">
        <v>269</v>
      </c>
      <c r="E1" s="61" t="s">
        <v>270</v>
      </c>
      <c r="F1" s="61" t="s">
        <v>271</v>
      </c>
      <c r="G1" s="104" t="s">
        <v>272</v>
      </c>
      <c r="H1" s="104" t="s">
        <v>274</v>
      </c>
      <c r="I1" s="104" t="s">
        <v>275</v>
      </c>
      <c r="J1" s="106" t="s">
        <v>276</v>
      </c>
      <c r="K1" s="107" t="s">
        <v>277</v>
      </c>
    </row>
    <row r="2" spans="1:11" s="64" customFormat="1" ht="23.25">
      <c r="A2" s="62"/>
      <c r="B2" s="147" t="s">
        <v>4228</v>
      </c>
      <c r="C2" s="148">
        <v>22841</v>
      </c>
      <c r="D2" s="146" t="s">
        <v>4046</v>
      </c>
      <c r="E2" s="62"/>
      <c r="F2" s="149" t="s">
        <v>4229</v>
      </c>
      <c r="G2" s="62" t="s">
        <v>524</v>
      </c>
      <c r="H2" s="62" t="s">
        <v>525</v>
      </c>
      <c r="I2" s="62" t="s">
        <v>576</v>
      </c>
      <c r="J2" s="62"/>
      <c r="K2" s="146"/>
    </row>
    <row r="3" spans="1:11" s="64" customFormat="1" ht="23.25">
      <c r="A3" s="62"/>
      <c r="B3" s="147" t="s">
        <v>4228</v>
      </c>
      <c r="C3" s="146">
        <v>23252</v>
      </c>
      <c r="D3" s="146" t="s">
        <v>4046</v>
      </c>
      <c r="E3" s="62"/>
      <c r="F3" s="149" t="s">
        <v>4232</v>
      </c>
      <c r="G3" s="62" t="s">
        <v>524</v>
      </c>
      <c r="H3" s="62" t="s">
        <v>525</v>
      </c>
      <c r="I3" s="62" t="s">
        <v>576</v>
      </c>
      <c r="J3" s="62"/>
      <c r="K3" s="146"/>
    </row>
    <row r="4" spans="1:11" s="64" customFormat="1" ht="23.25">
      <c r="A4" s="62"/>
      <c r="B4" s="147" t="s">
        <v>4228</v>
      </c>
      <c r="C4" s="150" t="s">
        <v>4239</v>
      </c>
      <c r="D4" s="146" t="s">
        <v>4046</v>
      </c>
      <c r="E4" s="62"/>
      <c r="F4" s="64" t="s">
        <v>4240</v>
      </c>
      <c r="G4" s="62" t="s">
        <v>524</v>
      </c>
      <c r="H4" s="62" t="s">
        <v>519</v>
      </c>
      <c r="I4" s="62" t="s">
        <v>576</v>
      </c>
      <c r="J4" s="62"/>
      <c r="K4" s="146"/>
    </row>
    <row r="5" spans="1:11" s="64" customFormat="1">
      <c r="A5" s="62"/>
      <c r="B5" s="147"/>
      <c r="C5" s="146"/>
      <c r="D5" s="146"/>
      <c r="E5" s="62"/>
      <c r="F5" s="63"/>
      <c r="G5" s="62"/>
      <c r="H5" s="62"/>
      <c r="I5" s="62"/>
      <c r="J5" s="62"/>
      <c r="K5" s="146"/>
    </row>
    <row r="6" spans="1:11" s="64" customFormat="1">
      <c r="A6" s="62"/>
      <c r="B6" s="147"/>
      <c r="C6" s="146"/>
      <c r="D6" s="146"/>
      <c r="E6" s="62"/>
      <c r="F6" s="63"/>
      <c r="G6" s="62"/>
      <c r="H6" s="62"/>
      <c r="I6" s="62"/>
      <c r="J6" s="62"/>
      <c r="K6" s="146"/>
    </row>
    <row r="7" spans="1:11" s="64" customFormat="1">
      <c r="A7" s="62"/>
      <c r="B7" s="147"/>
      <c r="C7" s="146"/>
      <c r="D7" s="146"/>
      <c r="E7" s="62"/>
      <c r="F7" s="63"/>
      <c r="G7" s="62"/>
      <c r="H7" s="62"/>
      <c r="I7" s="62"/>
      <c r="J7" s="62"/>
      <c r="K7" s="146"/>
    </row>
    <row r="8" spans="1:11" s="64" customFormat="1">
      <c r="A8" s="62"/>
      <c r="B8" s="147"/>
      <c r="C8" s="146"/>
      <c r="D8" s="146"/>
      <c r="E8" s="62"/>
      <c r="F8" s="151"/>
      <c r="G8" s="62"/>
      <c r="H8" s="62"/>
      <c r="I8" s="62"/>
      <c r="J8" s="62"/>
      <c r="K8" s="146"/>
    </row>
    <row r="9" spans="1:11" s="64" customFormat="1">
      <c r="A9" s="62"/>
      <c r="B9" s="147"/>
      <c r="C9" s="146"/>
      <c r="D9" s="146"/>
      <c r="E9" s="62"/>
      <c r="F9" s="151"/>
      <c r="G9" s="62"/>
      <c r="H9" s="62"/>
      <c r="I9" s="62"/>
      <c r="J9" s="62"/>
      <c r="K9" s="146"/>
    </row>
    <row r="10" spans="1:11" s="64" customFormat="1">
      <c r="A10" s="62"/>
      <c r="B10" s="147"/>
      <c r="C10" s="146"/>
      <c r="D10" s="146"/>
      <c r="E10" s="62"/>
      <c r="F10" s="151"/>
      <c r="G10" s="62"/>
      <c r="H10" s="62"/>
      <c r="I10" s="62"/>
      <c r="J10" s="62"/>
      <c r="K10" s="146"/>
    </row>
    <row r="11" spans="1:11" s="64" customFormat="1">
      <c r="A11" s="62"/>
      <c r="B11" s="147"/>
      <c r="C11" s="146"/>
      <c r="D11" s="146"/>
      <c r="E11" s="62"/>
      <c r="F11" s="151"/>
      <c r="G11" s="62"/>
      <c r="H11" s="62"/>
      <c r="I11" s="62"/>
      <c r="J11" s="62"/>
      <c r="K11" s="146"/>
    </row>
    <row r="12" spans="1:11">
      <c r="A12" s="13"/>
      <c r="B12" s="93"/>
      <c r="C12" s="96"/>
      <c r="D12" s="96"/>
      <c r="E12" s="13"/>
      <c r="F12" s="115"/>
      <c r="G12" s="13"/>
      <c r="H12" s="13"/>
      <c r="I12" s="13"/>
      <c r="J12" s="13"/>
      <c r="K12" s="96"/>
    </row>
  </sheetData>
  <dataValidations count="4">
    <dataValidation type="list" allowBlank="1" showErrorMessage="1" sqref="E2:E12" xr:uid="{598CF210-93E1-45BF-90F4-BBD9D971C00A}">
      <formula1>"Bounceback,Defect,None"</formula1>
    </dataValidation>
    <dataValidation type="list" allowBlank="1" showErrorMessage="1" sqref="I2:I12" xr:uid="{811D320C-A82F-4FAE-BB9C-8DB3C88C9D03}">
      <formula1>"Open,Inprogress,Closed"</formula1>
    </dataValidation>
    <dataValidation type="list" allowBlank="1" showErrorMessage="1" sqref="H2:H12" xr:uid="{F834E342-B63A-428C-B0C7-071C0A732D6A}">
      <formula1>"Internal,External"</formula1>
    </dataValidation>
    <dataValidation type="list" allowBlank="1" showErrorMessage="1" sqref="G2:G12" xr:uid="{872CB43F-B21C-44BE-B670-B41F81D448C4}">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915D339-E907-452A-ACEF-1F1E9D3B26E0}">
          <x14:formula1>
            <xm:f>Details!$A$2:$A$10</xm:f>
          </x14:formula1>
          <xm:sqref>J2:J12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0EE10-D3E4-4956-87B3-50C541D00BC0}">
  <dimension ref="A2:X12"/>
  <sheetViews>
    <sheetView workbookViewId="0">
      <pane xSplit="5" topLeftCell="F2" activePane="topRight" state="frozen"/>
      <selection pane="topRight" activeCell="D10" sqref="D10"/>
    </sheetView>
  </sheetViews>
  <sheetFormatPr defaultRowHeight="12.75"/>
  <cols>
    <col min="1" max="1" width="9.140625" style="111"/>
    <col min="2" max="2" width="13" customWidth="1"/>
    <col min="3" max="3" width="12.28515625" customWidth="1"/>
    <col min="5" max="5" width="43.140625" customWidth="1"/>
    <col min="9" max="9" width="13.42578125" customWidth="1"/>
    <col min="10" max="10" width="15.42578125" customWidth="1"/>
    <col min="11" max="11" width="12.85546875" customWidth="1"/>
    <col min="12" max="12" width="16.5703125" customWidth="1"/>
    <col min="13" max="13" width="25.85546875" customWidth="1"/>
    <col min="17" max="17" width="14.7109375" customWidth="1"/>
    <col min="18" max="18" width="15.5703125" customWidth="1"/>
    <col min="20" max="20" width="15.28515625" customWidth="1"/>
    <col min="21" max="21" width="14.7109375" customWidth="1"/>
    <col min="22" max="22" width="14.5703125" customWidth="1"/>
    <col min="23" max="23" width="11.28515625" customWidth="1"/>
    <col min="24" max="24" width="23.28515625" customWidth="1"/>
  </cols>
  <sheetData>
    <row r="2" spans="1:24" ht="40.5">
      <c r="A2" s="108" t="s">
        <v>266</v>
      </c>
      <c r="B2" s="98" t="s">
        <v>278</v>
      </c>
      <c r="C2" s="1" t="s">
        <v>269</v>
      </c>
      <c r="D2" s="1" t="s">
        <v>279</v>
      </c>
      <c r="E2" s="1" t="s">
        <v>280</v>
      </c>
      <c r="F2" s="1" t="s">
        <v>1195</v>
      </c>
      <c r="G2" s="1" t="s">
        <v>1196</v>
      </c>
      <c r="H2" s="1" t="s">
        <v>286</v>
      </c>
      <c r="I2" s="1" t="s">
        <v>287</v>
      </c>
      <c r="J2" s="1" t="s">
        <v>288</v>
      </c>
      <c r="K2" s="1" t="s">
        <v>289</v>
      </c>
      <c r="L2" s="1" t="s">
        <v>290</v>
      </c>
      <c r="M2" s="1" t="s">
        <v>291</v>
      </c>
      <c r="N2" s="1" t="s">
        <v>292</v>
      </c>
      <c r="O2" s="1" t="s">
        <v>293</v>
      </c>
      <c r="P2" s="1" t="s">
        <v>4065</v>
      </c>
      <c r="Q2" s="1" t="s">
        <v>1201</v>
      </c>
      <c r="R2" s="1" t="s">
        <v>4066</v>
      </c>
      <c r="S2" s="1" t="s">
        <v>1202</v>
      </c>
      <c r="T2" s="1" t="s">
        <v>1201</v>
      </c>
      <c r="U2" s="1" t="s">
        <v>299</v>
      </c>
      <c r="V2" s="1" t="s">
        <v>300</v>
      </c>
      <c r="W2" s="1" t="s">
        <v>275</v>
      </c>
      <c r="X2" s="4" t="s">
        <v>277</v>
      </c>
    </row>
    <row r="3" spans="1:24" ht="51" customHeight="1">
      <c r="A3" s="721">
        <v>1</v>
      </c>
      <c r="B3" s="714" t="s">
        <v>4245</v>
      </c>
      <c r="C3" s="11" t="s">
        <v>1673</v>
      </c>
      <c r="D3" s="120" t="s">
        <v>4246</v>
      </c>
      <c r="E3" s="47" t="s">
        <v>4247</v>
      </c>
      <c r="F3" s="716">
        <v>13</v>
      </c>
      <c r="G3" s="716">
        <v>13</v>
      </c>
      <c r="H3" s="718" t="s">
        <v>4248</v>
      </c>
      <c r="I3" s="719"/>
      <c r="J3" s="719"/>
      <c r="K3" s="719"/>
      <c r="L3" s="719"/>
      <c r="M3" s="719"/>
      <c r="N3" s="719"/>
      <c r="O3" s="719"/>
      <c r="P3" s="719"/>
      <c r="Q3" s="719"/>
      <c r="R3" s="719"/>
      <c r="S3" s="719"/>
      <c r="T3" s="719"/>
      <c r="U3" s="719"/>
      <c r="V3" s="720"/>
      <c r="W3" s="13" t="s">
        <v>576</v>
      </c>
      <c r="X3" s="10" t="s">
        <v>4249</v>
      </c>
    </row>
    <row r="4" spans="1:24" ht="51" customHeight="1">
      <c r="A4" s="722"/>
      <c r="B4" s="715"/>
      <c r="C4" s="11" t="s">
        <v>3978</v>
      </c>
      <c r="D4" s="120">
        <v>23217</v>
      </c>
      <c r="E4" s="47" t="s">
        <v>4250</v>
      </c>
      <c r="F4" s="717"/>
      <c r="G4" s="717"/>
      <c r="H4" s="47" t="s">
        <v>319</v>
      </c>
      <c r="I4" s="47" t="s">
        <v>3976</v>
      </c>
      <c r="J4" s="47" t="s">
        <v>3979</v>
      </c>
      <c r="K4" s="11" t="s">
        <v>3976</v>
      </c>
      <c r="L4" s="47" t="s">
        <v>3979</v>
      </c>
      <c r="M4" s="49" t="s">
        <v>4251</v>
      </c>
      <c r="N4" s="121">
        <v>45397</v>
      </c>
      <c r="O4" s="121">
        <v>45398</v>
      </c>
      <c r="P4" s="47" t="s">
        <v>317</v>
      </c>
      <c r="Q4" s="47" t="s">
        <v>3979</v>
      </c>
      <c r="R4" s="47" t="s">
        <v>3981</v>
      </c>
      <c r="S4" s="121">
        <v>45398</v>
      </c>
      <c r="T4" s="47" t="s">
        <v>3979</v>
      </c>
      <c r="U4" s="71" t="s">
        <v>4252</v>
      </c>
      <c r="V4" s="47" t="s">
        <v>3979</v>
      </c>
      <c r="W4" s="13" t="s">
        <v>576</v>
      </c>
      <c r="X4" s="10"/>
    </row>
    <row r="5" spans="1:24" ht="60">
      <c r="A5" s="722"/>
      <c r="B5" s="715"/>
      <c r="C5" s="11" t="s">
        <v>3978</v>
      </c>
      <c r="D5" s="120">
        <v>23218</v>
      </c>
      <c r="E5" s="47" t="s">
        <v>4253</v>
      </c>
      <c r="F5" s="717"/>
      <c r="G5" s="717"/>
      <c r="H5" s="47" t="s">
        <v>319</v>
      </c>
      <c r="I5" s="47" t="s">
        <v>3976</v>
      </c>
      <c r="J5" s="47" t="s">
        <v>3979</v>
      </c>
      <c r="K5" s="11" t="s">
        <v>3976</v>
      </c>
      <c r="L5" s="47" t="s">
        <v>3979</v>
      </c>
      <c r="M5" s="49" t="s">
        <v>4254</v>
      </c>
      <c r="N5" s="121">
        <v>45398</v>
      </c>
      <c r="O5" s="121">
        <v>45401</v>
      </c>
      <c r="P5" s="47" t="s">
        <v>317</v>
      </c>
      <c r="Q5" s="47" t="s">
        <v>3979</v>
      </c>
      <c r="R5" s="47" t="s">
        <v>3981</v>
      </c>
      <c r="S5" s="121">
        <v>45401</v>
      </c>
      <c r="T5" s="47" t="s">
        <v>3979</v>
      </c>
      <c r="U5" s="71" t="s">
        <v>4252</v>
      </c>
      <c r="V5" s="47" t="s">
        <v>3979</v>
      </c>
      <c r="W5" s="13" t="s">
        <v>576</v>
      </c>
      <c r="X5" s="10"/>
    </row>
    <row r="6" spans="1:24" ht="60">
      <c r="A6" s="722"/>
      <c r="B6" s="715"/>
      <c r="C6" s="94" t="s">
        <v>3978</v>
      </c>
      <c r="D6" s="125">
        <v>23230</v>
      </c>
      <c r="E6" s="126" t="s">
        <v>4255</v>
      </c>
      <c r="F6" s="717"/>
      <c r="G6" s="717"/>
      <c r="H6" s="126" t="s">
        <v>319</v>
      </c>
      <c r="I6" s="126" t="s">
        <v>3976</v>
      </c>
      <c r="J6" s="126" t="s">
        <v>3979</v>
      </c>
      <c r="K6" s="94" t="s">
        <v>3976</v>
      </c>
      <c r="L6" s="126" t="s">
        <v>3979</v>
      </c>
      <c r="M6" s="127" t="s">
        <v>4256</v>
      </c>
      <c r="N6" s="128">
        <v>45400</v>
      </c>
      <c r="O6" s="128">
        <v>45401</v>
      </c>
      <c r="P6" s="126" t="s">
        <v>317</v>
      </c>
      <c r="Q6" s="126" t="s">
        <v>3979</v>
      </c>
      <c r="R6" s="126" t="s">
        <v>3981</v>
      </c>
      <c r="S6" s="128">
        <v>45401</v>
      </c>
      <c r="T6" s="126" t="s">
        <v>3979</v>
      </c>
      <c r="U6" s="71" t="s">
        <v>4252</v>
      </c>
      <c r="V6" s="126" t="s">
        <v>3979</v>
      </c>
      <c r="W6" s="13" t="s">
        <v>576</v>
      </c>
      <c r="X6" s="9"/>
    </row>
    <row r="7" spans="1:24" ht="60">
      <c r="A7" s="722"/>
      <c r="B7" s="715"/>
      <c r="C7" s="93" t="s">
        <v>3976</v>
      </c>
      <c r="D7" s="93">
        <v>23213</v>
      </c>
      <c r="E7" s="123" t="s">
        <v>4257</v>
      </c>
      <c r="F7" s="717"/>
      <c r="G7" s="717"/>
      <c r="H7" s="124" t="s">
        <v>319</v>
      </c>
      <c r="I7" s="11" t="s">
        <v>3978</v>
      </c>
      <c r="J7" s="124" t="s">
        <v>3979</v>
      </c>
      <c r="K7" s="11" t="s">
        <v>3978</v>
      </c>
      <c r="L7" s="124" t="s">
        <v>3979</v>
      </c>
      <c r="M7" s="130" t="s">
        <v>4258</v>
      </c>
      <c r="N7" s="128">
        <v>45404</v>
      </c>
      <c r="O7" s="128">
        <v>45404</v>
      </c>
      <c r="P7" s="126" t="s">
        <v>317</v>
      </c>
      <c r="Q7" s="126" t="s">
        <v>3979</v>
      </c>
      <c r="R7" s="126" t="s">
        <v>3981</v>
      </c>
      <c r="S7" s="128">
        <v>45404</v>
      </c>
      <c r="T7" s="126" t="s">
        <v>3979</v>
      </c>
      <c r="U7" s="71" t="s">
        <v>4252</v>
      </c>
      <c r="V7" s="126" t="s">
        <v>3979</v>
      </c>
      <c r="W7" s="93" t="s">
        <v>576</v>
      </c>
      <c r="X7" s="9"/>
    </row>
    <row r="8" spans="1:24" ht="65.25" customHeight="1">
      <c r="A8" s="723"/>
      <c r="B8" s="715"/>
      <c r="C8" s="93" t="s">
        <v>3976</v>
      </c>
      <c r="D8" s="93">
        <v>23214</v>
      </c>
      <c r="E8" s="96" t="s">
        <v>4259</v>
      </c>
      <c r="F8" s="717"/>
      <c r="G8" s="717"/>
      <c r="H8" s="124" t="s">
        <v>319</v>
      </c>
      <c r="I8" s="93" t="s">
        <v>320</v>
      </c>
      <c r="J8" s="129" t="s">
        <v>320</v>
      </c>
      <c r="K8" s="129" t="s">
        <v>320</v>
      </c>
      <c r="L8" s="129" t="s">
        <v>320</v>
      </c>
      <c r="M8" s="134" t="s">
        <v>4042</v>
      </c>
      <c r="N8" s="129" t="s">
        <v>320</v>
      </c>
      <c r="O8" s="129" t="s">
        <v>320</v>
      </c>
      <c r="P8" s="129" t="s">
        <v>320</v>
      </c>
      <c r="Q8" s="129" t="s">
        <v>320</v>
      </c>
      <c r="R8" s="129" t="s">
        <v>320</v>
      </c>
      <c r="S8" s="129" t="s">
        <v>320</v>
      </c>
      <c r="T8" s="129" t="s">
        <v>320</v>
      </c>
      <c r="U8" s="129" t="s">
        <v>320</v>
      </c>
      <c r="V8" s="129" t="s">
        <v>320</v>
      </c>
      <c r="W8" s="93" t="s">
        <v>576</v>
      </c>
      <c r="X8" s="96" t="s">
        <v>4260</v>
      </c>
    </row>
    <row r="9" spans="1:24" ht="36">
      <c r="A9" s="122">
        <v>2</v>
      </c>
      <c r="B9" s="93" t="s">
        <v>4245</v>
      </c>
      <c r="C9" s="132" t="s">
        <v>4261</v>
      </c>
      <c r="D9" s="77">
        <v>23100</v>
      </c>
      <c r="E9" s="131" t="s">
        <v>4262</v>
      </c>
      <c r="F9" s="84">
        <v>2</v>
      </c>
      <c r="G9" s="84">
        <v>2</v>
      </c>
      <c r="H9" s="132" t="s">
        <v>320</v>
      </c>
      <c r="I9" s="7" t="s">
        <v>320</v>
      </c>
      <c r="J9" s="71" t="s">
        <v>320</v>
      </c>
      <c r="K9" s="7" t="s">
        <v>320</v>
      </c>
      <c r="L9" s="87" t="s">
        <v>320</v>
      </c>
      <c r="M9" s="62" t="s">
        <v>4042</v>
      </c>
      <c r="N9" s="132" t="s">
        <v>320</v>
      </c>
      <c r="O9" s="7" t="s">
        <v>320</v>
      </c>
      <c r="P9" s="7" t="s">
        <v>320</v>
      </c>
      <c r="Q9" s="7" t="s">
        <v>320</v>
      </c>
      <c r="R9" s="7" t="s">
        <v>320</v>
      </c>
      <c r="S9" s="7" t="s">
        <v>320</v>
      </c>
      <c r="T9" s="7" t="s">
        <v>320</v>
      </c>
      <c r="U9" s="7" t="s">
        <v>320</v>
      </c>
      <c r="V9" s="7" t="s">
        <v>320</v>
      </c>
      <c r="W9" s="93" t="s">
        <v>576</v>
      </c>
      <c r="X9" s="63" t="s">
        <v>4263</v>
      </c>
    </row>
    <row r="10" spans="1:24" ht="24">
      <c r="A10" s="122">
        <v>3</v>
      </c>
      <c r="B10" s="93" t="s">
        <v>4245</v>
      </c>
      <c r="C10" s="133" t="s">
        <v>4264</v>
      </c>
      <c r="D10" s="77">
        <v>23106</v>
      </c>
      <c r="E10" s="131" t="s">
        <v>4265</v>
      </c>
      <c r="F10" s="84">
        <v>2</v>
      </c>
      <c r="G10" s="84">
        <v>2</v>
      </c>
      <c r="H10" s="132" t="s">
        <v>320</v>
      </c>
      <c r="I10" s="7" t="s">
        <v>320</v>
      </c>
      <c r="J10" s="71" t="s">
        <v>320</v>
      </c>
      <c r="K10" s="7" t="s">
        <v>320</v>
      </c>
      <c r="L10" s="71" t="s">
        <v>320</v>
      </c>
      <c r="M10" s="66" t="s">
        <v>4042</v>
      </c>
      <c r="N10" s="7" t="s">
        <v>320</v>
      </c>
      <c r="O10" s="7" t="s">
        <v>320</v>
      </c>
      <c r="P10" s="7" t="s">
        <v>320</v>
      </c>
      <c r="Q10" s="7" t="s">
        <v>320</v>
      </c>
      <c r="R10" s="7" t="s">
        <v>320</v>
      </c>
      <c r="S10" s="7" t="s">
        <v>320</v>
      </c>
      <c r="T10" s="7" t="s">
        <v>320</v>
      </c>
      <c r="U10" s="7" t="s">
        <v>320</v>
      </c>
      <c r="V10" s="7" t="s">
        <v>320</v>
      </c>
      <c r="W10" s="93" t="s">
        <v>576</v>
      </c>
      <c r="X10" s="63" t="s">
        <v>4263</v>
      </c>
    </row>
    <row r="11" spans="1:24" ht="36">
      <c r="A11" s="136">
        <v>4</v>
      </c>
      <c r="B11" s="118" t="s">
        <v>4245</v>
      </c>
      <c r="C11" s="137" t="s">
        <v>4264</v>
      </c>
      <c r="D11" s="138">
        <v>23131</v>
      </c>
      <c r="E11" s="139" t="s">
        <v>4266</v>
      </c>
      <c r="F11" s="81">
        <v>2</v>
      </c>
      <c r="G11" s="81">
        <v>2</v>
      </c>
      <c r="H11" s="140" t="s">
        <v>320</v>
      </c>
      <c r="I11" s="141" t="s">
        <v>320</v>
      </c>
      <c r="J11" s="88" t="s">
        <v>320</v>
      </c>
      <c r="K11" s="141" t="s">
        <v>320</v>
      </c>
      <c r="L11" s="88" t="s">
        <v>320</v>
      </c>
      <c r="M11" s="142" t="s">
        <v>4042</v>
      </c>
      <c r="N11" s="141" t="s">
        <v>320</v>
      </c>
      <c r="O11" s="141" t="s">
        <v>320</v>
      </c>
      <c r="P11" s="141" t="s">
        <v>320</v>
      </c>
      <c r="Q11" s="141" t="s">
        <v>320</v>
      </c>
      <c r="R11" s="141" t="s">
        <v>320</v>
      </c>
      <c r="S11" s="141" t="s">
        <v>320</v>
      </c>
      <c r="T11" s="141" t="s">
        <v>320</v>
      </c>
      <c r="U11" s="141" t="s">
        <v>320</v>
      </c>
      <c r="V11" s="141" t="s">
        <v>320</v>
      </c>
      <c r="W11" s="118" t="s">
        <v>576</v>
      </c>
      <c r="X11" s="65" t="s">
        <v>4263</v>
      </c>
    </row>
    <row r="12" spans="1:24" ht="36">
      <c r="A12" s="122">
        <v>5</v>
      </c>
      <c r="B12" s="93" t="s">
        <v>4267</v>
      </c>
      <c r="C12" s="93" t="s">
        <v>3976</v>
      </c>
      <c r="D12" s="93">
        <v>22481</v>
      </c>
      <c r="E12" s="96" t="s">
        <v>4229</v>
      </c>
      <c r="F12" s="124">
        <v>3</v>
      </c>
      <c r="G12" s="93"/>
      <c r="H12" s="124" t="s">
        <v>319</v>
      </c>
      <c r="I12" s="11" t="s">
        <v>3978</v>
      </c>
      <c r="J12" s="124" t="s">
        <v>3979</v>
      </c>
      <c r="K12" s="11" t="s">
        <v>3978</v>
      </c>
      <c r="L12" s="124" t="s">
        <v>3979</v>
      </c>
      <c r="M12" s="93"/>
      <c r="N12" s="93"/>
      <c r="O12" s="93"/>
      <c r="P12" s="93"/>
      <c r="Q12" s="93"/>
      <c r="R12" s="93"/>
      <c r="S12" s="93"/>
      <c r="T12" s="93"/>
      <c r="U12" s="93"/>
      <c r="V12" s="93"/>
      <c r="W12" s="93" t="s">
        <v>1205</v>
      </c>
      <c r="X12" s="96" t="s">
        <v>4268</v>
      </c>
    </row>
  </sheetData>
  <mergeCells count="5">
    <mergeCell ref="B3:B8"/>
    <mergeCell ref="F3:F8"/>
    <mergeCell ref="G3:G8"/>
    <mergeCell ref="H3:V3"/>
    <mergeCell ref="A3:A8"/>
  </mergeCells>
  <dataValidations count="1">
    <dataValidation type="list" allowBlank="1" showErrorMessage="1" sqref="W3:W14" xr:uid="{0940A2E4-4A8F-493A-8CBD-8ADAE7096903}">
      <formula1>"Open,Inprogress,Closed"</formula1>
    </dataValidation>
  </dataValidations>
  <hyperlinks>
    <hyperlink ref="M5" r:id="rId1" xr:uid="{FEB706BC-6B76-4E4C-A4FA-ABBC2EEF8560}"/>
    <hyperlink ref="M6" r:id="rId2" xr:uid="{658257AD-7EAD-4CF9-8763-B19B8F254C73}"/>
    <hyperlink ref="M7" r:id="rId3" xr:uid="{C24E6B93-953E-4F5B-9E6E-69D38D96D6C4}"/>
    <hyperlink ref="M4" r:id="rId4" xr:uid="{E1E564FC-7E37-440B-B729-106635026075}"/>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15EEA-8E20-4392-AA30-8C032634EDF4}">
  <dimension ref="A1:K12"/>
  <sheetViews>
    <sheetView workbookViewId="0">
      <selection activeCell="I10" sqref="I10"/>
    </sheetView>
  </sheetViews>
  <sheetFormatPr defaultRowHeight="12.75"/>
  <cols>
    <col min="1" max="1" width="4.7109375" style="100" bestFit="1" customWidth="1"/>
    <col min="2" max="2" width="7.5703125" style="100" bestFit="1" customWidth="1"/>
    <col min="3" max="3" width="11.28515625" style="100" bestFit="1" customWidth="1"/>
    <col min="4" max="5" width="9.140625" style="100"/>
    <col min="6" max="6" width="68.7109375" style="100" customWidth="1"/>
    <col min="7" max="7" width="9.7109375" style="100" bestFit="1" customWidth="1"/>
    <col min="8" max="8" width="7.28515625" style="100" bestFit="1" customWidth="1"/>
    <col min="9" max="9" width="9.85546875" style="100" bestFit="1" customWidth="1"/>
    <col min="10" max="10" width="17.42578125" style="100" bestFit="1" customWidth="1"/>
    <col min="11" max="11" width="9.42578125" style="100" bestFit="1" customWidth="1"/>
    <col min="12" max="16384" width="9.140625" style="100"/>
  </cols>
  <sheetData>
    <row r="1" spans="1:11" ht="27">
      <c r="A1" s="98" t="s">
        <v>266</v>
      </c>
      <c r="B1" s="104" t="s">
        <v>10</v>
      </c>
      <c r="C1" s="105" t="s">
        <v>267</v>
      </c>
      <c r="D1" s="104" t="s">
        <v>269</v>
      </c>
      <c r="E1" s="61" t="s">
        <v>270</v>
      </c>
      <c r="F1" s="61" t="s">
        <v>271</v>
      </c>
      <c r="G1" s="104" t="s">
        <v>272</v>
      </c>
      <c r="H1" s="104" t="s">
        <v>274</v>
      </c>
      <c r="I1" s="104" t="s">
        <v>275</v>
      </c>
      <c r="J1" s="106" t="s">
        <v>276</v>
      </c>
      <c r="K1" s="107" t="s">
        <v>277</v>
      </c>
    </row>
    <row r="2" spans="1:11" ht="24">
      <c r="A2" s="13">
        <v>1</v>
      </c>
      <c r="B2" s="93" t="s">
        <v>4245</v>
      </c>
      <c r="C2" s="116">
        <v>23100</v>
      </c>
      <c r="D2" s="96" t="s">
        <v>1673</v>
      </c>
      <c r="E2" s="13" t="s">
        <v>522</v>
      </c>
      <c r="F2" s="10" t="s">
        <v>4262</v>
      </c>
      <c r="G2" s="13" t="s">
        <v>1670</v>
      </c>
      <c r="H2" s="13" t="s">
        <v>525</v>
      </c>
      <c r="I2" s="13" t="s">
        <v>576</v>
      </c>
      <c r="J2" s="13" t="s">
        <v>532</v>
      </c>
      <c r="K2" s="96"/>
    </row>
    <row r="3" spans="1:11" ht="24">
      <c r="A3" s="13">
        <v>2</v>
      </c>
      <c r="B3" s="93" t="s">
        <v>4245</v>
      </c>
      <c r="C3" s="116">
        <v>23106</v>
      </c>
      <c r="D3" s="96" t="s">
        <v>1673</v>
      </c>
      <c r="E3" s="13" t="s">
        <v>522</v>
      </c>
      <c r="F3" s="10" t="s">
        <v>4269</v>
      </c>
      <c r="G3" s="13" t="s">
        <v>1670</v>
      </c>
      <c r="H3" s="13" t="s">
        <v>525</v>
      </c>
      <c r="I3" s="13" t="s">
        <v>576</v>
      </c>
      <c r="J3" s="13" t="s">
        <v>532</v>
      </c>
      <c r="K3" s="96"/>
    </row>
    <row r="4" spans="1:11" ht="24">
      <c r="A4" s="13">
        <v>3</v>
      </c>
      <c r="B4" s="93" t="s">
        <v>4245</v>
      </c>
      <c r="C4" s="116">
        <v>23131</v>
      </c>
      <c r="D4" s="96" t="s">
        <v>1673</v>
      </c>
      <c r="E4" s="13" t="s">
        <v>522</v>
      </c>
      <c r="F4" s="10" t="s">
        <v>4266</v>
      </c>
      <c r="G4" s="13" t="s">
        <v>1670</v>
      </c>
      <c r="H4" s="13" t="s">
        <v>525</v>
      </c>
      <c r="I4" s="13" t="s">
        <v>576</v>
      </c>
      <c r="J4" s="13" t="s">
        <v>529</v>
      </c>
      <c r="K4" s="96"/>
    </row>
    <row r="5" spans="1:11">
      <c r="A5" s="13">
        <v>4</v>
      </c>
      <c r="B5" s="93" t="s">
        <v>4245</v>
      </c>
      <c r="C5" s="96">
        <v>23214</v>
      </c>
      <c r="D5" s="96" t="s">
        <v>1673</v>
      </c>
      <c r="E5" s="13" t="s">
        <v>522</v>
      </c>
      <c r="F5" s="10" t="s">
        <v>4259</v>
      </c>
      <c r="G5" s="13" t="s">
        <v>1670</v>
      </c>
      <c r="H5" s="13" t="s">
        <v>525</v>
      </c>
      <c r="I5" s="13" t="s">
        <v>576</v>
      </c>
      <c r="J5" s="13" t="s">
        <v>529</v>
      </c>
      <c r="K5" s="96"/>
    </row>
    <row r="6" spans="1:11" ht="24">
      <c r="A6" s="13">
        <v>5</v>
      </c>
      <c r="B6" s="93" t="s">
        <v>4245</v>
      </c>
      <c r="C6" s="96">
        <v>23215</v>
      </c>
      <c r="D6" s="96" t="s">
        <v>1673</v>
      </c>
      <c r="E6" s="13" t="s">
        <v>522</v>
      </c>
      <c r="F6" s="10" t="s">
        <v>4270</v>
      </c>
      <c r="G6" s="13" t="s">
        <v>1670</v>
      </c>
      <c r="H6" s="13" t="s">
        <v>525</v>
      </c>
      <c r="I6" s="13" t="s">
        <v>576</v>
      </c>
      <c r="J6" s="13" t="s">
        <v>529</v>
      </c>
      <c r="K6" s="96"/>
    </row>
    <row r="7" spans="1:11" ht="24">
      <c r="A7" s="13">
        <v>6</v>
      </c>
      <c r="B7" s="93" t="s">
        <v>4245</v>
      </c>
      <c r="C7" s="96">
        <v>23217</v>
      </c>
      <c r="D7" s="96" t="s">
        <v>1673</v>
      </c>
      <c r="E7" s="13" t="s">
        <v>522</v>
      </c>
      <c r="F7" s="10" t="s">
        <v>4250</v>
      </c>
      <c r="G7" s="13" t="s">
        <v>1670</v>
      </c>
      <c r="H7" s="13" t="s">
        <v>525</v>
      </c>
      <c r="I7" s="13" t="s">
        <v>576</v>
      </c>
      <c r="J7" s="13" t="s">
        <v>529</v>
      </c>
      <c r="K7" s="96"/>
    </row>
    <row r="8" spans="1:11" ht="24">
      <c r="A8" s="13">
        <v>7</v>
      </c>
      <c r="B8" s="93" t="s">
        <v>4245</v>
      </c>
      <c r="C8" s="96">
        <v>23218</v>
      </c>
      <c r="D8" s="96" t="s">
        <v>1673</v>
      </c>
      <c r="E8" s="13" t="s">
        <v>522</v>
      </c>
      <c r="F8" s="115" t="s">
        <v>4253</v>
      </c>
      <c r="G8" s="13" t="s">
        <v>1670</v>
      </c>
      <c r="H8" s="13" t="s">
        <v>525</v>
      </c>
      <c r="I8" s="13" t="s">
        <v>576</v>
      </c>
      <c r="J8" s="13" t="s">
        <v>529</v>
      </c>
      <c r="K8" s="96"/>
    </row>
    <row r="9" spans="1:11" ht="24">
      <c r="A9" s="13">
        <v>8</v>
      </c>
      <c r="B9" s="93" t="s">
        <v>4245</v>
      </c>
      <c r="C9" s="96">
        <v>23230</v>
      </c>
      <c r="D9" s="96" t="s">
        <v>1673</v>
      </c>
      <c r="E9" s="13" t="s">
        <v>522</v>
      </c>
      <c r="F9" s="115" t="s">
        <v>4255</v>
      </c>
      <c r="G9" s="13" t="s">
        <v>1670</v>
      </c>
      <c r="H9" s="13" t="s">
        <v>525</v>
      </c>
      <c r="I9" s="13" t="s">
        <v>576</v>
      </c>
      <c r="J9" s="13" t="s">
        <v>529</v>
      </c>
      <c r="K9" s="96"/>
    </row>
    <row r="10" spans="1:11" ht="24">
      <c r="A10" s="13">
        <v>9</v>
      </c>
      <c r="B10" s="93" t="s">
        <v>4245</v>
      </c>
      <c r="C10" s="96">
        <v>23213</v>
      </c>
      <c r="D10" s="96" t="s">
        <v>1673</v>
      </c>
      <c r="E10" s="13" t="s">
        <v>522</v>
      </c>
      <c r="F10" s="115" t="s">
        <v>4257</v>
      </c>
      <c r="G10" s="13" t="s">
        <v>1670</v>
      </c>
      <c r="H10" s="13" t="s">
        <v>525</v>
      </c>
      <c r="I10" s="13" t="s">
        <v>576</v>
      </c>
      <c r="J10" s="13" t="s">
        <v>529</v>
      </c>
      <c r="K10" s="96"/>
    </row>
    <row r="11" spans="1:11" ht="24">
      <c r="A11" s="13">
        <v>10</v>
      </c>
      <c r="B11" s="93" t="s">
        <v>4245</v>
      </c>
      <c r="C11" s="96">
        <v>23229</v>
      </c>
      <c r="D11" s="96" t="s">
        <v>1673</v>
      </c>
      <c r="E11" s="13" t="s">
        <v>522</v>
      </c>
      <c r="F11" s="115" t="s">
        <v>4271</v>
      </c>
      <c r="G11" s="13" t="s">
        <v>1670</v>
      </c>
      <c r="H11" s="13" t="s">
        <v>525</v>
      </c>
      <c r="I11" s="13" t="s">
        <v>1205</v>
      </c>
      <c r="J11" s="13" t="s">
        <v>529</v>
      </c>
      <c r="K11" s="96"/>
    </row>
    <row r="12" spans="1:11" ht="36">
      <c r="A12" s="13">
        <v>11</v>
      </c>
      <c r="B12" s="93" t="s">
        <v>4245</v>
      </c>
      <c r="C12" s="96">
        <v>22841</v>
      </c>
      <c r="D12" s="96" t="s">
        <v>1673</v>
      </c>
      <c r="E12" s="13" t="s">
        <v>522</v>
      </c>
      <c r="F12" s="115" t="s">
        <v>4272</v>
      </c>
      <c r="G12" s="13" t="s">
        <v>1670</v>
      </c>
      <c r="H12" s="13" t="s">
        <v>525</v>
      </c>
      <c r="I12" s="13" t="s">
        <v>1205</v>
      </c>
      <c r="J12" s="13" t="s">
        <v>529</v>
      </c>
      <c r="K12" s="96"/>
    </row>
  </sheetData>
  <dataValidations count="4">
    <dataValidation type="list" allowBlank="1" showErrorMessage="1" sqref="G2:G12" xr:uid="{36F3C5A4-E5F7-4C30-A05B-449F328F64B5}">
      <formula1>"Minor,Significant,Major"</formula1>
    </dataValidation>
    <dataValidation type="list" allowBlank="1" showErrorMessage="1" sqref="H2:H12" xr:uid="{1856B8A7-3BE5-4BBA-87AC-B90401409F18}">
      <formula1>"Internal,External"</formula1>
    </dataValidation>
    <dataValidation type="list" allowBlank="1" showErrorMessage="1" sqref="I2:I12" xr:uid="{F7C381B8-806B-471E-A352-C189BA6283B0}">
      <formula1>"Open,Inprogress,Closed"</formula1>
    </dataValidation>
    <dataValidation type="list" allowBlank="1" showErrorMessage="1" sqref="E2:E12" xr:uid="{07184C0B-35E4-4332-9B62-9FE726B86183}">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3F490A6-DE1F-4E42-B54A-B4E2393A4B87}">
          <x14:formula1>
            <xm:f>Details!$A$2:$A$10</xm:f>
          </x14:formula1>
          <xm:sqref>J2:J12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91C7-6E79-4FC7-9674-F964CC090A13}">
  <dimension ref="A2:X11"/>
  <sheetViews>
    <sheetView workbookViewId="0">
      <pane xSplit="5" topLeftCell="F1" activePane="topRight" state="frozen"/>
      <selection pane="topRight" activeCell="D3" sqref="D3"/>
    </sheetView>
  </sheetViews>
  <sheetFormatPr defaultRowHeight="12.75"/>
  <cols>
    <col min="1" max="1" width="9.140625" style="111"/>
    <col min="2" max="2" width="13" customWidth="1"/>
    <col min="3" max="3" width="12.28515625" customWidth="1"/>
    <col min="5" max="5" width="43.140625" customWidth="1"/>
    <col min="9" max="9" width="13.42578125" customWidth="1"/>
    <col min="10" max="10" width="15.42578125" customWidth="1"/>
    <col min="11" max="11" width="12.85546875" customWidth="1"/>
    <col min="12" max="12" width="16.5703125" customWidth="1"/>
    <col min="13" max="13" width="25.85546875" customWidth="1"/>
    <col min="17" max="17" width="14.7109375" customWidth="1"/>
    <col min="18" max="18" width="15.5703125" customWidth="1"/>
    <col min="20" max="20" width="15.28515625" customWidth="1"/>
    <col min="21" max="21" width="14.7109375" customWidth="1"/>
    <col min="22" max="22" width="14.5703125" customWidth="1"/>
    <col min="23" max="23" width="11.28515625" customWidth="1"/>
    <col min="24" max="24" width="23.28515625" customWidth="1"/>
  </cols>
  <sheetData>
    <row r="2" spans="1:24" ht="40.5">
      <c r="A2" s="108" t="s">
        <v>266</v>
      </c>
      <c r="B2" s="98" t="s">
        <v>278</v>
      </c>
      <c r="C2" s="1" t="s">
        <v>269</v>
      </c>
      <c r="D2" s="1" t="s">
        <v>279</v>
      </c>
      <c r="E2" s="1" t="s">
        <v>280</v>
      </c>
      <c r="F2" s="1" t="s">
        <v>1195</v>
      </c>
      <c r="G2" s="1" t="s">
        <v>1196</v>
      </c>
      <c r="H2" s="1" t="s">
        <v>286</v>
      </c>
      <c r="I2" s="1" t="s">
        <v>287</v>
      </c>
      <c r="J2" s="1" t="s">
        <v>288</v>
      </c>
      <c r="K2" s="1" t="s">
        <v>289</v>
      </c>
      <c r="L2" s="1" t="s">
        <v>290</v>
      </c>
      <c r="M2" s="1" t="s">
        <v>291</v>
      </c>
      <c r="N2" s="1" t="s">
        <v>292</v>
      </c>
      <c r="O2" s="1" t="s">
        <v>293</v>
      </c>
      <c r="P2" s="1" t="s">
        <v>4065</v>
      </c>
      <c r="Q2" s="1" t="s">
        <v>1201</v>
      </c>
      <c r="R2" s="1" t="s">
        <v>4066</v>
      </c>
      <c r="S2" s="1" t="s">
        <v>1202</v>
      </c>
      <c r="T2" s="1" t="s">
        <v>1201</v>
      </c>
      <c r="U2" s="1" t="s">
        <v>299</v>
      </c>
      <c r="V2" s="1" t="s">
        <v>300</v>
      </c>
      <c r="W2" s="1" t="s">
        <v>275</v>
      </c>
      <c r="X2" s="4" t="s">
        <v>277</v>
      </c>
    </row>
    <row r="3" spans="1:24" ht="63.75" customHeight="1">
      <c r="A3" s="109">
        <v>1</v>
      </c>
      <c r="B3" s="93" t="s">
        <v>4273</v>
      </c>
      <c r="C3" s="7" t="s">
        <v>4261</v>
      </c>
      <c r="D3" s="113">
        <v>44023</v>
      </c>
      <c r="E3" s="71" t="s">
        <v>4274</v>
      </c>
      <c r="F3" s="71">
        <v>2</v>
      </c>
      <c r="G3" s="71">
        <v>2</v>
      </c>
      <c r="H3" s="71"/>
      <c r="I3" s="71" t="s">
        <v>434</v>
      </c>
      <c r="J3" s="71"/>
      <c r="K3" s="7"/>
      <c r="L3" s="71" t="s">
        <v>434</v>
      </c>
      <c r="M3" s="72" t="s">
        <v>4275</v>
      </c>
      <c r="N3" s="73">
        <v>45378</v>
      </c>
      <c r="O3" s="73">
        <v>45378</v>
      </c>
      <c r="P3" s="71" t="s">
        <v>4261</v>
      </c>
      <c r="Q3" s="71" t="s">
        <v>434</v>
      </c>
      <c r="R3" s="71" t="s">
        <v>3981</v>
      </c>
      <c r="S3" s="73">
        <v>45379</v>
      </c>
      <c r="T3" s="71" t="s">
        <v>434</v>
      </c>
      <c r="U3" s="71" t="s">
        <v>434</v>
      </c>
      <c r="V3" s="71" t="s">
        <v>434</v>
      </c>
      <c r="W3" s="74" t="s">
        <v>576</v>
      </c>
      <c r="X3" s="63" t="s">
        <v>4276</v>
      </c>
    </row>
    <row r="4" spans="1:24" ht="60">
      <c r="A4" s="109">
        <v>2</v>
      </c>
      <c r="B4" s="93" t="s">
        <v>4273</v>
      </c>
      <c r="C4" s="7" t="s">
        <v>3978</v>
      </c>
      <c r="D4" s="113">
        <v>23124</v>
      </c>
      <c r="E4" s="71" t="s">
        <v>4277</v>
      </c>
      <c r="F4" s="71">
        <v>2</v>
      </c>
      <c r="G4" s="71">
        <v>2</v>
      </c>
      <c r="H4" s="71" t="s">
        <v>319</v>
      </c>
      <c r="I4" s="71" t="s">
        <v>3976</v>
      </c>
      <c r="J4" s="71" t="s">
        <v>3979</v>
      </c>
      <c r="K4" s="7" t="s">
        <v>3976</v>
      </c>
      <c r="L4" s="71" t="s">
        <v>3979</v>
      </c>
      <c r="M4" s="72" t="s">
        <v>4278</v>
      </c>
      <c r="N4" s="73">
        <v>45379</v>
      </c>
      <c r="O4" s="73">
        <v>45379</v>
      </c>
      <c r="P4" s="71" t="s">
        <v>317</v>
      </c>
      <c r="Q4" s="71" t="s">
        <v>3979</v>
      </c>
      <c r="R4" s="71" t="s">
        <v>3981</v>
      </c>
      <c r="S4" s="73">
        <v>45379</v>
      </c>
      <c r="T4" s="71" t="s">
        <v>3979</v>
      </c>
      <c r="U4" s="71" t="s">
        <v>4252</v>
      </c>
      <c r="V4" s="71" t="s">
        <v>3979</v>
      </c>
      <c r="W4" s="74" t="s">
        <v>576</v>
      </c>
      <c r="X4" s="63"/>
    </row>
    <row r="5" spans="1:24" ht="60">
      <c r="A5" s="109">
        <v>3</v>
      </c>
      <c r="B5" s="93" t="s">
        <v>4273</v>
      </c>
      <c r="C5" s="7" t="s">
        <v>3978</v>
      </c>
      <c r="D5" s="113">
        <v>23103</v>
      </c>
      <c r="E5" s="71" t="s">
        <v>4279</v>
      </c>
      <c r="F5" s="71">
        <v>2</v>
      </c>
      <c r="G5" s="71">
        <v>2</v>
      </c>
      <c r="H5" s="71" t="s">
        <v>319</v>
      </c>
      <c r="I5" s="71" t="s">
        <v>3976</v>
      </c>
      <c r="J5" s="71" t="s">
        <v>3979</v>
      </c>
      <c r="K5" s="7" t="s">
        <v>3976</v>
      </c>
      <c r="L5" s="71" t="s">
        <v>3979</v>
      </c>
      <c r="M5" s="72" t="s">
        <v>4278</v>
      </c>
      <c r="N5" s="73">
        <v>45379</v>
      </c>
      <c r="O5" s="73">
        <v>45379</v>
      </c>
      <c r="P5" s="71" t="s">
        <v>317</v>
      </c>
      <c r="Q5" s="71" t="s">
        <v>3979</v>
      </c>
      <c r="R5" s="71" t="s">
        <v>3981</v>
      </c>
      <c r="S5" s="73">
        <v>45379</v>
      </c>
      <c r="T5" s="71" t="s">
        <v>3979</v>
      </c>
      <c r="U5" s="71" t="s">
        <v>4252</v>
      </c>
      <c r="V5" s="71" t="s">
        <v>3979</v>
      </c>
      <c r="W5" s="74" t="s">
        <v>576</v>
      </c>
      <c r="X5" s="63"/>
    </row>
    <row r="6" spans="1:24" ht="60">
      <c r="A6" s="109">
        <v>4</v>
      </c>
      <c r="B6" s="93" t="s">
        <v>4273</v>
      </c>
      <c r="C6" s="7" t="s">
        <v>3978</v>
      </c>
      <c r="D6" s="113">
        <v>23105</v>
      </c>
      <c r="E6" s="71" t="s">
        <v>4280</v>
      </c>
      <c r="F6" s="71">
        <v>2</v>
      </c>
      <c r="G6" s="71">
        <v>2</v>
      </c>
      <c r="H6" s="71" t="s">
        <v>319</v>
      </c>
      <c r="I6" s="71" t="s">
        <v>3976</v>
      </c>
      <c r="J6" s="71" t="s">
        <v>3979</v>
      </c>
      <c r="K6" s="7" t="s">
        <v>3976</v>
      </c>
      <c r="L6" s="71" t="s">
        <v>3979</v>
      </c>
      <c r="M6" s="72" t="s">
        <v>4281</v>
      </c>
      <c r="N6" s="73">
        <v>45384</v>
      </c>
      <c r="O6" s="73">
        <v>45384</v>
      </c>
      <c r="P6" s="71" t="s">
        <v>317</v>
      </c>
      <c r="Q6" s="71" t="s">
        <v>3979</v>
      </c>
      <c r="R6" s="71" t="s">
        <v>3981</v>
      </c>
      <c r="S6" s="73">
        <v>45384</v>
      </c>
      <c r="T6" s="71" t="s">
        <v>3979</v>
      </c>
      <c r="U6" s="71" t="s">
        <v>4252</v>
      </c>
      <c r="V6" s="71" t="s">
        <v>3979</v>
      </c>
      <c r="W6" s="74" t="s">
        <v>576</v>
      </c>
      <c r="X6" s="63"/>
    </row>
    <row r="7" spans="1:24" ht="60">
      <c r="A7" s="109">
        <v>5</v>
      </c>
      <c r="B7" s="93" t="s">
        <v>4273</v>
      </c>
      <c r="C7" s="7" t="s">
        <v>3978</v>
      </c>
      <c r="D7" s="113">
        <v>23104</v>
      </c>
      <c r="E7" s="71" t="s">
        <v>4282</v>
      </c>
      <c r="F7" s="71">
        <v>2</v>
      </c>
      <c r="G7" s="71">
        <v>2</v>
      </c>
      <c r="H7" s="71" t="s">
        <v>319</v>
      </c>
      <c r="I7" s="71" t="s">
        <v>3976</v>
      </c>
      <c r="J7" s="71" t="s">
        <v>3979</v>
      </c>
      <c r="K7" s="7" t="s">
        <v>3976</v>
      </c>
      <c r="L7" s="71" t="s">
        <v>3979</v>
      </c>
      <c r="M7" s="72" t="s">
        <v>4281</v>
      </c>
      <c r="N7" s="73">
        <v>45384</v>
      </c>
      <c r="O7" s="73">
        <v>45384</v>
      </c>
      <c r="P7" s="71" t="s">
        <v>317</v>
      </c>
      <c r="Q7" s="71" t="s">
        <v>3979</v>
      </c>
      <c r="R7" s="71" t="s">
        <v>3981</v>
      </c>
      <c r="S7" s="73">
        <v>45384</v>
      </c>
      <c r="T7" s="71" t="s">
        <v>3979</v>
      </c>
      <c r="U7" s="71" t="s">
        <v>4252</v>
      </c>
      <c r="V7" s="71" t="s">
        <v>3979</v>
      </c>
      <c r="W7" s="74" t="s">
        <v>576</v>
      </c>
      <c r="X7" s="63"/>
    </row>
    <row r="8" spans="1:24" ht="60">
      <c r="A8" s="110">
        <v>6</v>
      </c>
      <c r="B8" s="93" t="s">
        <v>4273</v>
      </c>
      <c r="C8" s="7" t="s">
        <v>3978</v>
      </c>
      <c r="D8" s="114">
        <v>23102</v>
      </c>
      <c r="E8" s="10" t="s">
        <v>4283</v>
      </c>
      <c r="F8" s="71">
        <v>2</v>
      </c>
      <c r="G8" s="63">
        <v>2</v>
      </c>
      <c r="H8" s="71" t="s">
        <v>319</v>
      </c>
      <c r="I8" s="71" t="s">
        <v>3976</v>
      </c>
      <c r="J8" s="71" t="s">
        <v>3979</v>
      </c>
      <c r="K8" s="7" t="s">
        <v>3976</v>
      </c>
      <c r="L8" s="71" t="s">
        <v>3979</v>
      </c>
      <c r="M8" s="72" t="s">
        <v>4281</v>
      </c>
      <c r="N8" s="73">
        <v>45384</v>
      </c>
      <c r="O8" s="73">
        <v>45384</v>
      </c>
      <c r="P8" s="71" t="s">
        <v>317</v>
      </c>
      <c r="Q8" s="71" t="s">
        <v>3979</v>
      </c>
      <c r="R8" s="71" t="s">
        <v>3981</v>
      </c>
      <c r="S8" s="73">
        <v>45384</v>
      </c>
      <c r="T8" s="71" t="s">
        <v>3979</v>
      </c>
      <c r="U8" s="71" t="s">
        <v>4252</v>
      </c>
      <c r="V8" s="71" t="s">
        <v>3979</v>
      </c>
      <c r="W8" s="62" t="s">
        <v>576</v>
      </c>
      <c r="X8" s="63"/>
    </row>
    <row r="9" spans="1:24" ht="36">
      <c r="A9" s="110">
        <v>7</v>
      </c>
      <c r="B9" s="93" t="s">
        <v>4273</v>
      </c>
      <c r="C9" s="7" t="s">
        <v>4261</v>
      </c>
      <c r="D9" s="77">
        <v>23100</v>
      </c>
      <c r="E9" s="10" t="s">
        <v>4262</v>
      </c>
      <c r="F9" s="71">
        <v>2</v>
      </c>
      <c r="G9" s="65"/>
      <c r="H9" s="62"/>
      <c r="I9" s="66"/>
      <c r="J9" s="66"/>
      <c r="K9" s="62"/>
      <c r="L9" s="66"/>
      <c r="M9" s="66"/>
      <c r="N9" s="67"/>
      <c r="O9" s="66"/>
      <c r="P9" s="66"/>
      <c r="Q9" s="63"/>
      <c r="R9" s="63"/>
      <c r="S9" s="63"/>
      <c r="T9" s="63"/>
      <c r="U9" s="63"/>
      <c r="V9" s="63"/>
      <c r="W9" s="62" t="s">
        <v>1205</v>
      </c>
      <c r="X9" s="63" t="s">
        <v>4284</v>
      </c>
    </row>
    <row r="10" spans="1:24" ht="60">
      <c r="A10" s="110">
        <v>8</v>
      </c>
      <c r="B10" s="93" t="s">
        <v>4273</v>
      </c>
      <c r="C10" s="96" t="s">
        <v>4264</v>
      </c>
      <c r="D10" s="77">
        <v>23106</v>
      </c>
      <c r="E10" s="10" t="s">
        <v>4265</v>
      </c>
      <c r="F10" s="71">
        <v>2</v>
      </c>
      <c r="G10" s="70">
        <v>5</v>
      </c>
      <c r="H10" s="71" t="s">
        <v>319</v>
      </c>
      <c r="I10" s="7" t="s">
        <v>3978</v>
      </c>
      <c r="J10" s="71" t="s">
        <v>3979</v>
      </c>
      <c r="K10" s="7" t="s">
        <v>3978</v>
      </c>
      <c r="L10" s="71" t="s">
        <v>3979</v>
      </c>
      <c r="M10" s="112" t="s">
        <v>4285</v>
      </c>
      <c r="N10" s="73">
        <v>45390</v>
      </c>
      <c r="O10" s="73">
        <v>45390</v>
      </c>
      <c r="P10" s="71" t="s">
        <v>317</v>
      </c>
      <c r="Q10" s="71" t="s">
        <v>3979</v>
      </c>
      <c r="R10" s="71" t="s">
        <v>3981</v>
      </c>
      <c r="S10" s="73">
        <v>45390</v>
      </c>
      <c r="T10" s="71" t="s">
        <v>3979</v>
      </c>
      <c r="U10" s="71" t="s">
        <v>3979</v>
      </c>
      <c r="V10" s="71" t="s">
        <v>3979</v>
      </c>
      <c r="W10" s="62" t="s">
        <v>1205</v>
      </c>
      <c r="X10" s="63" t="s">
        <v>4286</v>
      </c>
    </row>
    <row r="11" spans="1:24" ht="60">
      <c r="A11" s="110">
        <v>9</v>
      </c>
      <c r="B11" s="93" t="s">
        <v>4273</v>
      </c>
      <c r="C11" s="96" t="s">
        <v>4264</v>
      </c>
      <c r="D11" s="77">
        <v>23131</v>
      </c>
      <c r="E11" s="10" t="s">
        <v>4266</v>
      </c>
      <c r="F11" s="71">
        <v>2</v>
      </c>
      <c r="G11" s="63"/>
      <c r="H11" s="71" t="s">
        <v>319</v>
      </c>
      <c r="I11" s="7" t="s">
        <v>320</v>
      </c>
      <c r="J11" s="71" t="s">
        <v>320</v>
      </c>
      <c r="K11" s="7" t="s">
        <v>320</v>
      </c>
      <c r="L11" s="71" t="s">
        <v>320</v>
      </c>
      <c r="M11" s="66" t="s">
        <v>4042</v>
      </c>
      <c r="N11" s="7" t="s">
        <v>320</v>
      </c>
      <c r="O11" s="7" t="s">
        <v>320</v>
      </c>
      <c r="P11" s="7" t="s">
        <v>320</v>
      </c>
      <c r="Q11" s="7" t="s">
        <v>320</v>
      </c>
      <c r="R11" s="7" t="s">
        <v>320</v>
      </c>
      <c r="S11" s="7" t="s">
        <v>320</v>
      </c>
      <c r="T11" s="7" t="s">
        <v>320</v>
      </c>
      <c r="U11" s="7" t="s">
        <v>320</v>
      </c>
      <c r="V11" s="7" t="s">
        <v>320</v>
      </c>
      <c r="W11" s="62" t="s">
        <v>1205</v>
      </c>
      <c r="X11" s="63" t="s">
        <v>4287</v>
      </c>
    </row>
  </sheetData>
  <dataValidations count="1">
    <dataValidation type="list" allowBlank="1" showErrorMessage="1" sqref="W3:W14" xr:uid="{8F45F7E7-77D5-407F-8E93-93FF350B035A}">
      <formula1>"Open,Inprogress,Closed"</formula1>
    </dataValidation>
  </dataValidations>
  <hyperlinks>
    <hyperlink ref="M3" r:id="rId1" xr:uid="{8B51B08E-7378-48BB-9BB5-2A2703607046}"/>
    <hyperlink ref="M4" r:id="rId2" xr:uid="{80CDB80F-FD5A-485F-B5B6-DC4C21025F48}"/>
    <hyperlink ref="M5" r:id="rId3" xr:uid="{8163C709-C371-4999-BC69-51C33AB0213B}"/>
    <hyperlink ref="M6" r:id="rId4" xr:uid="{4F297DB9-3376-4DDC-B244-3C4CBE857EF1}"/>
    <hyperlink ref="M7" r:id="rId5" xr:uid="{C25CE2D2-B0D2-4EC5-B85D-F86040CF4921}"/>
    <hyperlink ref="M10" r:id="rId6" xr:uid="{9783C157-CADA-4C5A-BEC7-C81123288D30}"/>
    <hyperlink ref="M8" r:id="rId7" xr:uid="{ED02BEB4-E478-49B5-B4D8-13E9597C5DDB}"/>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3E744-61AB-4BF5-826A-114AF9391C7E}">
  <dimension ref="A1:K4"/>
  <sheetViews>
    <sheetView workbookViewId="0">
      <selection activeCell="F9" sqref="F9"/>
    </sheetView>
  </sheetViews>
  <sheetFormatPr defaultRowHeight="12.75"/>
  <cols>
    <col min="1" max="2" width="9.140625" style="100"/>
    <col min="3" max="3" width="11.28515625" style="100" bestFit="1" customWidth="1"/>
    <col min="4" max="5" width="9.140625" style="100"/>
    <col min="6" max="6" width="57.5703125" style="100" customWidth="1"/>
    <col min="7" max="10" width="9.140625" style="100"/>
    <col min="11" max="11" width="21.85546875" style="100" customWidth="1"/>
    <col min="12" max="16384" width="9.140625" style="100"/>
  </cols>
  <sheetData>
    <row r="1" spans="1:11" ht="40.5">
      <c r="A1" s="98" t="s">
        <v>266</v>
      </c>
      <c r="B1" s="104" t="s">
        <v>10</v>
      </c>
      <c r="C1" s="105" t="s">
        <v>267</v>
      </c>
      <c r="D1" s="104" t="s">
        <v>269</v>
      </c>
      <c r="E1" s="61" t="s">
        <v>270</v>
      </c>
      <c r="F1" s="61" t="s">
        <v>271</v>
      </c>
      <c r="G1" s="104" t="s">
        <v>272</v>
      </c>
      <c r="H1" s="104" t="s">
        <v>274</v>
      </c>
      <c r="I1" s="104" t="s">
        <v>275</v>
      </c>
      <c r="J1" s="106" t="s">
        <v>276</v>
      </c>
      <c r="K1" s="107" t="s">
        <v>277</v>
      </c>
    </row>
    <row r="2" spans="1:11" ht="24">
      <c r="A2" s="13">
        <v>1</v>
      </c>
      <c r="B2" s="96" t="s">
        <v>4273</v>
      </c>
      <c r="C2" s="116">
        <v>23100</v>
      </c>
      <c r="D2" s="96" t="s">
        <v>4288</v>
      </c>
      <c r="E2" s="13" t="s">
        <v>522</v>
      </c>
      <c r="F2" s="10" t="s">
        <v>4262</v>
      </c>
      <c r="G2" s="13" t="s">
        <v>524</v>
      </c>
      <c r="H2" s="13" t="s">
        <v>525</v>
      </c>
      <c r="I2" s="13" t="s">
        <v>576</v>
      </c>
      <c r="J2" s="13"/>
      <c r="K2" s="96" t="s">
        <v>4289</v>
      </c>
    </row>
    <row r="3" spans="1:11" ht="24">
      <c r="A3" s="13">
        <v>2</v>
      </c>
      <c r="B3" s="96" t="s">
        <v>4273</v>
      </c>
      <c r="C3" s="116">
        <v>23106</v>
      </c>
      <c r="D3" s="96" t="s">
        <v>4288</v>
      </c>
      <c r="E3" s="13" t="s">
        <v>522</v>
      </c>
      <c r="F3" s="10" t="s">
        <v>4265</v>
      </c>
      <c r="G3" s="13" t="s">
        <v>524</v>
      </c>
      <c r="H3" s="13" t="s">
        <v>525</v>
      </c>
      <c r="I3" s="13" t="s">
        <v>576</v>
      </c>
      <c r="J3" s="96"/>
      <c r="K3" s="96" t="s">
        <v>4289</v>
      </c>
    </row>
    <row r="4" spans="1:11" ht="24">
      <c r="A4" s="13">
        <v>3</v>
      </c>
      <c r="B4" s="96" t="s">
        <v>4273</v>
      </c>
      <c r="C4" s="116">
        <v>23131</v>
      </c>
      <c r="D4" s="96" t="s">
        <v>4288</v>
      </c>
      <c r="E4" s="13" t="s">
        <v>522</v>
      </c>
      <c r="F4" s="10" t="s">
        <v>4266</v>
      </c>
      <c r="G4" s="13" t="s">
        <v>524</v>
      </c>
      <c r="H4" s="13" t="s">
        <v>525</v>
      </c>
      <c r="I4" s="13" t="s">
        <v>576</v>
      </c>
      <c r="J4" s="96"/>
      <c r="K4" s="96" t="s">
        <v>4289</v>
      </c>
    </row>
  </sheetData>
  <dataValidations count="4">
    <dataValidation type="list" allowBlank="1" showErrorMessage="1" sqref="E2:E4" xr:uid="{62CFE900-AB5F-41E3-B4E1-992D2A1390AE}">
      <formula1>"Bounceback,Defect,None"</formula1>
    </dataValidation>
    <dataValidation type="list" allowBlank="1" showErrorMessage="1" sqref="I2:I4" xr:uid="{76C4D1E3-4326-4101-BA39-D63F3CE9B59A}">
      <formula1>"Open,Inprogress,Closed"</formula1>
    </dataValidation>
    <dataValidation type="list" allowBlank="1" showErrorMessage="1" sqref="H2:H4" xr:uid="{47E8B19A-4870-4513-9857-7445CEAD04EA}">
      <formula1>"Internal,External"</formula1>
    </dataValidation>
    <dataValidation type="list" allowBlank="1" showErrorMessage="1" sqref="G2:G4" xr:uid="{175AA033-4FF1-4240-8B69-845CCD05BC89}">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3107EDA-33FB-463F-B411-61FB6CDF8F0E}">
          <x14:formula1>
            <xm:f>Details!$A$2:$A$10</xm:f>
          </x14:formula1>
          <xm:sqref>J2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B529D-9C42-4685-998F-1F45CCA0DCD8}">
  <dimension ref="A2:X6"/>
  <sheetViews>
    <sheetView topLeftCell="B1" workbookViewId="0">
      <pane xSplit="4" topLeftCell="O1" activePane="topRight" state="frozen"/>
      <selection pane="topRight" activeCell="U5" sqref="U5"/>
    </sheetView>
  </sheetViews>
  <sheetFormatPr defaultRowHeight="12.75"/>
  <cols>
    <col min="2" max="2" width="13" customWidth="1"/>
    <col min="3" max="3" width="12.28515625" customWidth="1"/>
    <col min="5" max="5" width="31.140625" customWidth="1"/>
    <col min="9" max="9" width="13.42578125" customWidth="1"/>
    <col min="10" max="10" width="15.42578125" customWidth="1"/>
    <col min="11" max="11" width="12.85546875" customWidth="1"/>
    <col min="12" max="12" width="16.5703125" customWidth="1"/>
    <col min="13" max="13" width="25.85546875" customWidth="1"/>
    <col min="17" max="17" width="14.7109375" customWidth="1"/>
    <col min="18" max="18" width="15.5703125" customWidth="1"/>
    <col min="20" max="20" width="15.28515625" customWidth="1"/>
    <col min="21" max="21" width="14.7109375" customWidth="1"/>
    <col min="22" max="22" width="14.5703125" customWidth="1"/>
    <col min="24" max="24" width="23.28515625" customWidth="1"/>
  </cols>
  <sheetData>
    <row r="2" spans="1:24" ht="53.25">
      <c r="A2" s="1" t="s">
        <v>266</v>
      </c>
      <c r="B2" s="98" t="s">
        <v>278</v>
      </c>
      <c r="C2" s="1" t="s">
        <v>269</v>
      </c>
      <c r="D2" s="1" t="s">
        <v>279</v>
      </c>
      <c r="E2" s="1" t="s">
        <v>280</v>
      </c>
      <c r="F2" s="1" t="s">
        <v>3608</v>
      </c>
      <c r="G2" s="1" t="s">
        <v>3609</v>
      </c>
      <c r="H2" s="1" t="s">
        <v>286</v>
      </c>
      <c r="I2" s="1" t="s">
        <v>287</v>
      </c>
      <c r="J2" s="1" t="s">
        <v>288</v>
      </c>
      <c r="K2" s="1" t="s">
        <v>289</v>
      </c>
      <c r="L2" s="1" t="s">
        <v>290</v>
      </c>
      <c r="M2" s="1" t="s">
        <v>291</v>
      </c>
      <c r="N2" s="1" t="s">
        <v>292</v>
      </c>
      <c r="O2" s="1" t="s">
        <v>293</v>
      </c>
      <c r="P2" s="1" t="s">
        <v>4065</v>
      </c>
      <c r="Q2" s="1" t="s">
        <v>1201</v>
      </c>
      <c r="R2" s="1" t="s">
        <v>4066</v>
      </c>
      <c r="S2" s="1" t="s">
        <v>1202</v>
      </c>
      <c r="T2" s="1" t="s">
        <v>1201</v>
      </c>
      <c r="U2" s="1" t="s">
        <v>299</v>
      </c>
      <c r="V2" s="1" t="s">
        <v>300</v>
      </c>
      <c r="W2" s="1" t="s">
        <v>275</v>
      </c>
      <c r="X2" s="4" t="s">
        <v>277</v>
      </c>
    </row>
    <row r="3" spans="1:24" ht="63.75" customHeight="1">
      <c r="A3" s="97">
        <v>1</v>
      </c>
      <c r="B3" s="93" t="s">
        <v>36</v>
      </c>
      <c r="C3" s="7" t="s">
        <v>3978</v>
      </c>
      <c r="D3" s="71">
        <v>22959</v>
      </c>
      <c r="E3" s="71" t="s">
        <v>4290</v>
      </c>
      <c r="F3" s="71" t="s">
        <v>4291</v>
      </c>
      <c r="G3" s="71" t="s">
        <v>4291</v>
      </c>
      <c r="H3" s="71" t="s">
        <v>319</v>
      </c>
      <c r="I3" s="71" t="s">
        <v>3976</v>
      </c>
      <c r="J3" s="71" t="s">
        <v>3979</v>
      </c>
      <c r="K3" s="7" t="s">
        <v>3976</v>
      </c>
      <c r="L3" s="71" t="s">
        <v>3979</v>
      </c>
      <c r="M3" s="72" t="s">
        <v>4292</v>
      </c>
      <c r="N3" s="73">
        <v>45371</v>
      </c>
      <c r="O3" s="73">
        <v>45371</v>
      </c>
      <c r="P3" s="71" t="s">
        <v>317</v>
      </c>
      <c r="Q3" s="71" t="s">
        <v>3979</v>
      </c>
      <c r="R3" s="71" t="s">
        <v>3981</v>
      </c>
      <c r="S3" s="73">
        <v>45371</v>
      </c>
      <c r="T3" s="71" t="s">
        <v>3979</v>
      </c>
      <c r="U3" s="71" t="s">
        <v>4252</v>
      </c>
      <c r="V3" s="71" t="s">
        <v>3979</v>
      </c>
      <c r="W3" s="74" t="s">
        <v>576</v>
      </c>
      <c r="X3" s="63"/>
    </row>
    <row r="4" spans="1:24" ht="60">
      <c r="A4" s="97">
        <v>2</v>
      </c>
      <c r="B4" s="93" t="s">
        <v>36</v>
      </c>
      <c r="C4" s="7" t="s">
        <v>3978</v>
      </c>
      <c r="D4" s="71">
        <v>23063</v>
      </c>
      <c r="E4" s="71" t="s">
        <v>4293</v>
      </c>
      <c r="F4" s="71" t="s">
        <v>4294</v>
      </c>
      <c r="G4" s="71" t="s">
        <v>4294</v>
      </c>
      <c r="H4" s="71" t="s">
        <v>319</v>
      </c>
      <c r="I4" s="71" t="s">
        <v>3976</v>
      </c>
      <c r="J4" s="71" t="s">
        <v>3979</v>
      </c>
      <c r="K4" s="7" t="s">
        <v>3976</v>
      </c>
      <c r="L4" s="71" t="s">
        <v>3979</v>
      </c>
      <c r="M4" s="72" t="s">
        <v>4292</v>
      </c>
      <c r="N4" s="73">
        <v>45371</v>
      </c>
      <c r="O4" s="73">
        <v>45371</v>
      </c>
      <c r="P4" s="71" t="s">
        <v>317</v>
      </c>
      <c r="Q4" s="71" t="s">
        <v>3979</v>
      </c>
      <c r="R4" s="71" t="s">
        <v>3981</v>
      </c>
      <c r="S4" s="73">
        <v>45371</v>
      </c>
      <c r="T4" s="71" t="s">
        <v>3979</v>
      </c>
      <c r="U4" s="71" t="s">
        <v>3979</v>
      </c>
      <c r="V4" s="71" t="s">
        <v>3979</v>
      </c>
      <c r="W4" s="74" t="s">
        <v>576</v>
      </c>
      <c r="X4" s="63" t="s">
        <v>4295</v>
      </c>
    </row>
    <row r="5" spans="1:24" ht="60">
      <c r="A5" s="97">
        <v>3</v>
      </c>
      <c r="B5" s="93" t="s">
        <v>36</v>
      </c>
      <c r="C5" s="71" t="s">
        <v>3976</v>
      </c>
      <c r="D5" s="71">
        <v>43757</v>
      </c>
      <c r="E5" s="71" t="s">
        <v>4296</v>
      </c>
      <c r="F5" s="71" t="s">
        <v>4291</v>
      </c>
      <c r="G5" s="71" t="s">
        <v>4291</v>
      </c>
      <c r="H5" s="71" t="s">
        <v>319</v>
      </c>
      <c r="I5" s="102" t="s">
        <v>3978</v>
      </c>
      <c r="J5" s="71" t="s">
        <v>3979</v>
      </c>
      <c r="K5" s="7" t="s">
        <v>3978</v>
      </c>
      <c r="L5" s="71" t="s">
        <v>3979</v>
      </c>
      <c r="M5" s="72" t="s">
        <v>4292</v>
      </c>
      <c r="N5" s="73">
        <v>45371</v>
      </c>
      <c r="O5" s="73">
        <v>45371</v>
      </c>
      <c r="P5" s="71" t="s">
        <v>317</v>
      </c>
      <c r="Q5" s="71" t="s">
        <v>3979</v>
      </c>
      <c r="R5" s="71" t="s">
        <v>3981</v>
      </c>
      <c r="S5" s="73">
        <v>45371</v>
      </c>
      <c r="T5" s="71" t="s">
        <v>3979</v>
      </c>
      <c r="U5" s="71" t="s">
        <v>4252</v>
      </c>
      <c r="V5" s="71" t="s">
        <v>3979</v>
      </c>
      <c r="W5" s="74" t="s">
        <v>576</v>
      </c>
      <c r="X5" s="63"/>
    </row>
    <row r="6" spans="1:24" ht="48">
      <c r="A6" s="97">
        <v>4</v>
      </c>
      <c r="B6" s="93" t="s">
        <v>36</v>
      </c>
      <c r="C6" s="71" t="s">
        <v>3976</v>
      </c>
      <c r="D6" s="71">
        <v>43812</v>
      </c>
      <c r="E6" s="71" t="s">
        <v>4297</v>
      </c>
      <c r="F6" s="71" t="s">
        <v>4291</v>
      </c>
      <c r="G6" s="71" t="s">
        <v>4291</v>
      </c>
      <c r="H6" s="71" t="s">
        <v>319</v>
      </c>
      <c r="I6" s="7" t="s">
        <v>320</v>
      </c>
      <c r="J6" s="7" t="s">
        <v>320</v>
      </c>
      <c r="K6" s="7" t="s">
        <v>320</v>
      </c>
      <c r="L6" s="7" t="s">
        <v>320</v>
      </c>
      <c r="M6" s="7" t="s">
        <v>320</v>
      </c>
      <c r="N6" s="7" t="s">
        <v>320</v>
      </c>
      <c r="O6" s="7" t="s">
        <v>320</v>
      </c>
      <c r="P6" s="7" t="s">
        <v>320</v>
      </c>
      <c r="Q6" s="7" t="s">
        <v>320</v>
      </c>
      <c r="R6" s="7" t="s">
        <v>320</v>
      </c>
      <c r="S6" s="7" t="s">
        <v>320</v>
      </c>
      <c r="T6" s="7" t="s">
        <v>320</v>
      </c>
      <c r="U6" s="7" t="s">
        <v>320</v>
      </c>
      <c r="V6" s="7" t="s">
        <v>320</v>
      </c>
      <c r="W6" s="74" t="s">
        <v>576</v>
      </c>
      <c r="X6" s="63" t="s">
        <v>4298</v>
      </c>
    </row>
  </sheetData>
  <dataValidations count="1">
    <dataValidation type="list" allowBlank="1" showErrorMessage="1" sqref="W3:W14" xr:uid="{26F10AEA-10B6-49DE-92E2-7B9289F0FCFB}">
      <formula1>"Open,Inprogress,Closed"</formula1>
    </dataValidation>
  </dataValidations>
  <hyperlinks>
    <hyperlink ref="M3" r:id="rId1" xr:uid="{0BA4A28A-9F84-4B07-B6FA-5ABF32A46CD7}"/>
    <hyperlink ref="M4" r:id="rId2" xr:uid="{3E8AA87B-4C82-48E6-B149-F2772C6FC5FB}"/>
    <hyperlink ref="M5" r:id="rId3" xr:uid="{AC68ADC0-43BC-415D-B17A-E77A63F977EA}"/>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D320-43C4-40C9-9FEF-84F6338ADAB8}">
  <dimension ref="A2:X5"/>
  <sheetViews>
    <sheetView workbookViewId="0">
      <pane xSplit="5" topLeftCell="Q1" activePane="topRight" state="frozen"/>
      <selection pane="topRight" activeCell="U4" sqref="U4"/>
    </sheetView>
  </sheetViews>
  <sheetFormatPr defaultRowHeight="12.75"/>
  <cols>
    <col min="2" max="2" width="13" customWidth="1"/>
    <col min="3" max="3" width="12.28515625" customWidth="1"/>
    <col min="5" max="5" width="31.140625" customWidth="1"/>
    <col min="9" max="9" width="13.42578125" customWidth="1"/>
    <col min="10" max="10" width="12.5703125" customWidth="1"/>
    <col min="11" max="11" width="12.85546875" customWidth="1"/>
    <col min="12" max="12" width="12.5703125" customWidth="1"/>
    <col min="13" max="13" width="25.85546875" customWidth="1"/>
    <col min="17" max="17" width="14.7109375" customWidth="1"/>
    <col min="18" max="18" width="12.140625" customWidth="1"/>
    <col min="20" max="20" width="15.28515625" customWidth="1"/>
    <col min="21" max="21" width="12.42578125" customWidth="1"/>
    <col min="22" max="22" width="12.28515625" customWidth="1"/>
    <col min="24" max="24" width="23.28515625" customWidth="1"/>
  </cols>
  <sheetData>
    <row r="2" spans="1:24" ht="53.25">
      <c r="A2" s="1" t="s">
        <v>266</v>
      </c>
      <c r="B2" s="98" t="s">
        <v>278</v>
      </c>
      <c r="C2" s="1" t="s">
        <v>269</v>
      </c>
      <c r="D2" s="1" t="s">
        <v>279</v>
      </c>
      <c r="E2" s="1" t="s">
        <v>280</v>
      </c>
      <c r="F2" s="1" t="s">
        <v>3608</v>
      </c>
      <c r="G2" s="1" t="s">
        <v>3609</v>
      </c>
      <c r="H2" s="1" t="s">
        <v>286</v>
      </c>
      <c r="I2" s="1" t="s">
        <v>287</v>
      </c>
      <c r="J2" s="1" t="s">
        <v>288</v>
      </c>
      <c r="K2" s="1" t="s">
        <v>289</v>
      </c>
      <c r="L2" s="1" t="s">
        <v>290</v>
      </c>
      <c r="M2" s="1" t="s">
        <v>291</v>
      </c>
      <c r="N2" s="1" t="s">
        <v>292</v>
      </c>
      <c r="O2" s="1" t="s">
        <v>293</v>
      </c>
      <c r="P2" s="1" t="s">
        <v>4065</v>
      </c>
      <c r="Q2" s="1" t="s">
        <v>1201</v>
      </c>
      <c r="R2" s="1" t="s">
        <v>4066</v>
      </c>
      <c r="S2" s="1" t="s">
        <v>1202</v>
      </c>
      <c r="T2" s="1" t="s">
        <v>1201</v>
      </c>
      <c r="U2" s="1" t="s">
        <v>299</v>
      </c>
      <c r="V2" s="1" t="s">
        <v>300</v>
      </c>
      <c r="W2" s="1" t="s">
        <v>275</v>
      </c>
      <c r="X2" s="4" t="s">
        <v>277</v>
      </c>
    </row>
    <row r="3" spans="1:24" ht="55.5" customHeight="1">
      <c r="A3" s="97">
        <v>1</v>
      </c>
      <c r="B3" s="93" t="s">
        <v>34</v>
      </c>
      <c r="C3" s="71" t="s">
        <v>3976</v>
      </c>
      <c r="D3" s="71">
        <v>43809</v>
      </c>
      <c r="E3" s="71" t="s">
        <v>4299</v>
      </c>
      <c r="F3" s="71" t="s">
        <v>4300</v>
      </c>
      <c r="G3" s="71" t="s">
        <v>4300</v>
      </c>
      <c r="H3" s="71" t="s">
        <v>319</v>
      </c>
      <c r="I3" s="7" t="s">
        <v>3978</v>
      </c>
      <c r="J3" s="71" t="s">
        <v>3979</v>
      </c>
      <c r="K3" s="7" t="s">
        <v>3978</v>
      </c>
      <c r="L3" s="71" t="s">
        <v>3979</v>
      </c>
      <c r="M3" s="72" t="s">
        <v>4301</v>
      </c>
      <c r="N3" s="73">
        <v>45351</v>
      </c>
      <c r="O3" s="73">
        <v>45351</v>
      </c>
      <c r="P3" s="71" t="s">
        <v>317</v>
      </c>
      <c r="Q3" s="71" t="s">
        <v>3979</v>
      </c>
      <c r="R3" s="12" t="s">
        <v>4302</v>
      </c>
      <c r="S3" s="73">
        <v>45351</v>
      </c>
      <c r="T3" s="71" t="s">
        <v>3979</v>
      </c>
      <c r="U3" s="71" t="s">
        <v>3979</v>
      </c>
      <c r="V3" s="71" t="s">
        <v>3979</v>
      </c>
      <c r="W3" s="74" t="s">
        <v>576</v>
      </c>
      <c r="X3" s="63"/>
    </row>
    <row r="4" spans="1:24" ht="107.25">
      <c r="A4">
        <v>2</v>
      </c>
      <c r="B4" s="93" t="s">
        <v>34</v>
      </c>
      <c r="C4" s="7" t="s">
        <v>3978</v>
      </c>
      <c r="D4">
        <v>22986</v>
      </c>
      <c r="E4" s="100" t="s">
        <v>4303</v>
      </c>
      <c r="F4" t="s">
        <v>4294</v>
      </c>
      <c r="G4" t="s">
        <v>4294</v>
      </c>
      <c r="H4" s="71" t="s">
        <v>319</v>
      </c>
      <c r="I4" s="71" t="s">
        <v>3976</v>
      </c>
      <c r="J4" s="71" t="s">
        <v>3979</v>
      </c>
      <c r="K4" s="71" t="s">
        <v>3976</v>
      </c>
      <c r="L4" s="71" t="s">
        <v>3979</v>
      </c>
      <c r="M4" s="101" t="s">
        <v>4304</v>
      </c>
      <c r="N4" s="73">
        <v>45362</v>
      </c>
      <c r="O4" s="73">
        <v>45362</v>
      </c>
      <c r="P4" s="71" t="s">
        <v>317</v>
      </c>
      <c r="Q4" s="71" t="s">
        <v>3979</v>
      </c>
      <c r="R4" s="12" t="s">
        <v>4302</v>
      </c>
      <c r="S4" s="73">
        <v>45362</v>
      </c>
      <c r="T4" s="71" t="s">
        <v>3979</v>
      </c>
      <c r="U4" s="71" t="s">
        <v>4305</v>
      </c>
      <c r="V4" s="71" t="s">
        <v>4306</v>
      </c>
      <c r="W4" s="74" t="s">
        <v>576</v>
      </c>
      <c r="X4" s="76" t="s">
        <v>4307</v>
      </c>
    </row>
    <row r="5" spans="1:24">
      <c r="A5" s="74"/>
      <c r="B5" s="83"/>
      <c r="C5" s="74"/>
      <c r="D5" s="79"/>
      <c r="E5" s="99" t="s">
        <v>4308</v>
      </c>
      <c r="F5" s="76" t="s">
        <v>4309</v>
      </c>
      <c r="G5" s="75"/>
      <c r="H5" s="71"/>
      <c r="I5" s="71"/>
      <c r="J5" s="71"/>
      <c r="K5" s="87"/>
      <c r="L5" s="84"/>
      <c r="M5" s="85"/>
      <c r="N5" s="86"/>
      <c r="O5" s="73"/>
      <c r="P5" s="71"/>
      <c r="Q5" s="71"/>
      <c r="R5" s="12"/>
      <c r="S5" s="73"/>
      <c r="T5" s="71"/>
      <c r="U5" s="71"/>
      <c r="V5" s="75"/>
      <c r="W5" s="74"/>
      <c r="X5" s="76"/>
    </row>
  </sheetData>
  <dataValidations count="1">
    <dataValidation type="list" allowBlank="1" showErrorMessage="1" sqref="W3:W15" xr:uid="{2D5C6961-818D-467D-9A3B-59D2995C22D4}">
      <formula1>"Open,Inprogress,Closed"</formula1>
    </dataValidation>
  </dataValidations>
  <hyperlinks>
    <hyperlink ref="M3" r:id="rId1" xr:uid="{101F72C6-AEC6-4E61-A305-E513B55F40E4}"/>
    <hyperlink ref="M4" r:id="rId2" xr:uid="{63663792-510E-4260-80DA-DABFCF4C4D21}"/>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6D34F-29EA-4F79-B35B-10D558DA3BAC}">
  <dimension ref="A1:K7"/>
  <sheetViews>
    <sheetView workbookViewId="0">
      <selection activeCell="D6" sqref="D6"/>
    </sheetView>
  </sheetViews>
  <sheetFormatPr defaultRowHeight="12.75"/>
  <cols>
    <col min="3" max="3" width="11.28515625" bestFit="1" customWidth="1"/>
    <col min="6" max="6" width="48.28515625" customWidth="1"/>
  </cols>
  <sheetData>
    <row r="1" spans="1:11" ht="40.5">
      <c r="A1" s="1" t="s">
        <v>266</v>
      </c>
      <c r="B1" s="24" t="s">
        <v>10</v>
      </c>
      <c r="C1" s="58" t="s">
        <v>267</v>
      </c>
      <c r="D1" s="24" t="s">
        <v>269</v>
      </c>
      <c r="E1" s="61" t="s">
        <v>270</v>
      </c>
      <c r="F1" s="26" t="s">
        <v>271</v>
      </c>
      <c r="G1" s="24" t="s">
        <v>272</v>
      </c>
      <c r="H1" s="24" t="s">
        <v>274</v>
      </c>
      <c r="I1" s="24" t="s">
        <v>275</v>
      </c>
      <c r="J1" s="27" t="s">
        <v>276</v>
      </c>
      <c r="K1" s="28" t="s">
        <v>277</v>
      </c>
    </row>
    <row r="2" spans="1:11">
      <c r="A2" s="53">
        <v>1</v>
      </c>
      <c r="B2" s="54" t="s">
        <v>4310</v>
      </c>
      <c r="C2" s="55">
        <v>22959</v>
      </c>
      <c r="D2" s="31" t="s">
        <v>313</v>
      </c>
      <c r="E2" s="11" t="s">
        <v>522</v>
      </c>
      <c r="F2" s="55" t="s">
        <v>4290</v>
      </c>
      <c r="G2" s="55" t="s">
        <v>1670</v>
      </c>
      <c r="H2" s="55" t="s">
        <v>525</v>
      </c>
      <c r="I2" s="56" t="s">
        <v>576</v>
      </c>
      <c r="J2" s="55" t="s">
        <v>529</v>
      </c>
      <c r="K2" s="55"/>
    </row>
    <row r="3" spans="1:11">
      <c r="A3" s="51">
        <v>2</v>
      </c>
      <c r="B3" s="54" t="s">
        <v>4310</v>
      </c>
      <c r="C3" s="103">
        <v>23029</v>
      </c>
      <c r="D3" s="59" t="s">
        <v>313</v>
      </c>
      <c r="E3" s="11" t="s">
        <v>522</v>
      </c>
      <c r="F3" s="60" t="s">
        <v>4311</v>
      </c>
      <c r="G3" s="56" t="s">
        <v>1670</v>
      </c>
      <c r="H3" s="55" t="s">
        <v>525</v>
      </c>
      <c r="I3" s="56" t="s">
        <v>576</v>
      </c>
      <c r="J3" s="55" t="s">
        <v>529</v>
      </c>
      <c r="K3" s="51"/>
    </row>
    <row r="4" spans="1:11">
      <c r="A4" s="94">
        <v>3</v>
      </c>
      <c r="B4" s="54" t="s">
        <v>4310</v>
      </c>
      <c r="C4" s="94">
        <v>43757</v>
      </c>
      <c r="D4" s="95" t="s">
        <v>1673</v>
      </c>
      <c r="E4" s="94"/>
      <c r="F4" s="56" t="s">
        <v>4296</v>
      </c>
      <c r="G4" s="56" t="s">
        <v>1670</v>
      </c>
      <c r="H4" s="55" t="s">
        <v>525</v>
      </c>
      <c r="I4" s="56" t="s">
        <v>576</v>
      </c>
      <c r="J4" s="56"/>
      <c r="K4" s="56"/>
    </row>
    <row r="5" spans="1:11">
      <c r="A5" s="93">
        <v>4</v>
      </c>
      <c r="B5" s="54" t="s">
        <v>4310</v>
      </c>
      <c r="C5" s="93">
        <v>23063</v>
      </c>
      <c r="D5" s="95" t="s">
        <v>1673</v>
      </c>
      <c r="E5" s="93" t="s">
        <v>522</v>
      </c>
      <c r="F5" s="2" t="s">
        <v>4293</v>
      </c>
      <c r="G5" s="56" t="s">
        <v>1670</v>
      </c>
      <c r="H5" s="55" t="s">
        <v>525</v>
      </c>
      <c r="I5" s="56" t="s">
        <v>576</v>
      </c>
      <c r="J5" s="55" t="s">
        <v>529</v>
      </c>
      <c r="K5" s="93"/>
    </row>
    <row r="6" spans="1:11">
      <c r="A6" s="93">
        <v>5</v>
      </c>
      <c r="B6" s="54" t="s">
        <v>4310</v>
      </c>
      <c r="C6" s="93">
        <v>23106</v>
      </c>
      <c r="D6" s="93" t="s">
        <v>1228</v>
      </c>
      <c r="E6" s="93" t="s">
        <v>522</v>
      </c>
      <c r="F6" s="2" t="s">
        <v>4312</v>
      </c>
      <c r="G6" s="56" t="s">
        <v>1670</v>
      </c>
      <c r="H6" s="55" t="s">
        <v>525</v>
      </c>
      <c r="I6" s="96" t="s">
        <v>1671</v>
      </c>
      <c r="J6" s="55" t="s">
        <v>529</v>
      </c>
      <c r="K6" s="93"/>
    </row>
    <row r="7" spans="1:11">
      <c r="A7" s="93">
        <v>6</v>
      </c>
      <c r="B7" s="54" t="s">
        <v>4310</v>
      </c>
      <c r="C7" s="93">
        <v>23101</v>
      </c>
      <c r="D7" s="95" t="s">
        <v>1673</v>
      </c>
      <c r="E7" s="93" t="s">
        <v>522</v>
      </c>
      <c r="F7" s="2" t="s">
        <v>4313</v>
      </c>
      <c r="G7" s="56" t="s">
        <v>1670</v>
      </c>
      <c r="H7" s="55" t="s">
        <v>525</v>
      </c>
      <c r="I7" s="56" t="s">
        <v>576</v>
      </c>
      <c r="J7" s="55" t="s">
        <v>529</v>
      </c>
      <c r="K7" s="93"/>
    </row>
  </sheetData>
  <dataValidations count="4">
    <dataValidation type="list" allowBlank="1" showErrorMessage="1" sqref="G2:G7" xr:uid="{953EB810-F083-4E88-B1F5-8BF6DAE77805}">
      <formula1>"Minor,Significant,Major"</formula1>
    </dataValidation>
    <dataValidation type="list" allowBlank="1" showErrorMessage="1" sqref="H2:H7" xr:uid="{98912DB4-8283-4454-BD12-C7BD604D285E}">
      <formula1>"Internal,External"</formula1>
    </dataValidation>
    <dataValidation type="list" allowBlank="1" showErrorMessage="1" sqref="I2:I5 I7" xr:uid="{1EF28F0B-E9BE-49B0-87AD-6B9533AEAB77}">
      <formula1>"Open,Inprogress,Closed"</formula1>
    </dataValidation>
    <dataValidation type="list" allowBlank="1" showErrorMessage="1" sqref="E2:E4" xr:uid="{DBB3425A-0B2B-45DF-84CF-5E850DA8614A}">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F9174E7-9CB8-4709-8644-BAF2B6732ED7}">
          <x14:formula1>
            <xm:f>Details!$A$2:$A$10</xm:f>
          </x14:formula1>
          <xm:sqref>J2:J7</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7D631-3C96-4084-BB1F-466FDB844715}">
  <dimension ref="A1:K2"/>
  <sheetViews>
    <sheetView workbookViewId="0">
      <selection activeCell="I2" sqref="I2"/>
    </sheetView>
  </sheetViews>
  <sheetFormatPr defaultRowHeight="12.75"/>
  <sheetData>
    <row r="1" spans="1:11" ht="40.5">
      <c r="A1" s="1" t="s">
        <v>266</v>
      </c>
      <c r="B1" s="24" t="s">
        <v>10</v>
      </c>
      <c r="C1" s="58" t="s">
        <v>267</v>
      </c>
      <c r="D1" s="24" t="s">
        <v>269</v>
      </c>
      <c r="E1" s="61" t="s">
        <v>270</v>
      </c>
      <c r="F1" s="26" t="s">
        <v>271</v>
      </c>
      <c r="G1" s="24" t="s">
        <v>272</v>
      </c>
      <c r="H1" s="24" t="s">
        <v>274</v>
      </c>
      <c r="I1" s="24" t="s">
        <v>275</v>
      </c>
      <c r="J1" s="27" t="s">
        <v>276</v>
      </c>
      <c r="K1" s="28" t="s">
        <v>277</v>
      </c>
    </row>
    <row r="2" spans="1:11">
      <c r="A2" s="53">
        <v>1</v>
      </c>
      <c r="B2" s="54" t="s">
        <v>4314</v>
      </c>
      <c r="C2" s="55">
        <v>22986</v>
      </c>
      <c r="D2" s="31" t="s">
        <v>313</v>
      </c>
      <c r="E2" s="11" t="s">
        <v>522</v>
      </c>
      <c r="F2" s="55" t="s">
        <v>4315</v>
      </c>
      <c r="G2" s="55" t="s">
        <v>1670</v>
      </c>
      <c r="H2" s="55" t="s">
        <v>525</v>
      </c>
      <c r="I2" s="56" t="s">
        <v>576</v>
      </c>
      <c r="J2" s="55" t="s">
        <v>529</v>
      </c>
      <c r="K2" s="55"/>
    </row>
  </sheetData>
  <dataValidations count="4">
    <dataValidation type="list" allowBlank="1" showErrorMessage="1" sqref="E2:E4" xr:uid="{6FA4A610-B311-45B8-987A-3BFC604EC708}">
      <formula1>"Bounceback,Defect,None"</formula1>
    </dataValidation>
    <dataValidation type="list" allowBlank="1" showErrorMessage="1" sqref="I2:I4" xr:uid="{010D6F51-301F-426A-9718-55D02B726C31}">
      <formula1>"Open,Inprogress,Closed"</formula1>
    </dataValidation>
    <dataValidation type="list" allowBlank="1" showErrorMessage="1" sqref="H4 H2" xr:uid="{5D55EC1C-BBA2-4D5D-A417-DA62EA0E916C}">
      <formula1>"Internal,External"</formula1>
    </dataValidation>
    <dataValidation type="list" allowBlank="1" showErrorMessage="1" sqref="G4 G2" xr:uid="{65B41E55-F20F-445F-BBD7-0FF73FB9C5F3}">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97FC54C-FD34-427A-8582-CF7179B70872}">
          <x14:formula1>
            <xm:f>Details!$A$2:$A$10</xm:f>
          </x14:formula1>
          <xm:sqref>J2:J4</xm:sqref>
        </x14:dataValidation>
      </x14:dataValidations>
    </ext>
  </extLst>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83018-5889-42F1-8CD2-2DEA181572D5}">
  <sheetPr>
    <outlinePr summaryBelow="0" summaryRight="0"/>
  </sheetPr>
  <dimension ref="A1:K6"/>
  <sheetViews>
    <sheetView workbookViewId="0">
      <selection activeCell="B7" sqref="B7"/>
    </sheetView>
  </sheetViews>
  <sheetFormatPr defaultColWidth="12.5703125" defaultRowHeight="15.75" customHeight="1"/>
  <cols>
    <col min="3" max="3" width="13.42578125" customWidth="1"/>
    <col min="4" max="4" width="11.5703125" customWidth="1"/>
    <col min="5" max="5" width="9.140625"/>
    <col min="6" max="6" width="53.28515625" customWidth="1"/>
    <col min="7" max="7" width="14.85546875" customWidth="1"/>
    <col min="8" max="9" width="9.140625"/>
    <col min="10" max="10" width="17.7109375" customWidth="1"/>
  </cols>
  <sheetData>
    <row r="1" spans="1:11" ht="13.5">
      <c r="A1" s="1" t="s">
        <v>266</v>
      </c>
      <c r="B1" s="24" t="s">
        <v>10</v>
      </c>
      <c r="C1" s="58" t="s">
        <v>267</v>
      </c>
      <c r="D1" s="24" t="s">
        <v>269</v>
      </c>
      <c r="E1" s="61" t="s">
        <v>270</v>
      </c>
      <c r="F1" s="26" t="s">
        <v>271</v>
      </c>
      <c r="G1" s="24" t="s">
        <v>272</v>
      </c>
      <c r="H1" s="24" t="s">
        <v>274</v>
      </c>
      <c r="I1" s="24" t="s">
        <v>275</v>
      </c>
      <c r="J1" s="27" t="s">
        <v>276</v>
      </c>
      <c r="K1" s="28" t="s">
        <v>277</v>
      </c>
    </row>
    <row r="2" spans="1:11" ht="12.75">
      <c r="A2" s="53">
        <v>1</v>
      </c>
      <c r="B2" s="54" t="s">
        <v>4316</v>
      </c>
      <c r="C2" s="55">
        <v>22766</v>
      </c>
      <c r="D2" s="31" t="s">
        <v>1976</v>
      </c>
      <c r="E2" s="11" t="s">
        <v>3503</v>
      </c>
      <c r="F2" s="55" t="s">
        <v>4317</v>
      </c>
      <c r="G2" s="55" t="s">
        <v>1670</v>
      </c>
      <c r="H2" s="55" t="s">
        <v>525</v>
      </c>
      <c r="I2" s="56" t="s">
        <v>576</v>
      </c>
      <c r="J2" s="55" t="s">
        <v>529</v>
      </c>
      <c r="K2" s="55"/>
    </row>
    <row r="3" spans="1:11" ht="12.75">
      <c r="A3" s="51">
        <v>2</v>
      </c>
      <c r="B3" s="6" t="s">
        <v>4316</v>
      </c>
      <c r="C3" s="52">
        <v>34016</v>
      </c>
      <c r="D3" s="59" t="s">
        <v>315</v>
      </c>
      <c r="E3" s="11" t="s">
        <v>3503</v>
      </c>
      <c r="F3" s="60" t="s">
        <v>4318</v>
      </c>
      <c r="G3" s="51" t="s">
        <v>1670</v>
      </c>
      <c r="H3" s="51" t="s">
        <v>525</v>
      </c>
      <c r="I3" s="56" t="s">
        <v>576</v>
      </c>
      <c r="J3" s="55" t="s">
        <v>529</v>
      </c>
      <c r="K3" s="51"/>
    </row>
    <row r="4" spans="1:11" ht="24">
      <c r="A4" s="94">
        <v>3</v>
      </c>
      <c r="B4" s="54" t="s">
        <v>4319</v>
      </c>
      <c r="C4" s="94">
        <v>22767</v>
      </c>
      <c r="D4" s="95" t="s">
        <v>315</v>
      </c>
      <c r="E4" s="94" t="s">
        <v>522</v>
      </c>
      <c r="F4" s="56" t="s">
        <v>4320</v>
      </c>
      <c r="G4" s="56" t="s">
        <v>1670</v>
      </c>
      <c r="H4" s="56" t="s">
        <v>525</v>
      </c>
      <c r="I4" s="56" t="s">
        <v>576</v>
      </c>
      <c r="J4" s="56" t="s">
        <v>529</v>
      </c>
      <c r="K4" s="56"/>
    </row>
    <row r="5" spans="1:11" ht="36">
      <c r="A5" s="93">
        <v>4</v>
      </c>
      <c r="B5" s="6" t="s">
        <v>4316</v>
      </c>
      <c r="C5" s="93">
        <v>22787</v>
      </c>
      <c r="D5" s="93" t="s">
        <v>1976</v>
      </c>
      <c r="E5" s="93" t="s">
        <v>522</v>
      </c>
      <c r="F5" s="2" t="s">
        <v>4321</v>
      </c>
      <c r="G5" s="93" t="s">
        <v>1670</v>
      </c>
      <c r="H5" s="93" t="s">
        <v>525</v>
      </c>
      <c r="I5" s="96" t="s">
        <v>1303</v>
      </c>
      <c r="J5" s="93" t="s">
        <v>529</v>
      </c>
      <c r="K5" s="93" t="s">
        <v>4322</v>
      </c>
    </row>
    <row r="6" spans="1:11" ht="36">
      <c r="A6" s="93">
        <v>5</v>
      </c>
      <c r="B6" s="6" t="s">
        <v>4316</v>
      </c>
      <c r="C6" s="93">
        <v>22788</v>
      </c>
      <c r="D6" s="93" t="s">
        <v>1976</v>
      </c>
      <c r="E6" s="93" t="s">
        <v>522</v>
      </c>
      <c r="F6" s="2" t="s">
        <v>4323</v>
      </c>
      <c r="G6" s="93" t="s">
        <v>1670</v>
      </c>
      <c r="H6" s="93" t="s">
        <v>525</v>
      </c>
      <c r="I6" s="96" t="s">
        <v>1303</v>
      </c>
      <c r="J6" s="93" t="s">
        <v>529</v>
      </c>
      <c r="K6" s="93" t="s">
        <v>4322</v>
      </c>
    </row>
  </sheetData>
  <dataValidations count="4">
    <dataValidation type="list" allowBlank="1" showErrorMessage="1" sqref="G4 G2" xr:uid="{F6C38F52-D6FD-4570-A4A6-ADBF5342021F}">
      <formula1>"Minor,Significant,Major"</formula1>
    </dataValidation>
    <dataValidation type="list" allowBlank="1" showErrorMessage="1" sqref="H4 H2" xr:uid="{0D68F734-0C3D-46C6-9C13-15C724B6B861}">
      <formula1>"Internal,External"</formula1>
    </dataValidation>
    <dataValidation type="list" allowBlank="1" showErrorMessage="1" sqref="I2:I4" xr:uid="{0E1BAFD2-BA44-4DA8-A6F6-1C3AB650B185}">
      <formula1>"Open,Inprogress,Closed"</formula1>
    </dataValidation>
    <dataValidation type="list" allowBlank="1" showErrorMessage="1" sqref="E2:E4" xr:uid="{2C6FCC40-6882-41E1-A773-BE0ADF422C80}">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7A51FED-E789-4C57-A83C-38CFF3DA3468}">
          <x14:formula1>
            <xm:f>Details!$A$2:$A$10</xm:f>
          </x14:formula1>
          <xm:sqref>J2:J4</xm:sqref>
        </x14:dataValidation>
      </x14:dataValidations>
    </ext>
  </extLs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X6"/>
  <sheetViews>
    <sheetView showGridLines="0" workbookViewId="0">
      <pane xSplit="5" ySplit="2" topLeftCell="T3" activePane="bottomRight" state="frozen"/>
      <selection pane="bottomRight" activeCell="U5" sqref="U5"/>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2.42578125" customWidth="1"/>
    <col min="5" max="7" width="23.140625" customWidth="1"/>
    <col min="8" max="8" width="11.42578125" customWidth="1"/>
    <col min="9" max="9" width="12.5703125" customWidth="1"/>
    <col min="10" max="10" width="40.140625" customWidth="1"/>
    <col min="11" max="11" width="12.5703125" customWidth="1"/>
    <col min="12" max="12" width="40" customWidth="1"/>
    <col min="13" max="13" width="17.7109375" customWidth="1"/>
    <col min="14" max="16" width="12.5703125" customWidth="1"/>
    <col min="17" max="17" width="46.28515625" customWidth="1"/>
    <col min="18" max="18" width="14.5703125" customWidth="1"/>
    <col min="19" max="19" width="16" customWidth="1"/>
    <col min="20" max="20" width="29.42578125" customWidth="1"/>
    <col min="21" max="22" width="41.28515625" customWidth="1"/>
    <col min="23" max="23" width="21.42578125" customWidth="1"/>
    <col min="24" max="24" width="42" customWidth="1"/>
  </cols>
  <sheetData>
    <row r="2" spans="1:24">
      <c r="A2" s="1" t="s">
        <v>266</v>
      </c>
      <c r="B2" s="1" t="s">
        <v>278</v>
      </c>
      <c r="C2" s="1" t="s">
        <v>269</v>
      </c>
      <c r="D2" s="1" t="s">
        <v>279</v>
      </c>
      <c r="E2" s="1" t="s">
        <v>280</v>
      </c>
      <c r="F2" s="1" t="s">
        <v>3608</v>
      </c>
      <c r="G2" s="1" t="s">
        <v>3609</v>
      </c>
      <c r="H2" s="1" t="s">
        <v>286</v>
      </c>
      <c r="I2" s="1" t="s">
        <v>287</v>
      </c>
      <c r="J2" s="1" t="s">
        <v>288</v>
      </c>
      <c r="K2" s="1" t="s">
        <v>289</v>
      </c>
      <c r="L2" s="1" t="s">
        <v>290</v>
      </c>
      <c r="M2" s="1" t="s">
        <v>291</v>
      </c>
      <c r="N2" s="1" t="s">
        <v>292</v>
      </c>
      <c r="O2" s="1" t="s">
        <v>293</v>
      </c>
      <c r="P2" s="1" t="s">
        <v>4065</v>
      </c>
      <c r="Q2" s="1" t="s">
        <v>1201</v>
      </c>
      <c r="R2" s="1" t="s">
        <v>4066</v>
      </c>
      <c r="S2" s="3" t="s">
        <v>1202</v>
      </c>
      <c r="T2" s="1" t="s">
        <v>1201</v>
      </c>
      <c r="U2" s="1" t="s">
        <v>299</v>
      </c>
      <c r="V2" s="1" t="s">
        <v>300</v>
      </c>
      <c r="W2" s="1" t="s">
        <v>275</v>
      </c>
      <c r="X2" s="4" t="s">
        <v>277</v>
      </c>
    </row>
    <row r="3" spans="1:24" ht="96">
      <c r="A3" s="5">
        <v>1</v>
      </c>
      <c r="B3" s="6" t="s">
        <v>4316</v>
      </c>
      <c r="C3" s="7" t="s">
        <v>3978</v>
      </c>
      <c r="D3" s="8">
        <v>22769</v>
      </c>
      <c r="E3" s="9" t="s">
        <v>4324</v>
      </c>
      <c r="F3" s="10" t="s">
        <v>4325</v>
      </c>
      <c r="G3" s="10" t="s">
        <v>4325</v>
      </c>
      <c r="H3" s="11" t="s">
        <v>319</v>
      </c>
      <c r="I3" s="12" t="s">
        <v>3976</v>
      </c>
      <c r="J3" s="11" t="s">
        <v>3979</v>
      </c>
      <c r="K3" s="12" t="s">
        <v>317</v>
      </c>
      <c r="L3" s="13" t="s">
        <v>4326</v>
      </c>
      <c r="M3" s="14" t="s">
        <v>4327</v>
      </c>
      <c r="N3" s="15">
        <v>45293</v>
      </c>
      <c r="O3" s="15">
        <v>45293</v>
      </c>
      <c r="P3" s="12" t="s">
        <v>317</v>
      </c>
      <c r="Q3" s="11" t="s">
        <v>3979</v>
      </c>
      <c r="R3" s="10" t="s">
        <v>320</v>
      </c>
      <c r="S3" s="10" t="s">
        <v>320</v>
      </c>
      <c r="T3" s="10" t="s">
        <v>320</v>
      </c>
      <c r="U3" s="10" t="s">
        <v>320</v>
      </c>
      <c r="V3" s="10" t="s">
        <v>320</v>
      </c>
      <c r="W3" s="11" t="s">
        <v>576</v>
      </c>
      <c r="X3" s="2"/>
    </row>
    <row r="4" spans="1:24" ht="96">
      <c r="A4" s="5">
        <v>2</v>
      </c>
      <c r="B4" s="6" t="s">
        <v>4316</v>
      </c>
      <c r="C4" s="7" t="s">
        <v>3978</v>
      </c>
      <c r="D4" s="8">
        <v>43496</v>
      </c>
      <c r="E4" s="9" t="s">
        <v>4328</v>
      </c>
      <c r="F4" s="10" t="s">
        <v>4291</v>
      </c>
      <c r="G4" s="10" t="s">
        <v>4291</v>
      </c>
      <c r="H4" s="11" t="s">
        <v>319</v>
      </c>
      <c r="I4" s="12" t="s">
        <v>3976</v>
      </c>
      <c r="J4" s="11" t="s">
        <v>3979</v>
      </c>
      <c r="K4" s="12" t="s">
        <v>3976</v>
      </c>
      <c r="L4" s="11" t="s">
        <v>3979</v>
      </c>
      <c r="M4" s="14" t="s">
        <v>4329</v>
      </c>
      <c r="N4" s="15">
        <v>45475</v>
      </c>
      <c r="O4" s="15">
        <v>45475</v>
      </c>
      <c r="P4" s="12" t="s">
        <v>317</v>
      </c>
      <c r="Q4" s="10" t="s">
        <v>4330</v>
      </c>
      <c r="R4" s="10" t="s">
        <v>3981</v>
      </c>
      <c r="S4" s="15">
        <v>45475</v>
      </c>
      <c r="T4" s="12" t="s">
        <v>3979</v>
      </c>
      <c r="U4" s="12" t="s">
        <v>3979</v>
      </c>
      <c r="V4" s="10" t="s">
        <v>4331</v>
      </c>
      <c r="W4" s="11" t="s">
        <v>576</v>
      </c>
      <c r="X4" s="2"/>
    </row>
    <row r="5" spans="1:24" ht="96">
      <c r="A5" s="41">
        <v>3</v>
      </c>
      <c r="B5" s="42" t="s">
        <v>4316</v>
      </c>
      <c r="C5" s="43" t="s">
        <v>3976</v>
      </c>
      <c r="D5" s="43">
        <v>34016</v>
      </c>
      <c r="E5" s="42" t="s">
        <v>4332</v>
      </c>
      <c r="F5" s="42" t="s">
        <v>4333</v>
      </c>
      <c r="G5" s="42" t="s">
        <v>4333</v>
      </c>
      <c r="H5" s="43" t="s">
        <v>319</v>
      </c>
      <c r="I5" s="43" t="s">
        <v>3978</v>
      </c>
      <c r="J5" s="43" t="s">
        <v>3979</v>
      </c>
      <c r="K5" s="43" t="s">
        <v>3978</v>
      </c>
      <c r="L5" s="43" t="s">
        <v>3979</v>
      </c>
      <c r="M5" s="44" t="s">
        <v>4334</v>
      </c>
      <c r="N5" s="45">
        <v>45628</v>
      </c>
      <c r="O5" s="45">
        <v>45628</v>
      </c>
      <c r="P5" s="43" t="s">
        <v>317</v>
      </c>
      <c r="Q5" s="43" t="s">
        <v>3979</v>
      </c>
      <c r="R5" s="42" t="s">
        <v>3981</v>
      </c>
      <c r="S5" s="45">
        <v>45628</v>
      </c>
      <c r="T5" s="43" t="s">
        <v>3979</v>
      </c>
      <c r="U5" s="71" t="s">
        <v>4252</v>
      </c>
      <c r="V5" s="42" t="s">
        <v>4335</v>
      </c>
      <c r="W5" s="57" t="s">
        <v>1671</v>
      </c>
      <c r="X5" s="10" t="s">
        <v>4336</v>
      </c>
    </row>
    <row r="6" spans="1:24" ht="96">
      <c r="A6" s="46">
        <v>4</v>
      </c>
      <c r="B6" s="47" t="s">
        <v>4337</v>
      </c>
      <c r="C6" s="48" t="s">
        <v>3978</v>
      </c>
      <c r="D6" s="48">
        <v>22766</v>
      </c>
      <c r="E6" s="47" t="s">
        <v>4317</v>
      </c>
      <c r="F6" s="48" t="s">
        <v>4291</v>
      </c>
      <c r="G6" s="48" t="s">
        <v>4291</v>
      </c>
      <c r="H6" s="48" t="s">
        <v>319</v>
      </c>
      <c r="I6" s="48" t="s">
        <v>3976</v>
      </c>
      <c r="J6" s="48" t="s">
        <v>3979</v>
      </c>
      <c r="K6" s="48" t="s">
        <v>3976</v>
      </c>
      <c r="L6" s="48" t="s">
        <v>3979</v>
      </c>
      <c r="M6" s="49" t="s">
        <v>4338</v>
      </c>
      <c r="N6" s="50">
        <v>45628</v>
      </c>
      <c r="O6" s="50">
        <v>45628</v>
      </c>
      <c r="P6" s="48" t="s">
        <v>317</v>
      </c>
      <c r="Q6" s="48" t="s">
        <v>3979</v>
      </c>
      <c r="R6" s="47" t="s">
        <v>3981</v>
      </c>
      <c r="S6" s="50">
        <v>45628</v>
      </c>
      <c r="T6" s="48" t="s">
        <v>3979</v>
      </c>
      <c r="U6" s="48" t="s">
        <v>3979</v>
      </c>
      <c r="V6" s="48" t="s">
        <v>3979</v>
      </c>
      <c r="W6" s="11" t="s">
        <v>1671</v>
      </c>
      <c r="X6" s="10" t="s">
        <v>4336</v>
      </c>
    </row>
  </sheetData>
  <dataValidations count="1">
    <dataValidation type="list" allowBlank="1" showErrorMessage="1" sqref="W6:W15 W3:W4" xr:uid="{00000000-0002-0000-0100-000000000000}">
      <formula1>"Open,Inprogress,Closed"</formula1>
    </dataValidation>
  </dataValidations>
  <hyperlinks>
    <hyperlink ref="M3" r:id="rId1" xr:uid="{00000000-0004-0000-0100-000000000000}"/>
    <hyperlink ref="M4" r:id="rId2" xr:uid="{00000000-0004-0000-0100-000001000000}"/>
    <hyperlink ref="M5" r:id="rId3" xr:uid="{B24F38CD-54AD-46C2-A943-6520C03474FC}"/>
    <hyperlink ref="M6" r:id="rId4" xr:uid="{E7F1682A-88F9-452E-93F5-CB846FCE0590}"/>
  </hyperlinks>
  <pageMargins left="0" right="0" top="0" bottom="0" header="0" footer="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0059-582F-4F9D-B987-25C9345E504D}">
  <sheetPr>
    <outlinePr summaryBelow="0" summaryRight="0"/>
  </sheetPr>
  <dimension ref="A2:X8"/>
  <sheetViews>
    <sheetView showGridLines="0" workbookViewId="0">
      <pane xSplit="5" ySplit="2" topLeftCell="F3" activePane="bottomRight" state="frozen"/>
      <selection pane="bottomRight" activeCell="A3" sqref="A3"/>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3.5703125" customWidth="1"/>
    <col min="4" max="4" width="12.42578125" customWidth="1"/>
    <col min="5" max="7" width="23.140625" customWidth="1"/>
    <col min="8" max="8" width="11.42578125" customWidth="1"/>
    <col min="9" max="9" width="12.5703125" customWidth="1"/>
    <col min="10" max="10" width="40.140625" customWidth="1"/>
    <col min="11" max="11" width="12.5703125" customWidth="1"/>
    <col min="12" max="12" width="40" customWidth="1"/>
    <col min="13" max="13" width="17.7109375" customWidth="1"/>
    <col min="14" max="16" width="12.5703125" customWidth="1"/>
    <col min="17" max="17" width="46.28515625" customWidth="1"/>
    <col min="18" max="18" width="14.5703125" customWidth="1"/>
    <col min="19" max="19" width="16" customWidth="1"/>
    <col min="20" max="20" width="29.42578125" customWidth="1"/>
    <col min="21" max="22" width="41.28515625" customWidth="1"/>
    <col min="23" max="23" width="21.42578125" customWidth="1"/>
    <col min="24" max="24" width="42" customWidth="1"/>
  </cols>
  <sheetData>
    <row r="2" spans="1:24" ht="27">
      <c r="A2" s="1" t="s">
        <v>266</v>
      </c>
      <c r="B2" s="1" t="s">
        <v>278</v>
      </c>
      <c r="C2" s="1" t="s">
        <v>269</v>
      </c>
      <c r="D2" s="1" t="s">
        <v>279</v>
      </c>
      <c r="E2" s="1" t="s">
        <v>280</v>
      </c>
      <c r="F2" s="1" t="s">
        <v>3608</v>
      </c>
      <c r="G2" s="1" t="s">
        <v>3609</v>
      </c>
      <c r="H2" s="1" t="s">
        <v>286</v>
      </c>
      <c r="I2" s="1" t="s">
        <v>287</v>
      </c>
      <c r="J2" s="1" t="s">
        <v>288</v>
      </c>
      <c r="K2" s="1" t="s">
        <v>289</v>
      </c>
      <c r="L2" s="1" t="s">
        <v>290</v>
      </c>
      <c r="M2" s="1" t="s">
        <v>291</v>
      </c>
      <c r="N2" s="1" t="s">
        <v>292</v>
      </c>
      <c r="O2" s="1" t="s">
        <v>293</v>
      </c>
      <c r="P2" s="1" t="s">
        <v>4065</v>
      </c>
      <c r="Q2" s="1" t="s">
        <v>1201</v>
      </c>
      <c r="R2" s="1" t="s">
        <v>4066</v>
      </c>
      <c r="S2" s="1" t="s">
        <v>1202</v>
      </c>
      <c r="T2" s="1" t="s">
        <v>1201</v>
      </c>
      <c r="U2" s="1" t="s">
        <v>299</v>
      </c>
      <c r="V2" s="1" t="s">
        <v>300</v>
      </c>
      <c r="W2" s="1" t="s">
        <v>275</v>
      </c>
      <c r="X2" s="4" t="s">
        <v>277</v>
      </c>
    </row>
    <row r="3" spans="1:24" s="64" customFormat="1" ht="84">
      <c r="A3" s="78">
        <v>1</v>
      </c>
      <c r="B3" s="71" t="s">
        <v>31</v>
      </c>
      <c r="C3" s="71" t="s">
        <v>3978</v>
      </c>
      <c r="D3" s="71">
        <v>22766</v>
      </c>
      <c r="E3" s="71" t="s">
        <v>4317</v>
      </c>
      <c r="F3" s="71" t="s">
        <v>4325</v>
      </c>
      <c r="G3" s="71" t="s">
        <v>4325</v>
      </c>
      <c r="H3" s="71" t="s">
        <v>319</v>
      </c>
      <c r="I3" s="71" t="s">
        <v>3976</v>
      </c>
      <c r="J3" s="71" t="s">
        <v>3979</v>
      </c>
      <c r="K3" s="71" t="s">
        <v>3976</v>
      </c>
      <c r="L3" s="71" t="s">
        <v>3979</v>
      </c>
      <c r="M3" s="72" t="s">
        <v>4339</v>
      </c>
      <c r="N3" s="73">
        <v>45337</v>
      </c>
      <c r="O3" s="73">
        <v>45337</v>
      </c>
      <c r="P3" s="71" t="s">
        <v>317</v>
      </c>
      <c r="Q3" s="71" t="s">
        <v>3979</v>
      </c>
      <c r="R3" s="71" t="s">
        <v>3981</v>
      </c>
      <c r="S3" s="73">
        <v>45337</v>
      </c>
      <c r="T3" s="71" t="s">
        <v>3979</v>
      </c>
      <c r="U3" s="71" t="s">
        <v>3979</v>
      </c>
      <c r="V3" s="71" t="s">
        <v>3979</v>
      </c>
      <c r="W3" s="74" t="s">
        <v>576</v>
      </c>
      <c r="X3" s="63"/>
    </row>
    <row r="4" spans="1:24" s="64" customFormat="1" ht="84">
      <c r="A4" s="74">
        <v>2</v>
      </c>
      <c r="B4" s="74" t="s">
        <v>31</v>
      </c>
      <c r="C4" s="74" t="s">
        <v>315</v>
      </c>
      <c r="D4" s="79">
        <v>34016</v>
      </c>
      <c r="E4" s="80" t="s">
        <v>4332</v>
      </c>
      <c r="F4" s="76" t="s">
        <v>4325</v>
      </c>
      <c r="G4" s="71" t="s">
        <v>4325</v>
      </c>
      <c r="H4" s="71" t="s">
        <v>319</v>
      </c>
      <c r="I4" s="7" t="s">
        <v>3978</v>
      </c>
      <c r="J4" s="71" t="s">
        <v>3979</v>
      </c>
      <c r="K4" s="7" t="s">
        <v>3978</v>
      </c>
      <c r="L4" s="88" t="s">
        <v>3979</v>
      </c>
      <c r="M4" s="89" t="s">
        <v>4340</v>
      </c>
      <c r="N4" s="90">
        <v>45337</v>
      </c>
      <c r="O4" s="73">
        <v>45337</v>
      </c>
      <c r="P4" s="71" t="s">
        <v>317</v>
      </c>
      <c r="Q4" s="71" t="s">
        <v>3979</v>
      </c>
      <c r="R4" s="71" t="s">
        <v>3981</v>
      </c>
      <c r="S4" s="73">
        <v>45337</v>
      </c>
      <c r="T4" s="71" t="s">
        <v>3979</v>
      </c>
      <c r="U4" s="71" t="s">
        <v>4252</v>
      </c>
      <c r="V4" s="71" t="s">
        <v>2516</v>
      </c>
      <c r="W4" s="74" t="s">
        <v>576</v>
      </c>
      <c r="X4" s="63"/>
    </row>
    <row r="5" spans="1:24" s="64" customFormat="1" ht="84">
      <c r="A5" s="81">
        <v>3</v>
      </c>
      <c r="B5" s="74" t="s">
        <v>31</v>
      </c>
      <c r="C5" s="71" t="s">
        <v>3978</v>
      </c>
      <c r="D5" s="75">
        <v>22788</v>
      </c>
      <c r="E5" s="75" t="s">
        <v>4323</v>
      </c>
      <c r="F5" s="75" t="s">
        <v>4291</v>
      </c>
      <c r="G5" s="75" t="s">
        <v>4291</v>
      </c>
      <c r="H5" s="71" t="s">
        <v>319</v>
      </c>
      <c r="I5" s="71" t="s">
        <v>3976</v>
      </c>
      <c r="J5" s="71" t="s">
        <v>3979</v>
      </c>
      <c r="K5" s="87" t="s">
        <v>3976</v>
      </c>
      <c r="L5" s="84" t="s">
        <v>3979</v>
      </c>
      <c r="M5" s="85" t="s">
        <v>4341</v>
      </c>
      <c r="N5" s="86">
        <v>45343</v>
      </c>
      <c r="O5" s="73">
        <v>45343</v>
      </c>
      <c r="P5" s="71" t="s">
        <v>317</v>
      </c>
      <c r="Q5" s="71" t="s">
        <v>3979</v>
      </c>
      <c r="R5" s="12" t="s">
        <v>4302</v>
      </c>
      <c r="S5" s="73">
        <v>45343</v>
      </c>
      <c r="T5" s="71" t="s">
        <v>3979</v>
      </c>
      <c r="U5" s="71" t="s">
        <v>3979</v>
      </c>
      <c r="V5" s="75" t="s">
        <v>4342</v>
      </c>
      <c r="W5" s="74" t="s">
        <v>1205</v>
      </c>
      <c r="X5" s="76" t="s">
        <v>4343</v>
      </c>
    </row>
    <row r="6" spans="1:24" s="64" customFormat="1" ht="36">
      <c r="A6" s="74">
        <v>4</v>
      </c>
      <c r="B6" s="74" t="s">
        <v>31</v>
      </c>
      <c r="C6" s="71" t="s">
        <v>315</v>
      </c>
      <c r="D6" s="76">
        <v>22865</v>
      </c>
      <c r="E6" s="76" t="s">
        <v>4344</v>
      </c>
      <c r="F6" s="76" t="s">
        <v>4291</v>
      </c>
      <c r="G6" s="76" t="s">
        <v>4291</v>
      </c>
      <c r="H6" s="71" t="s">
        <v>320</v>
      </c>
      <c r="I6" s="71" t="s">
        <v>320</v>
      </c>
      <c r="J6" s="71" t="s">
        <v>320</v>
      </c>
      <c r="K6" s="87" t="s">
        <v>320</v>
      </c>
      <c r="L6" s="84" t="s">
        <v>320</v>
      </c>
      <c r="M6" s="85" t="s">
        <v>320</v>
      </c>
      <c r="N6" s="86" t="s">
        <v>320</v>
      </c>
      <c r="O6" s="73" t="s">
        <v>320</v>
      </c>
      <c r="P6" s="71" t="s">
        <v>320</v>
      </c>
      <c r="Q6" s="71" t="s">
        <v>320</v>
      </c>
      <c r="R6" s="71" t="s">
        <v>320</v>
      </c>
      <c r="S6" s="73" t="s">
        <v>320</v>
      </c>
      <c r="T6" s="71" t="s">
        <v>320</v>
      </c>
      <c r="U6" s="87" t="s">
        <v>320</v>
      </c>
      <c r="V6" s="84" t="s">
        <v>320</v>
      </c>
      <c r="W6" s="92" t="s">
        <v>576</v>
      </c>
      <c r="X6" s="76" t="s">
        <v>4345</v>
      </c>
    </row>
    <row r="7" spans="1:24" s="64" customFormat="1" ht="84">
      <c r="A7" s="74">
        <v>5</v>
      </c>
      <c r="B7" s="74" t="s">
        <v>31</v>
      </c>
      <c r="C7" s="71" t="s">
        <v>3978</v>
      </c>
      <c r="D7" s="76">
        <v>22787</v>
      </c>
      <c r="E7" s="76" t="s">
        <v>4321</v>
      </c>
      <c r="F7" s="76" t="s">
        <v>4333</v>
      </c>
      <c r="G7" s="76" t="s">
        <v>4333</v>
      </c>
      <c r="H7" s="71" t="s">
        <v>319</v>
      </c>
      <c r="I7" s="71" t="s">
        <v>3976</v>
      </c>
      <c r="J7" s="71" t="s">
        <v>3979</v>
      </c>
      <c r="K7" s="87" t="s">
        <v>3976</v>
      </c>
      <c r="L7" s="84" t="s">
        <v>3979</v>
      </c>
      <c r="M7" s="85" t="s">
        <v>4346</v>
      </c>
      <c r="N7" s="86">
        <v>45345</v>
      </c>
      <c r="O7" s="73">
        <v>45345</v>
      </c>
      <c r="P7" s="71" t="s">
        <v>317</v>
      </c>
      <c r="Q7" s="71" t="s">
        <v>3979</v>
      </c>
      <c r="R7" s="71" t="s">
        <v>3981</v>
      </c>
      <c r="S7" s="73">
        <v>45345</v>
      </c>
      <c r="T7" s="71" t="s">
        <v>3979</v>
      </c>
      <c r="U7" s="71" t="s">
        <v>3979</v>
      </c>
      <c r="V7" s="71" t="s">
        <v>3979</v>
      </c>
      <c r="W7" s="74" t="s">
        <v>1205</v>
      </c>
      <c r="X7" s="76" t="s">
        <v>4343</v>
      </c>
    </row>
    <row r="8" spans="1:24" s="64" customFormat="1" ht="24.75" customHeight="1">
      <c r="A8" s="83">
        <v>6</v>
      </c>
      <c r="B8" s="74" t="s">
        <v>31</v>
      </c>
      <c r="C8" s="77" t="s">
        <v>315</v>
      </c>
      <c r="D8" s="82">
        <v>22767</v>
      </c>
      <c r="E8" s="69" t="s">
        <v>4320</v>
      </c>
      <c r="F8" s="82" t="s">
        <v>4325</v>
      </c>
      <c r="G8" s="69" t="s">
        <v>4325</v>
      </c>
      <c r="H8" s="71" t="s">
        <v>319</v>
      </c>
      <c r="I8" s="71" t="s">
        <v>3978</v>
      </c>
      <c r="J8" s="71" t="s">
        <v>3979</v>
      </c>
      <c r="K8" s="71" t="s">
        <v>3978</v>
      </c>
      <c r="L8" s="84" t="s">
        <v>3979</v>
      </c>
      <c r="M8" s="91" t="s">
        <v>4347</v>
      </c>
      <c r="N8" s="86">
        <v>45348</v>
      </c>
      <c r="O8" s="86">
        <v>45348</v>
      </c>
      <c r="P8" s="71" t="s">
        <v>317</v>
      </c>
      <c r="Q8" s="71" t="s">
        <v>3979</v>
      </c>
      <c r="R8" s="71" t="s">
        <v>3981</v>
      </c>
      <c r="S8" s="86">
        <v>45348</v>
      </c>
      <c r="T8" s="71" t="s">
        <v>3979</v>
      </c>
      <c r="U8" s="71" t="s">
        <v>4252</v>
      </c>
      <c r="V8" s="71" t="s">
        <v>2516</v>
      </c>
      <c r="W8" s="68" t="s">
        <v>576</v>
      </c>
      <c r="X8" s="69" t="s">
        <v>4348</v>
      </c>
    </row>
  </sheetData>
  <dataValidations count="1">
    <dataValidation type="list" allowBlank="1" showErrorMessage="1" sqref="W3:W15" xr:uid="{B8B4C47F-2C4F-484E-98C6-CB1CAE95F8C7}">
      <formula1>"Open,Inprogress,Closed"</formula1>
    </dataValidation>
  </dataValidations>
  <hyperlinks>
    <hyperlink ref="M3" r:id="rId1" xr:uid="{62D8A4F6-7518-4867-BDB4-B68AF2BE01B3}"/>
    <hyperlink ref="M5" r:id="rId2" xr:uid="{B94D50BB-4875-4F42-A9BE-0637713CBF79}"/>
    <hyperlink ref="M4" r:id="rId3" xr:uid="{9C0C580D-0AC8-4BD8-B3BF-ECE3B67B4D04}"/>
    <hyperlink ref="M7" r:id="rId4" xr:uid="{84C15DDD-1D1C-42CC-B17B-C80B41BEA097}"/>
    <hyperlink ref="M8" r:id="rId5" xr:uid="{EFD81DA9-EE63-49D3-A814-7F73DACD3520}"/>
  </hyperlinks>
  <pageMargins left="0" right="0" top="0" bottom="0" header="0" footer="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4"/>
  <sheetViews>
    <sheetView workbookViewId="0">
      <selection activeCell="A3" sqref="A3"/>
    </sheetView>
  </sheetViews>
  <sheetFormatPr defaultColWidth="12.5703125" defaultRowHeight="15.75" customHeight="1"/>
  <cols>
    <col min="3" max="3" width="7.42578125" customWidth="1"/>
    <col min="4" max="4" width="13" customWidth="1"/>
    <col min="6" max="6" width="53.28515625" customWidth="1"/>
    <col min="7" max="7" width="14.85546875" customWidth="1"/>
    <col min="10" max="10" width="17.7109375" customWidth="1"/>
  </cols>
  <sheetData>
    <row r="1" spans="1:11" ht="40.5">
      <c r="A1" s="1" t="s">
        <v>266</v>
      </c>
      <c r="B1" s="24" t="s">
        <v>10</v>
      </c>
      <c r="C1" s="25" t="s">
        <v>267</v>
      </c>
      <c r="D1" s="24" t="s">
        <v>269</v>
      </c>
      <c r="E1" s="25" t="s">
        <v>270</v>
      </c>
      <c r="F1" s="26" t="s">
        <v>271</v>
      </c>
      <c r="G1" s="24" t="s">
        <v>272</v>
      </c>
      <c r="H1" s="24" t="s">
        <v>274</v>
      </c>
      <c r="I1" s="24" t="s">
        <v>275</v>
      </c>
      <c r="J1" s="27" t="s">
        <v>276</v>
      </c>
      <c r="K1" s="28" t="s">
        <v>277</v>
      </c>
    </row>
    <row r="2" spans="1:11">
      <c r="A2" s="11">
        <v>1</v>
      </c>
      <c r="B2" s="6" t="s">
        <v>4316</v>
      </c>
      <c r="C2" s="11">
        <v>22769</v>
      </c>
      <c r="D2" s="29" t="s">
        <v>313</v>
      </c>
      <c r="E2" s="22" t="s">
        <v>522</v>
      </c>
      <c r="F2" s="29" t="s">
        <v>4324</v>
      </c>
      <c r="G2" s="29" t="s">
        <v>1670</v>
      </c>
      <c r="H2" s="29" t="s">
        <v>525</v>
      </c>
      <c r="I2" s="29" t="s">
        <v>576</v>
      </c>
      <c r="J2" s="29"/>
      <c r="K2" s="29"/>
    </row>
    <row r="3" spans="1:11">
      <c r="A3" s="53">
        <v>2</v>
      </c>
      <c r="B3" s="54" t="s">
        <v>4316</v>
      </c>
      <c r="C3" s="55">
        <v>22766</v>
      </c>
      <c r="D3" s="55" t="s">
        <v>1976</v>
      </c>
      <c r="E3" s="55" t="s">
        <v>3503</v>
      </c>
      <c r="F3" s="55" t="s">
        <v>4317</v>
      </c>
      <c r="G3" s="55" t="s">
        <v>1670</v>
      </c>
      <c r="H3" s="55" t="s">
        <v>525</v>
      </c>
      <c r="I3" s="56" t="s">
        <v>1671</v>
      </c>
      <c r="J3" s="55"/>
      <c r="K3" s="55" t="s">
        <v>4349</v>
      </c>
    </row>
    <row r="4" spans="1:11" ht="12.75">
      <c r="A4" s="51">
        <v>3</v>
      </c>
      <c r="B4" s="6" t="s">
        <v>4316</v>
      </c>
      <c r="C4" s="52">
        <v>34016</v>
      </c>
      <c r="D4" s="51" t="s">
        <v>315</v>
      </c>
      <c r="E4" s="55" t="s">
        <v>3503</v>
      </c>
      <c r="F4" s="51" t="s">
        <v>4318</v>
      </c>
      <c r="G4" s="51" t="s">
        <v>1670</v>
      </c>
      <c r="H4" s="51" t="s">
        <v>525</v>
      </c>
      <c r="I4" s="51" t="s">
        <v>1671</v>
      </c>
      <c r="J4" s="51"/>
      <c r="K4" s="51"/>
    </row>
  </sheetData>
  <dataValidations count="4">
    <dataValidation type="list" allowBlank="1" showErrorMessage="1" sqref="E2:E4" xr:uid="{00000000-0002-0000-0200-000000000000}">
      <formula1>"Bounceback,Defect,None"</formula1>
    </dataValidation>
    <dataValidation type="list" allowBlank="1" showErrorMessage="1" sqref="I2:I3" xr:uid="{00000000-0002-0000-0200-000002000000}">
      <formula1>"Open,Inprogress,Closed"</formula1>
    </dataValidation>
    <dataValidation type="list" allowBlank="1" showErrorMessage="1" sqref="H2:H3" xr:uid="{00000000-0002-0000-0200-000003000000}">
      <formula1>"Internal,External"</formula1>
    </dataValidation>
    <dataValidation type="list" allowBlank="1" showErrorMessage="1" sqref="G2:G3" xr:uid="{00000000-0002-0000-02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Details!$A$2:$A$10</xm:f>
          </x14:formula1>
          <xm:sqref>J2:J3</xm:sqref>
        </x14:dataValidation>
      </x14:dataValidations>
    </ext>
  </extLs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X4"/>
  <sheetViews>
    <sheetView showGridLines="0" workbookViewId="0">
      <pane xSplit="5" ySplit="2" topLeftCell="P3" activePane="bottomRight" state="frozen"/>
      <selection pane="bottomRight" activeCell="U3" sqref="U3"/>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2.42578125" customWidth="1"/>
    <col min="5" max="7" width="23.140625" customWidth="1"/>
    <col min="8" max="8" width="11.42578125" customWidth="1"/>
    <col min="9" max="9" width="12.5703125" customWidth="1"/>
    <col min="10" max="10" width="40.140625" customWidth="1"/>
    <col min="11" max="11" width="12.5703125" customWidth="1"/>
    <col min="12" max="12" width="40" customWidth="1"/>
    <col min="13" max="13" width="17.7109375" customWidth="1"/>
    <col min="14" max="16" width="12.5703125" customWidth="1"/>
    <col min="17" max="17" width="46.28515625" customWidth="1"/>
    <col min="18" max="18" width="10.140625" customWidth="1"/>
    <col min="19" max="19" width="16" customWidth="1"/>
    <col min="20" max="20" width="29.42578125" customWidth="1"/>
    <col min="21" max="22" width="41.28515625" customWidth="1"/>
    <col min="23" max="23" width="21.42578125" customWidth="1"/>
    <col min="24" max="24" width="42" customWidth="1"/>
  </cols>
  <sheetData>
    <row r="2" spans="1:24">
      <c r="A2" s="1" t="s">
        <v>266</v>
      </c>
      <c r="B2" s="1" t="s">
        <v>278</v>
      </c>
      <c r="C2" s="1" t="s">
        <v>269</v>
      </c>
      <c r="D2" s="1" t="s">
        <v>279</v>
      </c>
      <c r="E2" s="1" t="s">
        <v>280</v>
      </c>
      <c r="F2" s="1" t="s">
        <v>3608</v>
      </c>
      <c r="G2" s="1" t="s">
        <v>3609</v>
      </c>
      <c r="H2" s="1" t="s">
        <v>286</v>
      </c>
      <c r="I2" s="1" t="s">
        <v>287</v>
      </c>
      <c r="J2" s="1" t="s">
        <v>288</v>
      </c>
      <c r="K2" s="1" t="s">
        <v>289</v>
      </c>
      <c r="L2" s="1" t="s">
        <v>290</v>
      </c>
      <c r="M2" s="1" t="s">
        <v>291</v>
      </c>
      <c r="N2" s="1" t="s">
        <v>292</v>
      </c>
      <c r="O2" s="1" t="s">
        <v>293</v>
      </c>
      <c r="P2" s="1" t="s">
        <v>4065</v>
      </c>
      <c r="Q2" s="1" t="s">
        <v>1201</v>
      </c>
      <c r="R2" s="1" t="s">
        <v>4066</v>
      </c>
      <c r="S2" s="3" t="s">
        <v>1202</v>
      </c>
      <c r="T2" s="1" t="s">
        <v>1201</v>
      </c>
      <c r="U2" s="1" t="s">
        <v>299</v>
      </c>
      <c r="V2" s="1" t="s">
        <v>300</v>
      </c>
      <c r="W2" s="1" t="s">
        <v>275</v>
      </c>
      <c r="X2" s="4" t="s">
        <v>277</v>
      </c>
    </row>
    <row r="3" spans="1:24">
      <c r="A3" s="19">
        <v>1</v>
      </c>
      <c r="B3" s="6" t="s">
        <v>26</v>
      </c>
      <c r="C3" s="12" t="s">
        <v>3976</v>
      </c>
      <c r="D3" s="20">
        <v>43319</v>
      </c>
      <c r="E3" s="35" t="s">
        <v>4350</v>
      </c>
      <c r="F3" s="9" t="s">
        <v>4300</v>
      </c>
      <c r="G3" s="9" t="s">
        <v>4351</v>
      </c>
      <c r="H3" s="11" t="s">
        <v>319</v>
      </c>
      <c r="I3" s="12" t="s">
        <v>3978</v>
      </c>
      <c r="J3" s="22" t="s">
        <v>3979</v>
      </c>
      <c r="K3" s="12" t="s">
        <v>317</v>
      </c>
      <c r="L3" s="22" t="s">
        <v>3979</v>
      </c>
      <c r="M3" s="14" t="s">
        <v>4352</v>
      </c>
      <c r="N3" s="12" t="s">
        <v>4353</v>
      </c>
      <c r="O3" s="12" t="s">
        <v>4353</v>
      </c>
      <c r="P3" s="12" t="s">
        <v>4302</v>
      </c>
      <c r="Q3" s="22" t="s">
        <v>3979</v>
      </c>
      <c r="R3" s="10" t="s">
        <v>320</v>
      </c>
      <c r="S3" s="10" t="s">
        <v>320</v>
      </c>
      <c r="T3" s="10" t="s">
        <v>320</v>
      </c>
      <c r="U3" s="10" t="s">
        <v>4354</v>
      </c>
      <c r="V3" s="10" t="s">
        <v>4354</v>
      </c>
      <c r="W3" s="11" t="s">
        <v>576</v>
      </c>
      <c r="X3" s="2"/>
    </row>
    <row r="4" spans="1:24">
      <c r="A4" s="5">
        <v>2</v>
      </c>
      <c r="B4" s="6" t="s">
        <v>26</v>
      </c>
      <c r="C4" s="7" t="s">
        <v>3978</v>
      </c>
      <c r="D4" s="8">
        <v>21465</v>
      </c>
      <c r="E4" s="9" t="s">
        <v>4355</v>
      </c>
      <c r="F4" s="10" t="s">
        <v>4300</v>
      </c>
      <c r="G4" s="10" t="s">
        <v>4300</v>
      </c>
      <c r="H4" s="11" t="s">
        <v>319</v>
      </c>
      <c r="I4" s="12" t="s">
        <v>3976</v>
      </c>
      <c r="J4" s="22" t="s">
        <v>3979</v>
      </c>
      <c r="K4" s="12" t="s">
        <v>317</v>
      </c>
      <c r="L4" s="22" t="s">
        <v>3979</v>
      </c>
      <c r="M4" s="14" t="s">
        <v>4356</v>
      </c>
      <c r="N4" s="12" t="s">
        <v>4357</v>
      </c>
      <c r="O4" s="12" t="s">
        <v>4357</v>
      </c>
      <c r="P4" s="12" t="s">
        <v>4302</v>
      </c>
      <c r="Q4" s="22" t="s">
        <v>3979</v>
      </c>
      <c r="R4" s="10" t="s">
        <v>320</v>
      </c>
      <c r="S4" s="10" t="s">
        <v>320</v>
      </c>
      <c r="T4" s="10" t="s">
        <v>320</v>
      </c>
      <c r="U4" s="10" t="s">
        <v>4354</v>
      </c>
      <c r="V4" s="10" t="s">
        <v>4354</v>
      </c>
      <c r="W4" s="11" t="s">
        <v>576</v>
      </c>
      <c r="X4" s="2"/>
    </row>
  </sheetData>
  <dataValidations count="1">
    <dataValidation type="list" allowBlank="1" showErrorMessage="1" sqref="W3:W5 W7:W15" xr:uid="{00000000-0002-0000-0500-000000000000}">
      <formula1>"Open,Inprogress,Closed"</formula1>
    </dataValidation>
  </dataValidations>
  <hyperlinks>
    <hyperlink ref="M3" r:id="rId1" xr:uid="{00000000-0004-0000-0500-000000000000}"/>
    <hyperlink ref="M4" r:id="rId2" xr:uid="{00000000-0004-0000-0500-000001000000}"/>
  </hyperlinks>
  <pageMargins left="0" right="0" top="0" bottom="0" header="0" footer="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990"/>
  <sheetViews>
    <sheetView workbookViewId="0"/>
  </sheetViews>
  <sheetFormatPr defaultColWidth="12.5703125" defaultRowHeight="15.75" customHeight="1"/>
  <cols>
    <col min="3" max="3" width="12" customWidth="1"/>
    <col min="4" max="4" width="8.42578125" customWidth="1"/>
    <col min="6" max="6" width="53.28515625" customWidth="1"/>
    <col min="7" max="7" width="14.85546875" customWidth="1"/>
    <col min="10" max="10" width="17.7109375" customWidth="1"/>
    <col min="11" max="11" width="19.42578125" customWidth="1"/>
  </cols>
  <sheetData>
    <row r="1" spans="1:11">
      <c r="A1" s="1" t="s">
        <v>266</v>
      </c>
      <c r="B1" s="24" t="s">
        <v>10</v>
      </c>
      <c r="C1" s="25" t="s">
        <v>267</v>
      </c>
      <c r="D1" s="24" t="s">
        <v>269</v>
      </c>
      <c r="E1" s="25" t="s">
        <v>270</v>
      </c>
      <c r="F1" s="26" t="s">
        <v>271</v>
      </c>
      <c r="G1" s="24" t="s">
        <v>272</v>
      </c>
      <c r="H1" s="24" t="s">
        <v>274</v>
      </c>
      <c r="I1" s="24" t="s">
        <v>275</v>
      </c>
      <c r="J1" s="27" t="s">
        <v>276</v>
      </c>
      <c r="K1" s="28" t="s">
        <v>277</v>
      </c>
    </row>
    <row r="2" spans="1:11">
      <c r="A2" s="11">
        <v>1</v>
      </c>
      <c r="B2" s="6" t="s">
        <v>26</v>
      </c>
      <c r="C2" s="29">
        <v>42817</v>
      </c>
      <c r="D2" s="29" t="s">
        <v>315</v>
      </c>
      <c r="E2" s="29" t="s">
        <v>3503</v>
      </c>
      <c r="F2" s="29" t="s">
        <v>4358</v>
      </c>
      <c r="G2" s="29" t="s">
        <v>1670</v>
      </c>
      <c r="H2" s="29" t="s">
        <v>525</v>
      </c>
      <c r="I2" s="29" t="s">
        <v>576</v>
      </c>
      <c r="J2" s="29"/>
      <c r="K2" s="29"/>
    </row>
    <row r="3" spans="1:11">
      <c r="A3" s="30">
        <v>2</v>
      </c>
      <c r="B3" s="6" t="s">
        <v>26</v>
      </c>
      <c r="C3" s="22">
        <v>21465</v>
      </c>
      <c r="D3" s="22" t="s">
        <v>1976</v>
      </c>
      <c r="E3" s="22" t="s">
        <v>3503</v>
      </c>
      <c r="F3" s="22" t="s">
        <v>4359</v>
      </c>
      <c r="G3" s="22" t="s">
        <v>1670</v>
      </c>
      <c r="H3" s="22" t="s">
        <v>525</v>
      </c>
      <c r="I3" s="22" t="s">
        <v>576</v>
      </c>
      <c r="J3" s="22"/>
      <c r="K3" s="22"/>
    </row>
    <row r="4" spans="1:11">
      <c r="A4" s="30">
        <v>3</v>
      </c>
      <c r="B4" s="22" t="s">
        <v>26</v>
      </c>
      <c r="C4" s="22">
        <v>22751</v>
      </c>
      <c r="D4" s="22"/>
      <c r="E4" s="22" t="s">
        <v>522</v>
      </c>
      <c r="F4" s="22" t="s">
        <v>328</v>
      </c>
      <c r="G4" s="22" t="s">
        <v>1670</v>
      </c>
      <c r="H4" s="22" t="s">
        <v>525</v>
      </c>
      <c r="I4" s="22" t="s">
        <v>1671</v>
      </c>
      <c r="J4" s="22"/>
      <c r="K4" s="23" t="s">
        <v>4360</v>
      </c>
    </row>
    <row r="5" spans="1:11"/>
    <row r="6" spans="1:11"/>
    <row r="7" spans="1:11"/>
    <row r="8" spans="1:11"/>
    <row r="9" spans="1:11"/>
    <row r="10" spans="1:11"/>
    <row r="11" spans="1:11"/>
    <row r="12" spans="1:11"/>
    <row r="13" spans="1:11"/>
    <row r="14" spans="1:11"/>
    <row r="15" spans="1:11"/>
    <row r="16" spans="1:11"/>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sheetData>
  <dataValidations count="4">
    <dataValidation type="list" allowBlank="1" showErrorMessage="1" sqref="E2:E4" xr:uid="{00000000-0002-0000-0600-000000000000}">
      <formula1>"Bounceback,Defect,None"</formula1>
    </dataValidation>
    <dataValidation type="list" allowBlank="1" showErrorMessage="1" sqref="I2:I4" xr:uid="{00000000-0002-0000-0600-000002000000}">
      <formula1>"Open,Inprogress,Closed"</formula1>
    </dataValidation>
    <dataValidation type="list" allowBlank="1" showErrorMessage="1" sqref="H2:H4" xr:uid="{00000000-0002-0000-0600-000003000000}">
      <formula1>"Internal,External"</formula1>
    </dataValidation>
    <dataValidation type="list" allowBlank="1" showErrorMessage="1" sqref="G2:G4" xr:uid="{00000000-0002-0000-06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Details!$A$2:$A$10</xm:f>
          </x14:formula1>
          <xm:sqref>J2:J4</xm:sqref>
        </x14:dataValidation>
      </x14:dataValidations>
    </ext>
  </extLst>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10"/>
  <sheetViews>
    <sheetView workbookViewId="0"/>
  </sheetViews>
  <sheetFormatPr defaultColWidth="12.5703125" defaultRowHeight="15.75" customHeight="1"/>
  <cols>
    <col min="1" max="1" width="16.5703125" customWidth="1"/>
  </cols>
  <sheetData>
    <row r="1" spans="1:1">
      <c r="A1" s="36" t="s">
        <v>4361</v>
      </c>
    </row>
    <row r="2" spans="1:1">
      <c r="A2" s="37" t="s">
        <v>532</v>
      </c>
    </row>
    <row r="3" spans="1:1">
      <c r="A3" s="37" t="s">
        <v>529</v>
      </c>
    </row>
    <row r="4" spans="1:1">
      <c r="A4" s="37" t="s">
        <v>1325</v>
      </c>
    </row>
    <row r="5" spans="1:1">
      <c r="A5" s="37" t="s">
        <v>2894</v>
      </c>
    </row>
    <row r="6" spans="1:1">
      <c r="A6" s="37" t="s">
        <v>4362</v>
      </c>
    </row>
    <row r="7" spans="1:1">
      <c r="A7" s="37" t="s">
        <v>2056</v>
      </c>
    </row>
    <row r="8" spans="1:1">
      <c r="A8" s="37" t="s">
        <v>526</v>
      </c>
    </row>
    <row r="9" spans="1:1">
      <c r="A9" s="37" t="s">
        <v>520</v>
      </c>
    </row>
    <row r="10" spans="1:1">
      <c r="A10" s="37" t="s">
        <v>1186</v>
      </c>
    </row>
  </sheetData>
  <pageMargins left="0" right="0" top="0" bottom="0" header="0" footer="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K10"/>
  <sheetViews>
    <sheetView showGridLines="0" workbookViewId="0"/>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725" t="s">
        <v>4363</v>
      </c>
      <c r="C2" s="726"/>
      <c r="D2" s="726"/>
      <c r="E2" s="726"/>
      <c r="F2" s="726"/>
      <c r="G2" s="726"/>
      <c r="I2" s="38" t="s">
        <v>4364</v>
      </c>
      <c r="J2" s="38" t="s">
        <v>4365</v>
      </c>
      <c r="K2" s="38" t="s">
        <v>275</v>
      </c>
    </row>
    <row r="3" spans="2:11">
      <c r="B3" s="2">
        <v>1</v>
      </c>
      <c r="C3" s="724" t="s">
        <v>4366</v>
      </c>
      <c r="D3" s="727"/>
      <c r="E3" s="727"/>
      <c r="F3" s="727"/>
      <c r="G3" s="728"/>
      <c r="I3" s="2">
        <v>1</v>
      </c>
      <c r="J3" s="2" t="s">
        <v>4367</v>
      </c>
      <c r="K3" s="2" t="b">
        <v>0</v>
      </c>
    </row>
    <row r="4" spans="2:11">
      <c r="B4" s="2">
        <v>2</v>
      </c>
      <c r="C4" s="724" t="s">
        <v>4368</v>
      </c>
      <c r="D4" s="727"/>
      <c r="E4" s="727"/>
      <c r="F4" s="727"/>
      <c r="G4" s="728"/>
      <c r="I4" s="2">
        <v>2</v>
      </c>
      <c r="J4" s="2" t="s">
        <v>4369</v>
      </c>
      <c r="K4" s="2" t="b">
        <v>0</v>
      </c>
    </row>
    <row r="5" spans="2:11">
      <c r="B5" s="2">
        <v>3</v>
      </c>
      <c r="C5" s="724" t="s">
        <v>4370</v>
      </c>
      <c r="D5" s="727"/>
      <c r="E5" s="727"/>
      <c r="F5" s="727"/>
      <c r="G5" s="728"/>
      <c r="I5" s="2">
        <v>3</v>
      </c>
      <c r="J5" s="2" t="s">
        <v>4371</v>
      </c>
      <c r="K5" s="2" t="b">
        <v>0</v>
      </c>
    </row>
    <row r="6" spans="2:11">
      <c r="B6" s="2">
        <v>4</v>
      </c>
      <c r="C6" s="724" t="s">
        <v>4372</v>
      </c>
      <c r="D6" s="727"/>
      <c r="E6" s="727"/>
      <c r="F6" s="727"/>
      <c r="G6" s="728"/>
      <c r="I6" s="2">
        <v>4</v>
      </c>
      <c r="J6" s="2" t="s">
        <v>4373</v>
      </c>
      <c r="K6" s="2" t="b">
        <v>0</v>
      </c>
    </row>
    <row r="7" spans="2:11">
      <c r="D7" s="3"/>
      <c r="I7" s="2">
        <v>5</v>
      </c>
      <c r="J7" s="2" t="s">
        <v>4374</v>
      </c>
      <c r="K7" s="2" t="b">
        <v>0</v>
      </c>
    </row>
    <row r="8" spans="2:11">
      <c r="D8" s="3"/>
      <c r="I8" s="2">
        <v>6</v>
      </c>
      <c r="J8" s="2" t="s">
        <v>4375</v>
      </c>
      <c r="K8" s="2" t="b">
        <v>0</v>
      </c>
    </row>
    <row r="9" spans="2:11">
      <c r="D9" s="3"/>
      <c r="I9" s="2">
        <v>7</v>
      </c>
      <c r="J9" s="2" t="s">
        <v>4376</v>
      </c>
      <c r="K9" s="2" t="b">
        <v>0</v>
      </c>
    </row>
    <row r="10" spans="2:11">
      <c r="D10" s="3"/>
      <c r="I10" s="2">
        <v>8</v>
      </c>
      <c r="J10" s="2" t="s">
        <v>4377</v>
      </c>
      <c r="K10" s="2" t="b">
        <v>0</v>
      </c>
    </row>
  </sheetData>
  <mergeCells count="5">
    <mergeCell ref="B2:G2"/>
    <mergeCell ref="C3:G3"/>
    <mergeCell ref="C4:G4"/>
    <mergeCell ref="C5:G5"/>
    <mergeCell ref="C6:G6"/>
  </mergeCells>
  <pageMargins left="0" right="0" top="0" bottom="0" header="0" footer="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X11"/>
  <sheetViews>
    <sheetView showGridLines="0" workbookViewId="0">
      <pane xSplit="5" ySplit="2" topLeftCell="T29" activePane="bottomRight" state="frozen"/>
      <selection pane="bottomRight" activeCell="V8" sqref="V8"/>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2.42578125" customWidth="1"/>
    <col min="5" max="5" width="23.140625" customWidth="1"/>
    <col min="6" max="6" width="14.5703125" customWidth="1"/>
    <col min="7" max="7" width="9.5703125" customWidth="1"/>
    <col min="8" max="8" width="11.42578125" customWidth="1"/>
    <col min="9" max="9" width="12.5703125" customWidth="1"/>
    <col min="10" max="10" width="40.140625" customWidth="1"/>
    <col min="11" max="11" width="12.5703125" customWidth="1"/>
    <col min="12" max="12" width="40" customWidth="1"/>
    <col min="13" max="13" width="17.7109375"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2" spans="1:24">
      <c r="A2" s="1" t="s">
        <v>266</v>
      </c>
      <c r="B2" s="1" t="s">
        <v>278</v>
      </c>
      <c r="C2" s="1" t="s">
        <v>269</v>
      </c>
      <c r="D2" s="1" t="s">
        <v>279</v>
      </c>
      <c r="E2" s="1" t="s">
        <v>280</v>
      </c>
      <c r="F2" s="1" t="s">
        <v>3608</v>
      </c>
      <c r="G2" s="1" t="s">
        <v>3609</v>
      </c>
      <c r="H2" s="1" t="s">
        <v>286</v>
      </c>
      <c r="I2" s="1" t="s">
        <v>287</v>
      </c>
      <c r="J2" s="1" t="s">
        <v>288</v>
      </c>
      <c r="K2" s="1" t="s">
        <v>289</v>
      </c>
      <c r="L2" s="1" t="s">
        <v>290</v>
      </c>
      <c r="M2" s="1" t="s">
        <v>291</v>
      </c>
      <c r="N2" s="1" t="s">
        <v>292</v>
      </c>
      <c r="O2" s="1" t="s">
        <v>293</v>
      </c>
      <c r="P2" s="1" t="s">
        <v>4065</v>
      </c>
      <c r="Q2" s="1" t="s">
        <v>1201</v>
      </c>
      <c r="R2" s="1" t="s">
        <v>4066</v>
      </c>
      <c r="S2" s="1" t="s">
        <v>1202</v>
      </c>
      <c r="T2" s="1" t="s">
        <v>1201</v>
      </c>
      <c r="U2" s="1" t="s">
        <v>299</v>
      </c>
      <c r="V2" s="1" t="s">
        <v>300</v>
      </c>
      <c r="W2" s="1" t="s">
        <v>275</v>
      </c>
      <c r="X2" s="4" t="s">
        <v>277</v>
      </c>
    </row>
    <row r="3" spans="1:24" ht="142.5">
      <c r="A3" s="19">
        <v>1</v>
      </c>
      <c r="B3" s="6" t="s">
        <v>23</v>
      </c>
      <c r="C3" s="7" t="s">
        <v>3978</v>
      </c>
      <c r="D3" s="8">
        <v>38738</v>
      </c>
      <c r="E3" s="9" t="s">
        <v>4378</v>
      </c>
      <c r="F3" s="32" t="s">
        <v>4291</v>
      </c>
      <c r="G3" s="32" t="s">
        <v>4291</v>
      </c>
      <c r="H3" s="11" t="s">
        <v>319</v>
      </c>
      <c r="I3" s="12" t="s">
        <v>317</v>
      </c>
      <c r="J3" s="22" t="s">
        <v>3979</v>
      </c>
      <c r="K3" s="12" t="s">
        <v>317</v>
      </c>
      <c r="L3" s="23" t="s">
        <v>4379</v>
      </c>
      <c r="M3" s="14" t="s">
        <v>4380</v>
      </c>
      <c r="N3" s="15">
        <v>45505</v>
      </c>
      <c r="O3" s="15">
        <v>45505</v>
      </c>
      <c r="P3" s="12" t="s">
        <v>4302</v>
      </c>
      <c r="Q3" s="10" t="s">
        <v>4381</v>
      </c>
      <c r="R3" s="10" t="s">
        <v>320</v>
      </c>
      <c r="S3" s="10" t="s">
        <v>320</v>
      </c>
      <c r="T3" s="10" t="s">
        <v>320</v>
      </c>
      <c r="U3" s="10" t="s">
        <v>4382</v>
      </c>
      <c r="V3" s="22" t="s">
        <v>3979</v>
      </c>
      <c r="W3" s="11" t="s">
        <v>576</v>
      </c>
      <c r="X3" s="2"/>
    </row>
    <row r="4" spans="1:24">
      <c r="A4" s="19">
        <v>2</v>
      </c>
      <c r="B4" s="6" t="s">
        <v>23</v>
      </c>
      <c r="C4" s="7" t="s">
        <v>4383</v>
      </c>
      <c r="D4" s="8">
        <v>22619</v>
      </c>
      <c r="E4" s="21" t="s">
        <v>4384</v>
      </c>
      <c r="F4" s="32" t="s">
        <v>4291</v>
      </c>
      <c r="G4" s="32"/>
      <c r="H4" s="11" t="s">
        <v>319</v>
      </c>
      <c r="I4" s="12" t="s">
        <v>3976</v>
      </c>
      <c r="J4" s="22" t="s">
        <v>3979</v>
      </c>
      <c r="K4" s="7" t="s">
        <v>3978</v>
      </c>
      <c r="L4" s="22" t="s">
        <v>3979</v>
      </c>
      <c r="M4" s="14" t="s">
        <v>4385</v>
      </c>
      <c r="N4" s="15">
        <v>45566</v>
      </c>
      <c r="O4" s="15">
        <v>45566</v>
      </c>
      <c r="P4" s="12" t="s">
        <v>4302</v>
      </c>
      <c r="Q4" s="22" t="s">
        <v>3979</v>
      </c>
      <c r="R4" s="10" t="s">
        <v>320</v>
      </c>
      <c r="S4" s="10" t="s">
        <v>320</v>
      </c>
      <c r="T4" s="10" t="s">
        <v>320</v>
      </c>
      <c r="U4" s="10" t="s">
        <v>4354</v>
      </c>
      <c r="V4" s="22" t="s">
        <v>3979</v>
      </c>
      <c r="W4" s="11" t="s">
        <v>576</v>
      </c>
      <c r="X4" s="2"/>
    </row>
    <row r="5" spans="1:24" ht="84">
      <c r="A5" s="19">
        <v>3</v>
      </c>
      <c r="B5" s="6" t="s">
        <v>23</v>
      </c>
      <c r="C5" s="7" t="s">
        <v>3978</v>
      </c>
      <c r="D5" s="20">
        <v>43163</v>
      </c>
      <c r="E5" s="21" t="s">
        <v>4386</v>
      </c>
      <c r="F5" s="32" t="s">
        <v>4325</v>
      </c>
      <c r="G5" s="32" t="s">
        <v>4325</v>
      </c>
      <c r="H5" s="11" t="s">
        <v>319</v>
      </c>
      <c r="I5" s="12" t="s">
        <v>317</v>
      </c>
      <c r="J5" s="22" t="s">
        <v>3979</v>
      </c>
      <c r="K5" s="12" t="s">
        <v>317</v>
      </c>
      <c r="L5" s="22" t="s">
        <v>3979</v>
      </c>
      <c r="M5" s="14" t="s">
        <v>4387</v>
      </c>
      <c r="N5" s="15">
        <v>45505</v>
      </c>
      <c r="O5" s="15">
        <v>45505</v>
      </c>
      <c r="P5" s="12" t="s">
        <v>4302</v>
      </c>
      <c r="Q5" s="22" t="s">
        <v>3979</v>
      </c>
      <c r="R5" s="10" t="s">
        <v>320</v>
      </c>
      <c r="S5" s="10" t="s">
        <v>320</v>
      </c>
      <c r="T5" s="10" t="s">
        <v>320</v>
      </c>
      <c r="U5" s="22" t="s">
        <v>3979</v>
      </c>
      <c r="V5" s="22" t="s">
        <v>3979</v>
      </c>
      <c r="W5" s="11" t="s">
        <v>576</v>
      </c>
      <c r="X5" s="10"/>
    </row>
    <row r="6" spans="1:24">
      <c r="A6" s="19">
        <v>4</v>
      </c>
      <c r="B6" s="6" t="s">
        <v>23</v>
      </c>
      <c r="C6" s="7" t="s">
        <v>4383</v>
      </c>
      <c r="D6" s="20">
        <v>42972</v>
      </c>
      <c r="E6" s="21" t="s">
        <v>4388</v>
      </c>
      <c r="F6" s="32" t="s">
        <v>4291</v>
      </c>
      <c r="G6" s="32" t="s">
        <v>4291</v>
      </c>
      <c r="H6" s="11" t="s">
        <v>319</v>
      </c>
      <c r="I6" s="12" t="s">
        <v>3978</v>
      </c>
      <c r="J6" s="22" t="s">
        <v>3979</v>
      </c>
      <c r="K6" s="12" t="s">
        <v>3978</v>
      </c>
      <c r="L6" s="22" t="s">
        <v>3979</v>
      </c>
      <c r="M6" s="14" t="s">
        <v>4389</v>
      </c>
      <c r="N6" s="15">
        <v>45352</v>
      </c>
      <c r="O6" s="15">
        <v>45352</v>
      </c>
      <c r="P6" s="12" t="s">
        <v>4302</v>
      </c>
      <c r="Q6" s="22" t="s">
        <v>3979</v>
      </c>
      <c r="R6" s="10" t="s">
        <v>320</v>
      </c>
      <c r="S6" s="10" t="s">
        <v>320</v>
      </c>
      <c r="T6" s="10" t="s">
        <v>320</v>
      </c>
      <c r="U6" s="22" t="s">
        <v>3979</v>
      </c>
      <c r="V6" s="22" t="s">
        <v>3979</v>
      </c>
      <c r="W6" s="11" t="s">
        <v>576</v>
      </c>
      <c r="X6" s="2"/>
    </row>
    <row r="7" spans="1:24">
      <c r="A7" s="19">
        <v>5</v>
      </c>
      <c r="B7" s="6" t="s">
        <v>23</v>
      </c>
      <c r="C7" s="7" t="s">
        <v>3978</v>
      </c>
      <c r="D7" s="20">
        <v>43162</v>
      </c>
      <c r="E7" s="21" t="s">
        <v>4390</v>
      </c>
      <c r="F7" s="32" t="s">
        <v>4291</v>
      </c>
      <c r="G7" s="32" t="s">
        <v>4291</v>
      </c>
      <c r="H7" s="11" t="s">
        <v>319</v>
      </c>
      <c r="I7" s="12" t="s">
        <v>317</v>
      </c>
      <c r="J7" s="22" t="s">
        <v>3979</v>
      </c>
      <c r="K7" s="12" t="s">
        <v>317</v>
      </c>
      <c r="L7" s="22" t="s">
        <v>3979</v>
      </c>
      <c r="M7" s="14" t="s">
        <v>4391</v>
      </c>
      <c r="N7" s="15">
        <v>45566</v>
      </c>
      <c r="O7" s="15">
        <v>45566</v>
      </c>
      <c r="P7" s="12" t="s">
        <v>4302</v>
      </c>
      <c r="Q7" s="22" t="s">
        <v>3979</v>
      </c>
      <c r="R7" s="10" t="s">
        <v>320</v>
      </c>
      <c r="S7" s="10" t="s">
        <v>320</v>
      </c>
      <c r="T7" s="10" t="s">
        <v>320</v>
      </c>
      <c r="U7" s="22" t="s">
        <v>3979</v>
      </c>
      <c r="V7" s="22" t="s">
        <v>3979</v>
      </c>
      <c r="W7" s="11" t="s">
        <v>576</v>
      </c>
      <c r="X7" s="2"/>
    </row>
    <row r="8" spans="1:24" ht="33.75" customHeight="1">
      <c r="A8" s="19">
        <v>6</v>
      </c>
      <c r="B8" s="6" t="s">
        <v>4392</v>
      </c>
      <c r="C8" s="7" t="s">
        <v>3978</v>
      </c>
      <c r="D8" s="20">
        <v>21465</v>
      </c>
      <c r="E8" s="9" t="s">
        <v>4355</v>
      </c>
      <c r="F8" s="32" t="s">
        <v>4325</v>
      </c>
      <c r="G8" s="32" t="s">
        <v>4325</v>
      </c>
      <c r="H8" s="11" t="s">
        <v>319</v>
      </c>
      <c r="I8" s="12" t="s">
        <v>317</v>
      </c>
      <c r="J8" s="22" t="s">
        <v>3979</v>
      </c>
      <c r="K8" s="12" t="s">
        <v>317</v>
      </c>
      <c r="L8" s="22" t="s">
        <v>3979</v>
      </c>
      <c r="M8" s="14" t="s">
        <v>4393</v>
      </c>
      <c r="N8" s="12" t="s">
        <v>4394</v>
      </c>
      <c r="O8" s="12" t="s">
        <v>4394</v>
      </c>
      <c r="P8" s="12" t="s">
        <v>4302</v>
      </c>
      <c r="Q8" s="22" t="s">
        <v>3979</v>
      </c>
      <c r="R8" s="10" t="s">
        <v>320</v>
      </c>
      <c r="S8" s="10" t="s">
        <v>320</v>
      </c>
      <c r="T8" s="10" t="s">
        <v>320</v>
      </c>
      <c r="U8" s="10" t="s">
        <v>4354</v>
      </c>
      <c r="V8" s="22" t="s">
        <v>3979</v>
      </c>
      <c r="W8" s="11" t="s">
        <v>576</v>
      </c>
      <c r="X8" s="2"/>
    </row>
    <row r="9" spans="1:24" ht="24.75" customHeight="1">
      <c r="A9" s="19">
        <v>7</v>
      </c>
      <c r="B9" s="6" t="s">
        <v>23</v>
      </c>
      <c r="C9" s="12" t="s">
        <v>3976</v>
      </c>
      <c r="D9" s="20">
        <v>42817</v>
      </c>
      <c r="E9" s="9" t="s">
        <v>4395</v>
      </c>
      <c r="F9" s="32" t="s">
        <v>4291</v>
      </c>
      <c r="G9" s="32" t="s">
        <v>4396</v>
      </c>
      <c r="H9" s="11" t="s">
        <v>319</v>
      </c>
      <c r="I9" s="12" t="s">
        <v>317</v>
      </c>
      <c r="J9" s="22" t="s">
        <v>3979</v>
      </c>
      <c r="K9" s="12" t="s">
        <v>317</v>
      </c>
      <c r="L9" s="22" t="s">
        <v>3979</v>
      </c>
      <c r="M9" s="14" t="s">
        <v>4397</v>
      </c>
      <c r="N9" s="15">
        <v>45627</v>
      </c>
      <c r="O9" s="12" t="s">
        <v>4394</v>
      </c>
      <c r="P9" s="12" t="s">
        <v>4302</v>
      </c>
      <c r="Q9" s="10" t="s">
        <v>4398</v>
      </c>
      <c r="R9" s="10" t="s">
        <v>320</v>
      </c>
      <c r="S9" s="10" t="s">
        <v>320</v>
      </c>
      <c r="T9" s="10" t="s">
        <v>320</v>
      </c>
      <c r="U9" s="10" t="s">
        <v>4354</v>
      </c>
      <c r="V9" s="22" t="s">
        <v>3979</v>
      </c>
      <c r="W9" s="11" t="s">
        <v>576</v>
      </c>
      <c r="X9" s="2"/>
    </row>
    <row r="10" spans="1:24">
      <c r="A10" s="19">
        <v>8</v>
      </c>
      <c r="B10" s="6" t="s">
        <v>4392</v>
      </c>
      <c r="C10" s="12" t="s">
        <v>3976</v>
      </c>
      <c r="D10" s="20">
        <v>21055</v>
      </c>
      <c r="E10" s="10" t="s">
        <v>4399</v>
      </c>
      <c r="F10" s="33" t="s">
        <v>4291</v>
      </c>
      <c r="G10" s="33" t="s">
        <v>4291</v>
      </c>
      <c r="H10" s="11" t="s">
        <v>319</v>
      </c>
      <c r="I10" s="12" t="s">
        <v>3978</v>
      </c>
      <c r="J10" s="22" t="s">
        <v>3979</v>
      </c>
      <c r="K10" s="12" t="s">
        <v>317</v>
      </c>
      <c r="L10" s="22" t="s">
        <v>3979</v>
      </c>
      <c r="M10" s="39" t="s">
        <v>4400</v>
      </c>
      <c r="N10" s="12" t="s">
        <v>4401</v>
      </c>
      <c r="O10" s="12" t="s">
        <v>4353</v>
      </c>
      <c r="P10" s="12" t="s">
        <v>4302</v>
      </c>
      <c r="Q10" s="22" t="s">
        <v>3979</v>
      </c>
      <c r="R10" s="10" t="s">
        <v>320</v>
      </c>
      <c r="S10" s="10" t="s">
        <v>320</v>
      </c>
      <c r="T10" s="10" t="s">
        <v>320</v>
      </c>
      <c r="U10" s="10" t="s">
        <v>4354</v>
      </c>
      <c r="V10" s="22" t="s">
        <v>3979</v>
      </c>
      <c r="W10" s="11" t="s">
        <v>576</v>
      </c>
      <c r="X10" s="2"/>
    </row>
    <row r="11" spans="1:24">
      <c r="A11" s="19">
        <v>9</v>
      </c>
      <c r="B11" s="6" t="s">
        <v>4392</v>
      </c>
      <c r="C11" s="7" t="s">
        <v>317</v>
      </c>
      <c r="D11" s="16">
        <v>22520</v>
      </c>
      <c r="E11" s="10" t="s">
        <v>4402</v>
      </c>
      <c r="F11" s="33" t="s">
        <v>4291</v>
      </c>
      <c r="G11" s="34" t="s">
        <v>4403</v>
      </c>
      <c r="H11" s="11" t="s">
        <v>319</v>
      </c>
      <c r="I11" s="16" t="s">
        <v>3978</v>
      </c>
      <c r="J11" s="22" t="s">
        <v>3979</v>
      </c>
      <c r="K11" s="16" t="s">
        <v>3978</v>
      </c>
      <c r="L11" s="22" t="s">
        <v>3979</v>
      </c>
      <c r="M11" s="40" t="s">
        <v>4404</v>
      </c>
      <c r="N11" s="18">
        <v>45597</v>
      </c>
      <c r="O11" s="18">
        <v>45597</v>
      </c>
      <c r="P11" s="12" t="s">
        <v>4302</v>
      </c>
      <c r="Q11" s="22" t="s">
        <v>3979</v>
      </c>
      <c r="R11" s="10" t="s">
        <v>320</v>
      </c>
      <c r="S11" s="10" t="s">
        <v>320</v>
      </c>
      <c r="T11" s="10" t="s">
        <v>320</v>
      </c>
      <c r="U11" s="10" t="s">
        <v>4354</v>
      </c>
      <c r="V11" s="22" t="s">
        <v>3979</v>
      </c>
      <c r="W11" s="11" t="s">
        <v>576</v>
      </c>
      <c r="X11" s="2"/>
    </row>
  </sheetData>
  <dataValidations count="1">
    <dataValidation type="list" allowBlank="1" showErrorMessage="1" sqref="W3:W15" xr:uid="{00000000-0002-0000-0300-000000000000}">
      <formula1>"Open,Inprogress,Closed"</formula1>
    </dataValidation>
  </dataValidations>
  <hyperlinks>
    <hyperlink ref="M3" r:id="rId1" xr:uid="{00000000-0004-0000-0300-000000000000}"/>
    <hyperlink ref="M4" r:id="rId2" xr:uid="{00000000-0004-0000-0300-000001000000}"/>
    <hyperlink ref="M5" r:id="rId3" xr:uid="{00000000-0004-0000-0300-000002000000}"/>
    <hyperlink ref="M6" r:id="rId4" xr:uid="{00000000-0004-0000-0300-000003000000}"/>
    <hyperlink ref="M7" r:id="rId5" xr:uid="{00000000-0004-0000-0300-000004000000}"/>
    <hyperlink ref="M8" r:id="rId6" xr:uid="{00000000-0004-0000-0300-000005000000}"/>
    <hyperlink ref="M9" r:id="rId7" xr:uid="{00000000-0004-0000-0300-000006000000}"/>
    <hyperlink ref="M10" r:id="rId8" xr:uid="{00000000-0004-0000-0300-000007000000}"/>
    <hyperlink ref="M11" r:id="rId9" xr:uid="{00000000-0004-0000-0300-000008000000}"/>
  </hyperlinks>
  <pageMargins left="0" right="0" top="0" bottom="0" header="0" footer="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992"/>
  <sheetViews>
    <sheetView workbookViewId="0">
      <selection activeCell="E1" sqref="E1"/>
    </sheetView>
  </sheetViews>
  <sheetFormatPr defaultColWidth="12.5703125" defaultRowHeight="15.75" customHeight="1"/>
  <cols>
    <col min="3" max="3" width="12" customWidth="1"/>
    <col min="4" max="4" width="8.42578125" customWidth="1"/>
    <col min="6" max="6" width="53.28515625" customWidth="1"/>
    <col min="7" max="7" width="14.85546875" customWidth="1"/>
    <col min="10" max="10" width="17.7109375" customWidth="1"/>
  </cols>
  <sheetData>
    <row r="1" spans="1:11"/>
    <row r="2" spans="1:11"/>
    <row r="3" spans="1:11">
      <c r="A3" s="1" t="s">
        <v>266</v>
      </c>
      <c r="B3" s="24" t="s">
        <v>10</v>
      </c>
      <c r="C3" s="25" t="s">
        <v>267</v>
      </c>
      <c r="D3" s="24" t="s">
        <v>269</v>
      </c>
      <c r="E3" s="25" t="s">
        <v>270</v>
      </c>
      <c r="F3" s="26" t="s">
        <v>271</v>
      </c>
      <c r="G3" s="24" t="s">
        <v>272</v>
      </c>
      <c r="H3" s="24" t="s">
        <v>274</v>
      </c>
      <c r="I3" s="24" t="s">
        <v>275</v>
      </c>
      <c r="J3" s="27" t="s">
        <v>276</v>
      </c>
      <c r="K3" s="28" t="s">
        <v>277</v>
      </c>
    </row>
    <row r="4" spans="1:11">
      <c r="A4" s="11"/>
      <c r="B4" s="29"/>
      <c r="C4" s="29">
        <v>22619</v>
      </c>
      <c r="D4" s="29" t="s">
        <v>317</v>
      </c>
      <c r="E4" s="29" t="s">
        <v>522</v>
      </c>
      <c r="F4" s="29" t="s">
        <v>4384</v>
      </c>
      <c r="G4" s="29" t="s">
        <v>1670</v>
      </c>
      <c r="H4" s="29" t="s">
        <v>519</v>
      </c>
      <c r="I4" s="29" t="s">
        <v>576</v>
      </c>
      <c r="J4" s="29" t="s">
        <v>526</v>
      </c>
      <c r="K4" s="29" t="s">
        <v>4405</v>
      </c>
    </row>
    <row r="5" spans="1:11">
      <c r="A5" s="30"/>
      <c r="B5" s="22"/>
      <c r="C5" s="22">
        <v>22520</v>
      </c>
      <c r="D5" s="22" t="s">
        <v>317</v>
      </c>
      <c r="E5" s="22" t="s">
        <v>522</v>
      </c>
      <c r="F5" s="22" t="s">
        <v>4406</v>
      </c>
      <c r="G5" s="22" t="s">
        <v>1670</v>
      </c>
      <c r="H5" s="22" t="s">
        <v>519</v>
      </c>
      <c r="I5" s="22" t="s">
        <v>576</v>
      </c>
      <c r="J5" s="22" t="s">
        <v>526</v>
      </c>
      <c r="K5" s="22" t="s">
        <v>4405</v>
      </c>
    </row>
    <row r="6" spans="1:11">
      <c r="A6" s="30"/>
      <c r="B6" s="22"/>
      <c r="C6" s="22">
        <v>21055</v>
      </c>
      <c r="D6" s="22" t="s">
        <v>315</v>
      </c>
      <c r="E6" s="22" t="s">
        <v>522</v>
      </c>
      <c r="F6" s="22" t="s">
        <v>4399</v>
      </c>
      <c r="G6" s="22" t="s">
        <v>1670</v>
      </c>
      <c r="H6" s="22" t="s">
        <v>519</v>
      </c>
      <c r="I6" s="22" t="s">
        <v>576</v>
      </c>
      <c r="J6" s="22" t="s">
        <v>526</v>
      </c>
      <c r="K6" s="22" t="s">
        <v>4405</v>
      </c>
    </row>
    <row r="7" spans="1:11">
      <c r="A7" s="30"/>
      <c r="B7" s="22"/>
      <c r="C7" s="22">
        <v>21465</v>
      </c>
      <c r="D7" s="22" t="s">
        <v>313</v>
      </c>
      <c r="E7" s="22" t="s">
        <v>522</v>
      </c>
      <c r="F7" s="22" t="s">
        <v>4355</v>
      </c>
      <c r="G7" s="22" t="s">
        <v>1670</v>
      </c>
      <c r="H7" s="22" t="s">
        <v>519</v>
      </c>
      <c r="I7" s="22" t="s">
        <v>576</v>
      </c>
      <c r="J7" s="22" t="s">
        <v>526</v>
      </c>
      <c r="K7" s="22" t="s">
        <v>4405</v>
      </c>
    </row>
    <row r="8" spans="1:11">
      <c r="A8" s="30"/>
      <c r="B8" s="22"/>
      <c r="C8" s="22"/>
      <c r="D8" s="22"/>
      <c r="E8" s="22"/>
      <c r="F8" s="22"/>
      <c r="G8" s="22"/>
      <c r="H8" s="22"/>
      <c r="I8" s="22"/>
      <c r="J8" s="22"/>
      <c r="K8" s="22" t="s">
        <v>4405</v>
      </c>
    </row>
    <row r="9" spans="1:11"/>
    <row r="10" spans="1:11"/>
    <row r="11" spans="1:11"/>
    <row r="12" spans="1:11"/>
    <row r="13" spans="1:11"/>
    <row r="14" spans="1:11"/>
    <row r="15" spans="1:11"/>
    <row r="16" spans="1:11"/>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sheetData>
  <dataValidations count="4">
    <dataValidation type="list" allowBlank="1" showErrorMessage="1" sqref="E4:E8" xr:uid="{00000000-0002-0000-0400-000000000000}">
      <formula1>"Bounceback,Defect,None"</formula1>
    </dataValidation>
    <dataValidation type="list" allowBlank="1" showErrorMessage="1" sqref="I4:I8" xr:uid="{00000000-0002-0000-0400-000002000000}">
      <formula1>"Open,Inprogress,Closed"</formula1>
    </dataValidation>
    <dataValidation type="list" allowBlank="1" showErrorMessage="1" sqref="H4:H8" xr:uid="{00000000-0002-0000-0400-000003000000}">
      <formula1>"Internal,External"</formula1>
    </dataValidation>
    <dataValidation type="list" allowBlank="1" showErrorMessage="1" sqref="G4:G8" xr:uid="{00000000-0002-0000-04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Details!$A$2:$A$10</xm:f>
          </x14:formula1>
          <xm:sqref>J4:J8</xm:sqref>
        </x14:dataValidation>
      </x14:dataValidations>
    </ext>
  </extLst>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8FFE-F11E-4004-A031-5154672B67C7}">
  <dimension ref="C3:C20"/>
  <sheetViews>
    <sheetView workbookViewId="0"/>
  </sheetViews>
  <sheetFormatPr defaultRowHeight="12.75"/>
  <cols>
    <col min="3" max="3" width="13.42578125" customWidth="1"/>
  </cols>
  <sheetData>
    <row r="3" spans="3:3">
      <c r="C3" t="s">
        <v>306</v>
      </c>
    </row>
    <row r="4" spans="3:3">
      <c r="C4" t="s">
        <v>503</v>
      </c>
    </row>
    <row r="5" spans="3:3">
      <c r="C5" t="s">
        <v>369</v>
      </c>
    </row>
    <row r="6" spans="3:3">
      <c r="C6" t="s">
        <v>338</v>
      </c>
    </row>
    <row r="7" spans="3:3">
      <c r="C7" t="s">
        <v>380</v>
      </c>
    </row>
    <row r="8" spans="3:3">
      <c r="C8" t="s">
        <v>399</v>
      </c>
    </row>
    <row r="9" spans="3:3">
      <c r="C9" t="s">
        <v>553</v>
      </c>
    </row>
    <row r="10" spans="3:3">
      <c r="C10" t="s">
        <v>4407</v>
      </c>
    </row>
    <row r="11" spans="3:3">
      <c r="C11" t="s">
        <v>579</v>
      </c>
    </row>
    <row r="12" spans="3:3">
      <c r="C12" t="s">
        <v>348</v>
      </c>
    </row>
    <row r="13" spans="3:3">
      <c r="C13" t="s">
        <v>514</v>
      </c>
    </row>
    <row r="14" spans="3:3">
      <c r="C14" t="s">
        <v>380</v>
      </c>
    </row>
    <row r="15" spans="3:3">
      <c r="C15" t="s">
        <v>329</v>
      </c>
    </row>
    <row r="16" spans="3:3">
      <c r="C16" t="s">
        <v>1068</v>
      </c>
    </row>
    <row r="17" spans="3:3">
      <c r="C17" t="s">
        <v>376</v>
      </c>
    </row>
    <row r="18" spans="3:3">
      <c r="C18" t="s">
        <v>509</v>
      </c>
    </row>
    <row r="19" spans="3:3">
      <c r="C19" t="s">
        <v>1303</v>
      </c>
    </row>
    <row r="20" spans="3:3">
      <c r="C20" t="s">
        <v>1117</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5404-EAC5-491F-B24A-66239050876F}">
  <dimension ref="A1:AB396"/>
  <sheetViews>
    <sheetView workbookViewId="0"/>
  </sheetViews>
  <sheetFormatPr defaultRowHeight="12.75"/>
  <sheetData>
    <row r="1" spans="1:28">
      <c r="A1">
        <v>1</v>
      </c>
      <c r="B1" t="s">
        <v>5</v>
      </c>
      <c r="C1">
        <v>46050</v>
      </c>
      <c r="D1">
        <v>46063</v>
      </c>
      <c r="E1" t="s">
        <v>83</v>
      </c>
      <c r="F1" t="s">
        <v>315</v>
      </c>
      <c r="G1">
        <v>46689</v>
      </c>
      <c r="H1" t="s">
        <v>3710</v>
      </c>
      <c r="I1" t="s">
        <v>576</v>
      </c>
      <c r="J1">
        <v>5</v>
      </c>
      <c r="K1">
        <v>5</v>
      </c>
      <c r="M1" t="s">
        <v>12</v>
      </c>
      <c r="N1" t="s">
        <v>313</v>
      </c>
      <c r="O1" t="s">
        <v>316</v>
      </c>
      <c r="P1" t="s">
        <v>313</v>
      </c>
      <c r="Q1" t="s">
        <v>3226</v>
      </c>
      <c r="R1" t="s">
        <v>3711</v>
      </c>
      <c r="S1">
        <v>45649</v>
      </c>
      <c r="T1">
        <v>45650</v>
      </c>
      <c r="U1" t="s">
        <v>12</v>
      </c>
      <c r="V1" t="s">
        <v>3712</v>
      </c>
      <c r="W1" t="s">
        <v>320</v>
      </c>
      <c r="X1" t="s">
        <v>320</v>
      </c>
      <c r="Y1" t="s">
        <v>320</v>
      </c>
      <c r="Z1" s="100" t="s">
        <v>3713</v>
      </c>
      <c r="AA1" s="100" t="s">
        <v>3714</v>
      </c>
      <c r="AB1" t="s">
        <v>12</v>
      </c>
    </row>
    <row r="2" spans="1:28">
      <c r="A2">
        <v>2</v>
      </c>
      <c r="B2" t="s">
        <v>5</v>
      </c>
      <c r="C2">
        <v>46050</v>
      </c>
      <c r="D2">
        <v>46063</v>
      </c>
      <c r="E2" t="s">
        <v>83</v>
      </c>
      <c r="F2" t="s">
        <v>317</v>
      </c>
      <c r="G2">
        <v>46588</v>
      </c>
      <c r="H2" t="s">
        <v>3728</v>
      </c>
      <c r="I2" t="s">
        <v>1205</v>
      </c>
      <c r="J2">
        <v>2</v>
      </c>
      <c r="AB2" t="s">
        <v>3729</v>
      </c>
    </row>
    <row r="3" spans="1:28">
      <c r="A3">
        <v>3</v>
      </c>
      <c r="B3" t="s">
        <v>5</v>
      </c>
      <c r="C3">
        <v>46050</v>
      </c>
      <c r="D3">
        <v>46063</v>
      </c>
      <c r="E3" t="s">
        <v>83</v>
      </c>
      <c r="F3" t="s">
        <v>313</v>
      </c>
      <c r="G3">
        <v>46782</v>
      </c>
      <c r="H3" t="s">
        <v>3742</v>
      </c>
      <c r="I3" t="s">
        <v>576</v>
      </c>
      <c r="J3">
        <v>5</v>
      </c>
      <c r="K3">
        <v>5</v>
      </c>
      <c r="M3" t="s">
        <v>12</v>
      </c>
      <c r="N3" t="s">
        <v>315</v>
      </c>
      <c r="O3" t="s">
        <v>316</v>
      </c>
      <c r="P3" t="s">
        <v>317</v>
      </c>
      <c r="Q3" t="s">
        <v>3226</v>
      </c>
      <c r="R3" t="s">
        <v>3711</v>
      </c>
      <c r="S3">
        <v>45649</v>
      </c>
      <c r="T3">
        <v>45650</v>
      </c>
      <c r="U3" t="s">
        <v>12</v>
      </c>
      <c r="V3" t="s">
        <v>3226</v>
      </c>
      <c r="W3" t="s">
        <v>320</v>
      </c>
      <c r="X3" t="s">
        <v>320</v>
      </c>
      <c r="Y3" t="s">
        <v>320</v>
      </c>
      <c r="Z3" t="s">
        <v>3624</v>
      </c>
      <c r="AA3" t="s">
        <v>2516</v>
      </c>
      <c r="AB3" t="s">
        <v>12</v>
      </c>
    </row>
    <row r="4" spans="1:28">
      <c r="A4">
        <v>4</v>
      </c>
      <c r="B4" t="s">
        <v>5</v>
      </c>
      <c r="C4">
        <v>46050</v>
      </c>
      <c r="D4">
        <v>46063</v>
      </c>
      <c r="E4" t="s">
        <v>83</v>
      </c>
      <c r="F4" t="s">
        <v>317</v>
      </c>
      <c r="G4">
        <v>46796</v>
      </c>
      <c r="H4" t="s">
        <v>3756</v>
      </c>
      <c r="I4" t="s">
        <v>576</v>
      </c>
      <c r="J4">
        <v>2</v>
      </c>
      <c r="K4">
        <v>2</v>
      </c>
      <c r="M4" t="s">
        <v>12</v>
      </c>
      <c r="N4" t="s">
        <v>315</v>
      </c>
      <c r="O4" t="s">
        <v>316</v>
      </c>
      <c r="P4" t="s">
        <v>317</v>
      </c>
      <c r="Q4" t="s">
        <v>3226</v>
      </c>
      <c r="R4" t="s">
        <v>3757</v>
      </c>
      <c r="S4">
        <v>45304</v>
      </c>
      <c r="U4" t="s">
        <v>12</v>
      </c>
      <c r="AA4" t="s">
        <v>2516</v>
      </c>
      <c r="AB4" t="s">
        <v>3758</v>
      </c>
    </row>
    <row r="5" spans="1:28">
      <c r="A5">
        <v>5</v>
      </c>
      <c r="B5" t="s">
        <v>5</v>
      </c>
      <c r="C5">
        <v>46050</v>
      </c>
      <c r="D5">
        <v>46063</v>
      </c>
      <c r="E5" t="s">
        <v>83</v>
      </c>
      <c r="F5" t="s">
        <v>1216</v>
      </c>
      <c r="G5">
        <v>46690</v>
      </c>
      <c r="H5" t="s">
        <v>3768</v>
      </c>
      <c r="I5" t="s">
        <v>576</v>
      </c>
      <c r="J5">
        <v>8</v>
      </c>
      <c r="K5">
        <v>8</v>
      </c>
      <c r="M5" t="s">
        <v>12</v>
      </c>
      <c r="AB5" t="s">
        <v>3769</v>
      </c>
    </row>
    <row r="6" spans="1:28">
      <c r="A6">
        <v>6</v>
      </c>
      <c r="B6" t="s">
        <v>5</v>
      </c>
      <c r="C6">
        <v>46050</v>
      </c>
      <c r="D6">
        <v>46063</v>
      </c>
      <c r="E6" t="s">
        <v>3777</v>
      </c>
      <c r="F6" t="s">
        <v>3778</v>
      </c>
      <c r="G6">
        <v>46740</v>
      </c>
      <c r="H6" t="s">
        <v>3779</v>
      </c>
      <c r="I6" t="s">
        <v>3762</v>
      </c>
      <c r="J6">
        <v>8</v>
      </c>
      <c r="K6">
        <v>4</v>
      </c>
      <c r="AB6" t="s">
        <v>3780</v>
      </c>
    </row>
    <row r="7" spans="1:28">
      <c r="A7">
        <v>7</v>
      </c>
      <c r="B7" t="s">
        <v>5</v>
      </c>
      <c r="C7">
        <v>46050</v>
      </c>
      <c r="D7">
        <v>46063</v>
      </c>
      <c r="E7" t="s">
        <v>83</v>
      </c>
      <c r="F7" t="s">
        <v>315</v>
      </c>
      <c r="G7">
        <v>24467</v>
      </c>
      <c r="H7" t="s">
        <v>3784</v>
      </c>
      <c r="I7" t="s">
        <v>576</v>
      </c>
      <c r="M7" t="s">
        <v>320</v>
      </c>
      <c r="AB7" t="s">
        <v>3785</v>
      </c>
    </row>
    <row r="8" spans="1:28">
      <c r="A8">
        <v>1</v>
      </c>
      <c r="B8" t="s">
        <v>5</v>
      </c>
      <c r="C8">
        <v>45672</v>
      </c>
      <c r="D8">
        <v>45685</v>
      </c>
      <c r="E8" t="s">
        <v>87</v>
      </c>
      <c r="F8" t="s">
        <v>1692</v>
      </c>
      <c r="G8">
        <v>46566</v>
      </c>
      <c r="H8" t="s">
        <v>3621</v>
      </c>
      <c r="I8" t="s">
        <v>306</v>
      </c>
      <c r="J8">
        <v>3</v>
      </c>
      <c r="K8">
        <v>3</v>
      </c>
      <c r="M8" t="s">
        <v>12</v>
      </c>
      <c r="N8" t="s">
        <v>313</v>
      </c>
      <c r="O8" t="s">
        <v>316</v>
      </c>
      <c r="P8" t="s">
        <v>317</v>
      </c>
      <c r="Q8" t="s">
        <v>3622</v>
      </c>
      <c r="R8" t="s">
        <v>3623</v>
      </c>
      <c r="S8">
        <v>45679</v>
      </c>
      <c r="T8">
        <v>45679</v>
      </c>
      <c r="U8" t="s">
        <v>12</v>
      </c>
      <c r="V8" t="s">
        <v>434</v>
      </c>
      <c r="W8" t="s">
        <v>12</v>
      </c>
      <c r="X8" t="s">
        <v>320</v>
      </c>
      <c r="Y8" t="s">
        <v>3226</v>
      </c>
      <c r="Z8" t="s">
        <v>3624</v>
      </c>
      <c r="AA8" t="s">
        <v>115</v>
      </c>
      <c r="AB8" t="s">
        <v>12</v>
      </c>
    </row>
    <row r="9" spans="1:28">
      <c r="A9">
        <v>2</v>
      </c>
      <c r="B9" t="s">
        <v>5</v>
      </c>
      <c r="C9">
        <v>45672</v>
      </c>
      <c r="D9">
        <v>45685</v>
      </c>
      <c r="E9" t="s">
        <v>87</v>
      </c>
      <c r="F9" t="s">
        <v>317</v>
      </c>
      <c r="G9">
        <v>46588</v>
      </c>
      <c r="H9" t="s">
        <v>3632</v>
      </c>
      <c r="I9" t="s">
        <v>306</v>
      </c>
      <c r="J9">
        <v>8</v>
      </c>
      <c r="K9">
        <v>8</v>
      </c>
      <c r="M9" t="s">
        <v>12</v>
      </c>
      <c r="N9" t="s">
        <v>315</v>
      </c>
      <c r="O9" t="s">
        <v>316</v>
      </c>
      <c r="P9" t="s">
        <v>315</v>
      </c>
      <c r="Q9" t="s">
        <v>3226</v>
      </c>
      <c r="R9" t="s">
        <v>3633</v>
      </c>
      <c r="S9">
        <v>45680</v>
      </c>
      <c r="T9">
        <v>45680</v>
      </c>
      <c r="W9" t="s">
        <v>12</v>
      </c>
      <c r="X9" t="s">
        <v>4408</v>
      </c>
      <c r="Y9" t="s">
        <v>3226</v>
      </c>
      <c r="Z9" t="s">
        <v>3624</v>
      </c>
      <c r="AA9" t="s">
        <v>2516</v>
      </c>
      <c r="AB9" t="s">
        <v>3634</v>
      </c>
    </row>
    <row r="10" spans="1:28">
      <c r="A10">
        <v>3</v>
      </c>
      <c r="B10" t="s">
        <v>5</v>
      </c>
      <c r="C10">
        <v>45672</v>
      </c>
      <c r="D10">
        <v>45685</v>
      </c>
      <c r="E10" t="s">
        <v>87</v>
      </c>
      <c r="F10" t="s">
        <v>313</v>
      </c>
      <c r="G10">
        <v>44288</v>
      </c>
      <c r="H10" t="s">
        <v>3643</v>
      </c>
      <c r="I10" t="s">
        <v>306</v>
      </c>
      <c r="J10">
        <v>5</v>
      </c>
      <c r="K10">
        <v>5</v>
      </c>
      <c r="M10" t="s">
        <v>12</v>
      </c>
      <c r="N10" t="s">
        <v>315</v>
      </c>
      <c r="O10" t="s">
        <v>316</v>
      </c>
      <c r="P10" t="s">
        <v>317</v>
      </c>
      <c r="Q10" t="s">
        <v>3226</v>
      </c>
      <c r="R10" t="s">
        <v>3644</v>
      </c>
      <c r="S10">
        <v>45679</v>
      </c>
      <c r="T10">
        <v>45679</v>
      </c>
      <c r="U10" t="s">
        <v>12</v>
      </c>
      <c r="V10" t="s">
        <v>3226</v>
      </c>
      <c r="W10" t="s">
        <v>12</v>
      </c>
      <c r="X10" t="s">
        <v>320</v>
      </c>
      <c r="Y10" t="s">
        <v>3226</v>
      </c>
      <c r="Z10" t="s">
        <v>3624</v>
      </c>
      <c r="AA10" s="100" t="s">
        <v>3645</v>
      </c>
      <c r="AB10" t="s">
        <v>12</v>
      </c>
    </row>
    <row r="11" spans="1:28">
      <c r="A11">
        <v>4</v>
      </c>
      <c r="B11" t="s">
        <v>5</v>
      </c>
      <c r="C11">
        <v>45672</v>
      </c>
      <c r="D11">
        <v>45685</v>
      </c>
      <c r="E11" t="s">
        <v>87</v>
      </c>
      <c r="F11" t="s">
        <v>2432</v>
      </c>
      <c r="G11" t="s">
        <v>3653</v>
      </c>
      <c r="H11" t="s">
        <v>3604</v>
      </c>
      <c r="I11" t="s">
        <v>1117</v>
      </c>
      <c r="AB11" s="100" t="s">
        <v>3654</v>
      </c>
    </row>
    <row r="12" spans="1:28">
      <c r="A12">
        <v>5</v>
      </c>
      <c r="B12" t="s">
        <v>5</v>
      </c>
      <c r="C12">
        <v>45672</v>
      </c>
      <c r="D12">
        <v>45685</v>
      </c>
      <c r="E12" t="s">
        <v>87</v>
      </c>
      <c r="F12" t="s">
        <v>3660</v>
      </c>
      <c r="G12">
        <v>46939</v>
      </c>
      <c r="H12" s="100" t="s">
        <v>3661</v>
      </c>
      <c r="I12" t="s">
        <v>399</v>
      </c>
      <c r="J12">
        <v>3</v>
      </c>
      <c r="M12" t="s">
        <v>1205</v>
      </c>
      <c r="N12" t="s">
        <v>115</v>
      </c>
      <c r="AB12" t="s">
        <v>3662</v>
      </c>
    </row>
    <row r="13" spans="1:28">
      <c r="A13">
        <v>6</v>
      </c>
      <c r="B13" t="s">
        <v>5</v>
      </c>
      <c r="C13">
        <v>45672</v>
      </c>
      <c r="D13">
        <v>45685</v>
      </c>
      <c r="E13" t="s">
        <v>3667</v>
      </c>
      <c r="F13" t="s">
        <v>315</v>
      </c>
      <c r="G13">
        <v>46977</v>
      </c>
      <c r="H13" t="s">
        <v>3668</v>
      </c>
      <c r="I13" t="s">
        <v>306</v>
      </c>
      <c r="J13">
        <v>3</v>
      </c>
      <c r="K13">
        <v>3</v>
      </c>
      <c r="M13" t="s">
        <v>12</v>
      </c>
      <c r="N13" t="s">
        <v>313</v>
      </c>
      <c r="O13" t="s">
        <v>316</v>
      </c>
      <c r="P13" t="s">
        <v>317</v>
      </c>
      <c r="Q13" t="s">
        <v>115</v>
      </c>
      <c r="R13" t="s">
        <v>3669</v>
      </c>
      <c r="S13">
        <v>45679</v>
      </c>
      <c r="T13">
        <v>45679</v>
      </c>
      <c r="U13" t="s">
        <v>12</v>
      </c>
      <c r="V13" t="s">
        <v>434</v>
      </c>
      <c r="W13" t="s">
        <v>12</v>
      </c>
      <c r="X13" t="s">
        <v>320</v>
      </c>
      <c r="Y13" t="s">
        <v>3226</v>
      </c>
      <c r="AA13" t="s">
        <v>115</v>
      </c>
      <c r="AB13" t="s">
        <v>3670</v>
      </c>
    </row>
    <row r="14" spans="1:28">
      <c r="A14">
        <v>7</v>
      </c>
      <c r="B14" t="s">
        <v>5</v>
      </c>
      <c r="C14">
        <v>46050</v>
      </c>
      <c r="D14">
        <v>46063</v>
      </c>
      <c r="E14" t="s">
        <v>87</v>
      </c>
      <c r="F14" t="s">
        <v>2038</v>
      </c>
      <c r="G14">
        <v>85807</v>
      </c>
      <c r="H14" t="s">
        <v>3675</v>
      </c>
      <c r="I14" t="s">
        <v>1205</v>
      </c>
      <c r="J14" t="s">
        <v>3676</v>
      </c>
      <c r="K14">
        <v>4</v>
      </c>
      <c r="R14" s="100" t="s">
        <v>3677</v>
      </c>
      <c r="S14">
        <v>45678</v>
      </c>
      <c r="T14">
        <v>45678</v>
      </c>
      <c r="U14" t="s">
        <v>12</v>
      </c>
      <c r="W14" t="s">
        <v>12</v>
      </c>
      <c r="AA14" t="s">
        <v>3678</v>
      </c>
      <c r="AB14" t="s">
        <v>3679</v>
      </c>
    </row>
    <row r="15" spans="1:28">
      <c r="A15">
        <v>1</v>
      </c>
      <c r="B15" t="s">
        <v>5</v>
      </c>
      <c r="C15">
        <v>45685</v>
      </c>
      <c r="D15">
        <v>45699</v>
      </c>
      <c r="E15" t="s">
        <v>92</v>
      </c>
      <c r="F15" t="s">
        <v>317</v>
      </c>
      <c r="G15">
        <v>47052</v>
      </c>
      <c r="H15" s="100" t="s">
        <v>3521</v>
      </c>
      <c r="I15" t="s">
        <v>306</v>
      </c>
      <c r="J15">
        <v>1</v>
      </c>
      <c r="K15">
        <v>1</v>
      </c>
      <c r="L15">
        <v>4.25</v>
      </c>
      <c r="M15" t="s">
        <v>12</v>
      </c>
      <c r="N15" t="s">
        <v>315</v>
      </c>
      <c r="O15" t="s">
        <v>316</v>
      </c>
      <c r="P15" t="s">
        <v>315</v>
      </c>
      <c r="Q15" t="s">
        <v>3226</v>
      </c>
      <c r="R15" t="s">
        <v>3522</v>
      </c>
      <c r="S15">
        <v>45685</v>
      </c>
      <c r="T15">
        <v>45685</v>
      </c>
      <c r="U15" t="s">
        <v>320</v>
      </c>
      <c r="V15" t="s">
        <v>115</v>
      </c>
      <c r="W15" t="s">
        <v>12</v>
      </c>
      <c r="X15" t="s">
        <v>320</v>
      </c>
      <c r="Y15" t="s">
        <v>3226</v>
      </c>
      <c r="Z15" t="s">
        <v>2516</v>
      </c>
      <c r="AA15" t="s">
        <v>2516</v>
      </c>
      <c r="AB15" t="s">
        <v>12</v>
      </c>
    </row>
    <row r="16" spans="1:28">
      <c r="A16">
        <v>2</v>
      </c>
      <c r="B16" t="s">
        <v>5</v>
      </c>
      <c r="C16">
        <v>45685</v>
      </c>
      <c r="D16">
        <v>45699</v>
      </c>
      <c r="E16" t="s">
        <v>92</v>
      </c>
      <c r="F16" t="s">
        <v>317</v>
      </c>
      <c r="G16">
        <v>24557</v>
      </c>
      <c r="H16" t="s">
        <v>3524</v>
      </c>
      <c r="I16" t="s">
        <v>306</v>
      </c>
      <c r="J16">
        <v>1</v>
      </c>
      <c r="K16">
        <v>1</v>
      </c>
      <c r="L16">
        <v>9.5</v>
      </c>
      <c r="M16" t="s">
        <v>12</v>
      </c>
      <c r="N16" t="s">
        <v>315</v>
      </c>
      <c r="O16" t="s">
        <v>316</v>
      </c>
      <c r="P16" t="s">
        <v>315</v>
      </c>
      <c r="Q16" t="s">
        <v>3226</v>
      </c>
      <c r="U16" t="s">
        <v>320</v>
      </c>
      <c r="V16" t="s">
        <v>115</v>
      </c>
      <c r="Z16" t="s">
        <v>2516</v>
      </c>
      <c r="AA16" t="s">
        <v>2516</v>
      </c>
      <c r="AB16" t="s">
        <v>3525</v>
      </c>
    </row>
    <row r="17" spans="1:28">
      <c r="A17">
        <v>3</v>
      </c>
      <c r="B17" t="s">
        <v>5</v>
      </c>
      <c r="C17">
        <v>45685</v>
      </c>
      <c r="D17">
        <v>45699</v>
      </c>
      <c r="E17" t="s">
        <v>92</v>
      </c>
      <c r="F17" t="s">
        <v>3534</v>
      </c>
      <c r="G17">
        <v>47040</v>
      </c>
      <c r="H17" t="s">
        <v>3535</v>
      </c>
      <c r="I17" t="s">
        <v>306</v>
      </c>
      <c r="J17">
        <v>8</v>
      </c>
      <c r="K17">
        <v>8</v>
      </c>
      <c r="L17">
        <v>54</v>
      </c>
      <c r="M17" t="s">
        <v>320</v>
      </c>
      <c r="N17" t="s">
        <v>320</v>
      </c>
      <c r="O17" t="s">
        <v>320</v>
      </c>
      <c r="P17" t="s">
        <v>320</v>
      </c>
      <c r="Q17" t="s">
        <v>320</v>
      </c>
      <c r="R17" t="s">
        <v>320</v>
      </c>
      <c r="S17" t="s">
        <v>320</v>
      </c>
      <c r="T17" t="s">
        <v>320</v>
      </c>
      <c r="U17" t="s">
        <v>320</v>
      </c>
      <c r="V17" t="s">
        <v>320</v>
      </c>
      <c r="W17" t="s">
        <v>320</v>
      </c>
      <c r="X17" t="s">
        <v>320</v>
      </c>
      <c r="Y17" t="s">
        <v>320</v>
      </c>
      <c r="Z17" t="s">
        <v>320</v>
      </c>
      <c r="AA17" t="s">
        <v>320</v>
      </c>
      <c r="AB17" s="100" t="s">
        <v>3536</v>
      </c>
    </row>
    <row r="18" spans="1:28">
      <c r="A18">
        <v>4</v>
      </c>
      <c r="B18" t="s">
        <v>5</v>
      </c>
      <c r="C18">
        <v>45685</v>
      </c>
      <c r="D18">
        <v>45699</v>
      </c>
      <c r="E18" t="s">
        <v>92</v>
      </c>
      <c r="F18" t="s">
        <v>315</v>
      </c>
      <c r="G18">
        <v>23903</v>
      </c>
      <c r="H18" t="s">
        <v>3541</v>
      </c>
      <c r="I18" t="s">
        <v>376</v>
      </c>
      <c r="J18">
        <v>2</v>
      </c>
      <c r="K18">
        <v>2</v>
      </c>
      <c r="L18">
        <v>10</v>
      </c>
      <c r="M18" t="s">
        <v>12</v>
      </c>
      <c r="N18" t="s">
        <v>313</v>
      </c>
      <c r="O18" t="s">
        <v>316</v>
      </c>
      <c r="P18" t="s">
        <v>317</v>
      </c>
      <c r="Q18" t="s">
        <v>316</v>
      </c>
      <c r="R18" t="s">
        <v>3542</v>
      </c>
      <c r="S18">
        <v>45688</v>
      </c>
      <c r="U18" t="s">
        <v>12</v>
      </c>
      <c r="V18" t="s">
        <v>3226</v>
      </c>
      <c r="W18" t="s">
        <v>12</v>
      </c>
      <c r="X18" t="s">
        <v>320</v>
      </c>
      <c r="Y18" t="s">
        <v>115</v>
      </c>
      <c r="Z18" t="s">
        <v>2516</v>
      </c>
      <c r="AA18" t="s">
        <v>2516</v>
      </c>
      <c r="AB18" t="s">
        <v>460</v>
      </c>
    </row>
    <row r="19" spans="1:28">
      <c r="A19">
        <v>5</v>
      </c>
      <c r="B19" t="s">
        <v>5</v>
      </c>
      <c r="C19">
        <v>45685</v>
      </c>
      <c r="D19">
        <v>45699</v>
      </c>
      <c r="E19" t="s">
        <v>92</v>
      </c>
      <c r="F19" t="s">
        <v>315</v>
      </c>
      <c r="G19">
        <v>37082</v>
      </c>
      <c r="H19" t="s">
        <v>3406</v>
      </c>
      <c r="I19" t="s">
        <v>399</v>
      </c>
      <c r="J19">
        <v>3</v>
      </c>
      <c r="AB19" t="s">
        <v>3546</v>
      </c>
    </row>
    <row r="20" spans="1:28">
      <c r="A20">
        <v>6</v>
      </c>
      <c r="B20" t="s">
        <v>5</v>
      </c>
      <c r="C20">
        <v>45685</v>
      </c>
      <c r="D20">
        <v>45699</v>
      </c>
      <c r="E20" t="s">
        <v>92</v>
      </c>
      <c r="F20" t="s">
        <v>317</v>
      </c>
      <c r="G20">
        <v>24566</v>
      </c>
      <c r="H20" s="100" t="s">
        <v>3554</v>
      </c>
      <c r="I20" t="s">
        <v>369</v>
      </c>
      <c r="K20">
        <v>5</v>
      </c>
      <c r="L20">
        <v>19.75</v>
      </c>
      <c r="M20" t="s">
        <v>12</v>
      </c>
      <c r="N20" t="s">
        <v>315</v>
      </c>
      <c r="O20" t="s">
        <v>316</v>
      </c>
      <c r="P20" t="s">
        <v>315</v>
      </c>
      <c r="Q20" t="s">
        <v>3226</v>
      </c>
      <c r="R20" t="s">
        <v>3457</v>
      </c>
      <c r="S20">
        <v>45698</v>
      </c>
      <c r="U20" t="s">
        <v>12</v>
      </c>
      <c r="V20" t="s">
        <v>3149</v>
      </c>
      <c r="Z20" t="s">
        <v>2516</v>
      </c>
      <c r="AB20" s="100" t="s">
        <v>3555</v>
      </c>
    </row>
    <row r="21" spans="1:28">
      <c r="A21">
        <v>7</v>
      </c>
      <c r="B21" t="s">
        <v>5</v>
      </c>
      <c r="C21">
        <v>45685</v>
      </c>
      <c r="D21">
        <v>45699</v>
      </c>
      <c r="E21" t="s">
        <v>92</v>
      </c>
      <c r="F21" t="s">
        <v>313</v>
      </c>
      <c r="G21">
        <v>24576</v>
      </c>
      <c r="H21" t="s">
        <v>3564</v>
      </c>
      <c r="I21" t="s">
        <v>509</v>
      </c>
      <c r="L21">
        <v>4</v>
      </c>
      <c r="M21" t="s">
        <v>320</v>
      </c>
      <c r="N21" t="s">
        <v>320</v>
      </c>
      <c r="O21" t="s">
        <v>320</v>
      </c>
      <c r="P21" t="s">
        <v>320</v>
      </c>
      <c r="Q21" t="s">
        <v>320</v>
      </c>
      <c r="R21" t="s">
        <v>320</v>
      </c>
      <c r="S21" t="s">
        <v>320</v>
      </c>
      <c r="T21" t="s">
        <v>320</v>
      </c>
      <c r="U21" t="s">
        <v>320</v>
      </c>
      <c r="V21" t="s">
        <v>320</v>
      </c>
      <c r="W21" t="s">
        <v>320</v>
      </c>
      <c r="X21" t="s">
        <v>320</v>
      </c>
      <c r="Y21" t="s">
        <v>320</v>
      </c>
      <c r="Z21" t="s">
        <v>320</v>
      </c>
      <c r="AA21" t="s">
        <v>320</v>
      </c>
      <c r="AB21" s="100" t="s">
        <v>3565</v>
      </c>
    </row>
    <row r="22" spans="1:28">
      <c r="A22">
        <v>8</v>
      </c>
      <c r="B22" t="s">
        <v>5</v>
      </c>
      <c r="C22">
        <v>45685</v>
      </c>
      <c r="D22">
        <v>45699</v>
      </c>
      <c r="E22" t="s">
        <v>92</v>
      </c>
      <c r="F22" t="s">
        <v>315</v>
      </c>
      <c r="G22">
        <v>24574</v>
      </c>
      <c r="H22" t="s">
        <v>3568</v>
      </c>
      <c r="I22" t="s">
        <v>1117</v>
      </c>
      <c r="M22" t="s">
        <v>12</v>
      </c>
      <c r="N22" t="s">
        <v>313</v>
      </c>
      <c r="O22" t="s">
        <v>316</v>
      </c>
      <c r="P22" t="s">
        <v>317</v>
      </c>
      <c r="Q22" t="s">
        <v>1977</v>
      </c>
      <c r="R22" t="s">
        <v>3569</v>
      </c>
      <c r="S22">
        <v>45694</v>
      </c>
      <c r="Z22" t="s">
        <v>3570</v>
      </c>
      <c r="AB22" s="100" t="s">
        <v>3571</v>
      </c>
    </row>
    <row r="23" spans="1:28">
      <c r="A23">
        <v>9</v>
      </c>
      <c r="B23" t="s">
        <v>5</v>
      </c>
      <c r="C23">
        <v>45685</v>
      </c>
      <c r="D23">
        <v>45699</v>
      </c>
      <c r="E23" t="s">
        <v>3577</v>
      </c>
      <c r="F23" t="s">
        <v>313</v>
      </c>
      <c r="G23">
        <v>46564</v>
      </c>
      <c r="H23" t="s">
        <v>3578</v>
      </c>
      <c r="I23" t="s">
        <v>306</v>
      </c>
      <c r="J23">
        <v>3</v>
      </c>
      <c r="K23">
        <v>3</v>
      </c>
      <c r="L23">
        <v>18.5</v>
      </c>
      <c r="M23" t="s">
        <v>12</v>
      </c>
      <c r="N23" t="s">
        <v>315</v>
      </c>
      <c r="O23" t="s">
        <v>316</v>
      </c>
      <c r="P23" t="s">
        <v>317</v>
      </c>
      <c r="Q23" t="s">
        <v>316</v>
      </c>
      <c r="R23" t="s">
        <v>3579</v>
      </c>
      <c r="S23">
        <v>45699</v>
      </c>
      <c r="T23">
        <v>45699</v>
      </c>
      <c r="U23" t="s">
        <v>12</v>
      </c>
      <c r="V23" t="s">
        <v>3149</v>
      </c>
      <c r="W23" t="s">
        <v>12</v>
      </c>
      <c r="X23" t="s">
        <v>320</v>
      </c>
      <c r="Y23" t="s">
        <v>3226</v>
      </c>
      <c r="Z23" t="s">
        <v>2516</v>
      </c>
      <c r="AA23" s="100" t="s">
        <v>3580</v>
      </c>
      <c r="AB23" t="s">
        <v>3581</v>
      </c>
    </row>
    <row r="24" spans="1:28">
      <c r="A24">
        <v>10</v>
      </c>
      <c r="B24" t="s">
        <v>5</v>
      </c>
      <c r="C24">
        <v>45685</v>
      </c>
      <c r="D24">
        <v>45699</v>
      </c>
      <c r="E24" t="s">
        <v>3577</v>
      </c>
      <c r="F24" t="s">
        <v>313</v>
      </c>
      <c r="G24">
        <v>46072</v>
      </c>
      <c r="H24" t="s">
        <v>3430</v>
      </c>
      <c r="I24" t="s">
        <v>338</v>
      </c>
      <c r="J24">
        <v>3</v>
      </c>
      <c r="M24" t="s">
        <v>12</v>
      </c>
      <c r="Z24" t="s">
        <v>2516</v>
      </c>
      <c r="AA24" t="s">
        <v>2516</v>
      </c>
      <c r="AB24" t="s">
        <v>3562</v>
      </c>
    </row>
    <row r="25" spans="1:28">
      <c r="A25">
        <v>11</v>
      </c>
      <c r="B25" t="s">
        <v>5</v>
      </c>
      <c r="C25">
        <v>45685</v>
      </c>
      <c r="D25">
        <v>45699</v>
      </c>
      <c r="E25" t="s">
        <v>92</v>
      </c>
      <c r="F25" t="s">
        <v>317</v>
      </c>
      <c r="G25" t="s">
        <v>3587</v>
      </c>
      <c r="H25" t="s">
        <v>3419</v>
      </c>
      <c r="I25" t="s">
        <v>306</v>
      </c>
      <c r="L25">
        <v>2.25</v>
      </c>
      <c r="AB25" t="s">
        <v>3588</v>
      </c>
    </row>
    <row r="26" spans="1:28">
      <c r="A26">
        <v>12</v>
      </c>
      <c r="B26" t="s">
        <v>5</v>
      </c>
      <c r="C26">
        <v>45685</v>
      </c>
      <c r="D26">
        <v>45699</v>
      </c>
      <c r="E26" t="s">
        <v>92</v>
      </c>
      <c r="F26" t="s">
        <v>1216</v>
      </c>
      <c r="G26" t="s">
        <v>3590</v>
      </c>
      <c r="H26" t="s">
        <v>3318</v>
      </c>
      <c r="I26" t="s">
        <v>306</v>
      </c>
      <c r="J26">
        <v>2</v>
      </c>
      <c r="K26">
        <v>2</v>
      </c>
      <c r="L26">
        <v>9</v>
      </c>
      <c r="AB26" s="100" t="s">
        <v>4409</v>
      </c>
    </row>
    <row r="27" spans="1:28">
      <c r="A27">
        <v>1</v>
      </c>
      <c r="B27" t="s">
        <v>5</v>
      </c>
      <c r="C27">
        <v>45700</v>
      </c>
      <c r="D27">
        <v>45713</v>
      </c>
      <c r="E27" t="s">
        <v>96</v>
      </c>
      <c r="F27" t="s">
        <v>315</v>
      </c>
      <c r="G27">
        <v>47082</v>
      </c>
      <c r="H27" t="s">
        <v>3406</v>
      </c>
      <c r="I27" t="s">
        <v>306</v>
      </c>
      <c r="J27">
        <v>1</v>
      </c>
      <c r="K27">
        <v>3</v>
      </c>
      <c r="L27">
        <v>12</v>
      </c>
      <c r="M27" t="s">
        <v>12</v>
      </c>
      <c r="N27" t="s">
        <v>313</v>
      </c>
      <c r="O27" t="s">
        <v>316</v>
      </c>
      <c r="P27" t="s">
        <v>317</v>
      </c>
      <c r="Q27" t="s">
        <v>115</v>
      </c>
      <c r="R27" t="s">
        <v>3407</v>
      </c>
      <c r="S27">
        <v>45709</v>
      </c>
      <c r="T27">
        <v>45709</v>
      </c>
      <c r="U27" t="s">
        <v>12</v>
      </c>
      <c r="V27" t="s">
        <v>3226</v>
      </c>
      <c r="W27" t="s">
        <v>12</v>
      </c>
      <c r="X27" t="s">
        <v>320</v>
      </c>
      <c r="Y27" t="s">
        <v>115</v>
      </c>
      <c r="Z27" t="s">
        <v>3408</v>
      </c>
      <c r="AA27" s="100" t="s">
        <v>3409</v>
      </c>
      <c r="AB27" t="s">
        <v>3410</v>
      </c>
    </row>
    <row r="28" spans="1:28">
      <c r="A28">
        <v>2</v>
      </c>
      <c r="B28" t="s">
        <v>5</v>
      </c>
      <c r="C28">
        <v>45700</v>
      </c>
      <c r="D28">
        <v>45713</v>
      </c>
      <c r="E28" t="s">
        <v>96</v>
      </c>
      <c r="F28" t="s">
        <v>317</v>
      </c>
      <c r="G28">
        <v>24666</v>
      </c>
      <c r="H28" t="s">
        <v>3419</v>
      </c>
      <c r="I28" t="s">
        <v>376</v>
      </c>
      <c r="J28">
        <v>3</v>
      </c>
      <c r="K28">
        <v>4</v>
      </c>
      <c r="L28">
        <v>17</v>
      </c>
      <c r="M28" t="s">
        <v>12</v>
      </c>
      <c r="N28" t="s">
        <v>315</v>
      </c>
      <c r="O28" t="s">
        <v>316</v>
      </c>
      <c r="P28" t="s">
        <v>315</v>
      </c>
      <c r="Q28" t="s">
        <v>3226</v>
      </c>
      <c r="R28" t="s">
        <v>320</v>
      </c>
      <c r="S28" t="s">
        <v>320</v>
      </c>
      <c r="T28" t="s">
        <v>320</v>
      </c>
      <c r="U28" t="s">
        <v>320</v>
      </c>
      <c r="V28" t="s">
        <v>320</v>
      </c>
      <c r="W28" t="s">
        <v>320</v>
      </c>
      <c r="X28" t="s">
        <v>320</v>
      </c>
      <c r="Y28" t="s">
        <v>115</v>
      </c>
      <c r="Z28" t="s">
        <v>3420</v>
      </c>
      <c r="AA28" t="s">
        <v>3420</v>
      </c>
      <c r="AB28" s="100" t="s">
        <v>3421</v>
      </c>
    </row>
    <row r="29" spans="1:28">
      <c r="A29">
        <v>3</v>
      </c>
      <c r="B29" t="s">
        <v>5</v>
      </c>
      <c r="C29">
        <v>45700</v>
      </c>
      <c r="D29">
        <v>45713</v>
      </c>
      <c r="E29" t="s">
        <v>96</v>
      </c>
      <c r="F29" t="s">
        <v>313</v>
      </c>
      <c r="G29">
        <v>46072</v>
      </c>
      <c r="H29" t="s">
        <v>3430</v>
      </c>
      <c r="I29" t="s">
        <v>306</v>
      </c>
      <c r="J29">
        <v>2</v>
      </c>
      <c r="K29">
        <v>3</v>
      </c>
      <c r="L29">
        <v>12</v>
      </c>
      <c r="M29" t="s">
        <v>12</v>
      </c>
      <c r="N29" t="s">
        <v>315</v>
      </c>
      <c r="O29" t="s">
        <v>316</v>
      </c>
      <c r="P29" t="s">
        <v>315</v>
      </c>
      <c r="Q29" t="s">
        <v>3226</v>
      </c>
      <c r="R29" t="s">
        <v>3431</v>
      </c>
      <c r="S29">
        <v>45700</v>
      </c>
      <c r="T29">
        <v>45700</v>
      </c>
      <c r="U29" t="s">
        <v>12</v>
      </c>
      <c r="V29" t="s">
        <v>3226</v>
      </c>
      <c r="W29" t="s">
        <v>12</v>
      </c>
      <c r="X29" t="s">
        <v>320</v>
      </c>
      <c r="Y29" t="s">
        <v>115</v>
      </c>
      <c r="Z29" t="s">
        <v>2516</v>
      </c>
      <c r="AA29" t="s">
        <v>2516</v>
      </c>
      <c r="AB29" s="100" t="s">
        <v>3432</v>
      </c>
    </row>
    <row r="30" spans="1:28">
      <c r="A30">
        <v>4</v>
      </c>
      <c r="B30" t="s">
        <v>5</v>
      </c>
      <c r="C30">
        <v>45700</v>
      </c>
      <c r="D30">
        <v>45713</v>
      </c>
      <c r="E30" t="s">
        <v>96</v>
      </c>
      <c r="F30" t="s">
        <v>2038</v>
      </c>
      <c r="G30" t="s">
        <v>3317</v>
      </c>
      <c r="H30" t="s">
        <v>3318</v>
      </c>
      <c r="I30" t="s">
        <v>306</v>
      </c>
      <c r="J30">
        <v>5</v>
      </c>
      <c r="K30">
        <v>5</v>
      </c>
      <c r="L30">
        <v>20</v>
      </c>
      <c r="M30" t="s">
        <v>320</v>
      </c>
      <c r="N30" t="s">
        <v>115</v>
      </c>
      <c r="O30" t="s">
        <v>316</v>
      </c>
      <c r="P30" t="s">
        <v>115</v>
      </c>
      <c r="Q30" t="s">
        <v>3226</v>
      </c>
      <c r="R30" t="s">
        <v>3319</v>
      </c>
      <c r="S30">
        <v>45712</v>
      </c>
      <c r="U30" t="s">
        <v>1205</v>
      </c>
      <c r="V30" s="100" t="s">
        <v>3320</v>
      </c>
      <c r="W30" t="s">
        <v>1205</v>
      </c>
      <c r="Y30" t="s">
        <v>115</v>
      </c>
      <c r="Z30" t="s">
        <v>320</v>
      </c>
      <c r="AA30" t="s">
        <v>320</v>
      </c>
      <c r="AB30" t="s">
        <v>3438</v>
      </c>
    </row>
    <row r="31" spans="1:28">
      <c r="A31">
        <v>5</v>
      </c>
      <c r="B31" t="s">
        <v>5</v>
      </c>
      <c r="C31">
        <v>45700</v>
      </c>
      <c r="D31">
        <v>45713</v>
      </c>
      <c r="E31" t="s">
        <v>3447</v>
      </c>
      <c r="F31" t="s">
        <v>313</v>
      </c>
      <c r="G31">
        <v>47194</v>
      </c>
      <c r="H31" t="s">
        <v>3448</v>
      </c>
      <c r="I31" t="s">
        <v>306</v>
      </c>
      <c r="J31">
        <v>3</v>
      </c>
      <c r="K31">
        <v>4</v>
      </c>
      <c r="L31">
        <v>16</v>
      </c>
      <c r="M31" t="s">
        <v>12</v>
      </c>
      <c r="N31" t="s">
        <v>315</v>
      </c>
      <c r="O31" t="s">
        <v>316</v>
      </c>
      <c r="P31" t="s">
        <v>315</v>
      </c>
      <c r="Q31" t="s">
        <v>3226</v>
      </c>
      <c r="R31" t="s">
        <v>3449</v>
      </c>
      <c r="S31">
        <v>45706</v>
      </c>
      <c r="T31">
        <v>45706</v>
      </c>
      <c r="U31" t="s">
        <v>12</v>
      </c>
      <c r="V31" t="s">
        <v>3226</v>
      </c>
      <c r="W31" t="s">
        <v>12</v>
      </c>
      <c r="X31" t="s">
        <v>320</v>
      </c>
      <c r="Y31" t="s">
        <v>115</v>
      </c>
      <c r="Z31" t="s">
        <v>3450</v>
      </c>
      <c r="AA31" t="s">
        <v>2516</v>
      </c>
      <c r="AB31" s="100" t="s">
        <v>3451</v>
      </c>
    </row>
    <row r="32" spans="1:28">
      <c r="A32">
        <v>6</v>
      </c>
      <c r="B32" t="s">
        <v>5</v>
      </c>
      <c r="C32">
        <v>45700</v>
      </c>
      <c r="D32">
        <v>45713</v>
      </c>
      <c r="E32" t="s">
        <v>96</v>
      </c>
      <c r="F32" t="s">
        <v>317</v>
      </c>
      <c r="G32">
        <v>24566</v>
      </c>
      <c r="H32" t="s">
        <v>3456</v>
      </c>
      <c r="I32" t="s">
        <v>376</v>
      </c>
      <c r="J32">
        <v>2</v>
      </c>
      <c r="K32">
        <v>1</v>
      </c>
      <c r="L32">
        <v>4.5</v>
      </c>
      <c r="M32" t="s">
        <v>12</v>
      </c>
      <c r="N32" t="s">
        <v>315</v>
      </c>
      <c r="O32" t="s">
        <v>316</v>
      </c>
      <c r="P32" t="s">
        <v>315</v>
      </c>
      <c r="Q32" t="s">
        <v>3226</v>
      </c>
      <c r="R32" t="s">
        <v>3457</v>
      </c>
      <c r="S32">
        <v>45698</v>
      </c>
      <c r="U32" t="s">
        <v>12</v>
      </c>
      <c r="V32" t="s">
        <v>3149</v>
      </c>
      <c r="Z32" t="s">
        <v>2516</v>
      </c>
      <c r="AA32" t="s">
        <v>3229</v>
      </c>
      <c r="AB32" t="s">
        <v>3458</v>
      </c>
    </row>
    <row r="33" spans="1:28">
      <c r="A33">
        <v>7</v>
      </c>
      <c r="B33" t="s">
        <v>5</v>
      </c>
      <c r="C33">
        <v>45700</v>
      </c>
      <c r="D33">
        <v>45713</v>
      </c>
      <c r="E33" t="s">
        <v>96</v>
      </c>
      <c r="F33" t="s">
        <v>315</v>
      </c>
      <c r="G33" t="s">
        <v>3461</v>
      </c>
      <c r="H33" t="s">
        <v>3462</v>
      </c>
      <c r="I33" t="s">
        <v>376</v>
      </c>
      <c r="J33">
        <v>4</v>
      </c>
      <c r="K33">
        <v>4</v>
      </c>
      <c r="L33">
        <v>15</v>
      </c>
      <c r="M33" t="s">
        <v>12</v>
      </c>
      <c r="N33" t="s">
        <v>115</v>
      </c>
      <c r="O33" t="s">
        <v>316</v>
      </c>
      <c r="P33" t="s">
        <v>317</v>
      </c>
      <c r="Q33" t="s">
        <v>3226</v>
      </c>
      <c r="R33" t="s">
        <v>3463</v>
      </c>
      <c r="S33">
        <v>45702</v>
      </c>
      <c r="T33">
        <v>45702</v>
      </c>
      <c r="U33" t="s">
        <v>12</v>
      </c>
      <c r="V33" t="s">
        <v>3149</v>
      </c>
      <c r="W33" t="s">
        <v>12</v>
      </c>
      <c r="X33" t="s">
        <v>320</v>
      </c>
      <c r="Y33" t="s">
        <v>115</v>
      </c>
      <c r="Z33" t="s">
        <v>2516</v>
      </c>
      <c r="AA33" t="s">
        <v>3229</v>
      </c>
      <c r="AB33" t="s">
        <v>576</v>
      </c>
    </row>
    <row r="34" spans="1:28">
      <c r="A34">
        <v>8</v>
      </c>
      <c r="B34" t="s">
        <v>5</v>
      </c>
      <c r="C34">
        <v>45700</v>
      </c>
      <c r="D34">
        <v>45713</v>
      </c>
      <c r="E34" t="s">
        <v>3472</v>
      </c>
      <c r="F34" t="s">
        <v>313</v>
      </c>
      <c r="G34" t="s">
        <v>3473</v>
      </c>
      <c r="H34" t="s">
        <v>3324</v>
      </c>
      <c r="I34" t="s">
        <v>369</v>
      </c>
      <c r="J34">
        <v>5</v>
      </c>
      <c r="K34">
        <v>5</v>
      </c>
      <c r="L34">
        <v>19</v>
      </c>
      <c r="M34" t="s">
        <v>12</v>
      </c>
      <c r="N34" t="s">
        <v>315</v>
      </c>
      <c r="O34" t="s">
        <v>316</v>
      </c>
      <c r="P34" t="s">
        <v>317</v>
      </c>
      <c r="Q34" t="s">
        <v>3226</v>
      </c>
      <c r="R34" t="s">
        <v>3325</v>
      </c>
      <c r="S34">
        <v>45709</v>
      </c>
      <c r="T34">
        <v>45709</v>
      </c>
      <c r="U34" t="s">
        <v>12</v>
      </c>
      <c r="V34" t="s">
        <v>3149</v>
      </c>
      <c r="W34" t="s">
        <v>12</v>
      </c>
      <c r="X34" t="s">
        <v>320</v>
      </c>
      <c r="Y34" t="s">
        <v>115</v>
      </c>
      <c r="Z34" t="s">
        <v>2516</v>
      </c>
      <c r="AA34" t="s">
        <v>3229</v>
      </c>
      <c r="AB34" t="s">
        <v>3474</v>
      </c>
    </row>
    <row r="35" spans="1:28">
      <c r="A35">
        <v>9</v>
      </c>
      <c r="B35" t="s">
        <v>5</v>
      </c>
      <c r="C35">
        <v>45700</v>
      </c>
      <c r="D35">
        <v>45713</v>
      </c>
      <c r="E35" t="s">
        <v>96</v>
      </c>
      <c r="F35" t="s">
        <v>317</v>
      </c>
      <c r="G35" t="s">
        <v>3479</v>
      </c>
      <c r="H35" s="100" t="s">
        <v>3480</v>
      </c>
      <c r="I35" t="s">
        <v>306</v>
      </c>
      <c r="J35">
        <v>0</v>
      </c>
      <c r="K35">
        <v>2</v>
      </c>
      <c r="L35">
        <v>8</v>
      </c>
      <c r="M35" t="s">
        <v>12</v>
      </c>
      <c r="N35" t="s">
        <v>315</v>
      </c>
      <c r="O35" t="s">
        <v>316</v>
      </c>
      <c r="P35" t="s">
        <v>315</v>
      </c>
      <c r="Q35" t="s">
        <v>3226</v>
      </c>
      <c r="R35" t="s">
        <v>3481</v>
      </c>
      <c r="S35">
        <v>45705</v>
      </c>
      <c r="T35">
        <v>45705</v>
      </c>
      <c r="U35" t="s">
        <v>12</v>
      </c>
      <c r="V35" t="s">
        <v>3149</v>
      </c>
      <c r="W35" t="s">
        <v>12</v>
      </c>
      <c r="X35" t="s">
        <v>320</v>
      </c>
      <c r="Y35" t="s">
        <v>115</v>
      </c>
      <c r="Z35" t="s">
        <v>2516</v>
      </c>
      <c r="AA35" t="s">
        <v>2516</v>
      </c>
      <c r="AB35" t="s">
        <v>3482</v>
      </c>
    </row>
    <row r="36" spans="1:28">
      <c r="A36">
        <v>10</v>
      </c>
      <c r="B36" t="s">
        <v>5</v>
      </c>
      <c r="C36">
        <v>45700</v>
      </c>
      <c r="D36">
        <v>45713</v>
      </c>
      <c r="E36" t="s">
        <v>3472</v>
      </c>
      <c r="F36" t="s">
        <v>315</v>
      </c>
      <c r="G36">
        <v>47257</v>
      </c>
      <c r="H36" t="s">
        <v>3484</v>
      </c>
      <c r="I36" t="s">
        <v>306</v>
      </c>
      <c r="J36">
        <v>5</v>
      </c>
      <c r="K36">
        <v>6</v>
      </c>
      <c r="L36">
        <v>24</v>
      </c>
      <c r="M36" t="s">
        <v>320</v>
      </c>
      <c r="N36" t="s">
        <v>320</v>
      </c>
      <c r="O36" t="s">
        <v>320</v>
      </c>
      <c r="P36" t="s">
        <v>320</v>
      </c>
      <c r="Q36" t="s">
        <v>320</v>
      </c>
      <c r="R36" t="s">
        <v>320</v>
      </c>
      <c r="S36" t="s">
        <v>320</v>
      </c>
      <c r="T36" t="s">
        <v>320</v>
      </c>
      <c r="U36" t="s">
        <v>320</v>
      </c>
      <c r="V36" t="s">
        <v>320</v>
      </c>
      <c r="W36" t="s">
        <v>320</v>
      </c>
      <c r="X36" t="s">
        <v>320</v>
      </c>
      <c r="Y36" t="s">
        <v>320</v>
      </c>
      <c r="Z36" t="s">
        <v>320</v>
      </c>
      <c r="AA36" t="s">
        <v>320</v>
      </c>
      <c r="AB36" t="s">
        <v>3485</v>
      </c>
    </row>
    <row r="37" spans="1:28">
      <c r="A37">
        <v>11</v>
      </c>
      <c r="B37" t="s">
        <v>5</v>
      </c>
      <c r="C37">
        <v>45700</v>
      </c>
      <c r="D37">
        <v>45713</v>
      </c>
      <c r="E37" t="s">
        <v>3472</v>
      </c>
      <c r="F37" t="s">
        <v>317</v>
      </c>
      <c r="G37">
        <v>47260</v>
      </c>
      <c r="H37" t="s">
        <v>3491</v>
      </c>
      <c r="I37" t="s">
        <v>399</v>
      </c>
      <c r="J37">
        <v>2</v>
      </c>
      <c r="M37" t="s">
        <v>12</v>
      </c>
      <c r="AA37" t="s">
        <v>3341</v>
      </c>
    </row>
    <row r="38" spans="1:28">
      <c r="A38">
        <v>1</v>
      </c>
      <c r="B38" t="s">
        <v>5</v>
      </c>
      <c r="C38">
        <v>45714</v>
      </c>
      <c r="D38">
        <v>45727</v>
      </c>
      <c r="E38" t="s">
        <v>100</v>
      </c>
      <c r="F38" t="s">
        <v>315</v>
      </c>
      <c r="G38">
        <v>47364</v>
      </c>
      <c r="H38" t="s">
        <v>3225</v>
      </c>
      <c r="I38" t="s">
        <v>338</v>
      </c>
      <c r="J38">
        <v>5</v>
      </c>
      <c r="K38">
        <v>5</v>
      </c>
      <c r="L38">
        <v>24</v>
      </c>
      <c r="M38" t="s">
        <v>12</v>
      </c>
      <c r="N38" t="s">
        <v>313</v>
      </c>
      <c r="O38" t="s">
        <v>316</v>
      </c>
      <c r="P38" t="s">
        <v>317</v>
      </c>
      <c r="Q38" t="s">
        <v>3226</v>
      </c>
      <c r="R38" t="s">
        <v>3227</v>
      </c>
      <c r="S38">
        <v>45720</v>
      </c>
      <c r="T38">
        <v>45721</v>
      </c>
      <c r="U38" t="s">
        <v>12</v>
      </c>
      <c r="V38" t="s">
        <v>3228</v>
      </c>
      <c r="W38" t="s">
        <v>12</v>
      </c>
      <c r="X38" t="s">
        <v>320</v>
      </c>
      <c r="Y38" t="s">
        <v>115</v>
      </c>
      <c r="Z38" t="s">
        <v>2516</v>
      </c>
      <c r="AA38" t="s">
        <v>3229</v>
      </c>
      <c r="AB38" s="100" t="s">
        <v>4410</v>
      </c>
    </row>
    <row r="39" spans="1:28">
      <c r="A39">
        <v>2</v>
      </c>
      <c r="B39" t="s">
        <v>5</v>
      </c>
      <c r="C39">
        <v>45714</v>
      </c>
      <c r="D39">
        <v>45727</v>
      </c>
      <c r="E39" t="s">
        <v>100</v>
      </c>
      <c r="F39" t="s">
        <v>3308</v>
      </c>
      <c r="G39">
        <v>24688</v>
      </c>
      <c r="H39" t="s">
        <v>3309</v>
      </c>
      <c r="I39" t="s">
        <v>376</v>
      </c>
      <c r="J39">
        <v>2</v>
      </c>
      <c r="K39">
        <v>3</v>
      </c>
      <c r="L39">
        <v>14.5</v>
      </c>
      <c r="M39" t="s">
        <v>12</v>
      </c>
      <c r="N39" t="s">
        <v>315</v>
      </c>
      <c r="O39" t="s">
        <v>316</v>
      </c>
      <c r="P39" t="s">
        <v>315</v>
      </c>
      <c r="Q39" t="s">
        <v>3226</v>
      </c>
      <c r="R39" t="s">
        <v>320</v>
      </c>
      <c r="S39" t="s">
        <v>320</v>
      </c>
      <c r="T39" t="s">
        <v>320</v>
      </c>
      <c r="U39" t="s">
        <v>12</v>
      </c>
      <c r="V39" t="s">
        <v>3228</v>
      </c>
      <c r="W39" t="s">
        <v>320</v>
      </c>
      <c r="X39" t="s">
        <v>320</v>
      </c>
      <c r="Y39" t="s">
        <v>320</v>
      </c>
      <c r="Z39" t="s">
        <v>2516</v>
      </c>
      <c r="AA39" t="s">
        <v>3229</v>
      </c>
      <c r="AB39" t="s">
        <v>3310</v>
      </c>
    </row>
    <row r="40" spans="1:28">
      <c r="A40">
        <v>3</v>
      </c>
      <c r="B40" t="s">
        <v>5</v>
      </c>
      <c r="C40">
        <v>45714</v>
      </c>
      <c r="D40">
        <v>45727</v>
      </c>
      <c r="E40" t="s">
        <v>100</v>
      </c>
      <c r="F40" t="s">
        <v>2038</v>
      </c>
      <c r="G40" t="s">
        <v>3317</v>
      </c>
      <c r="H40" t="s">
        <v>3318</v>
      </c>
      <c r="I40" t="s">
        <v>306</v>
      </c>
      <c r="J40">
        <v>1</v>
      </c>
      <c r="K40">
        <v>1</v>
      </c>
      <c r="L40">
        <v>4</v>
      </c>
      <c r="M40" t="s">
        <v>12</v>
      </c>
      <c r="N40" t="s">
        <v>313</v>
      </c>
      <c r="O40" t="s">
        <v>316</v>
      </c>
      <c r="P40" t="s">
        <v>317</v>
      </c>
      <c r="Q40" t="s">
        <v>3226</v>
      </c>
      <c r="R40" t="s">
        <v>3319</v>
      </c>
      <c r="S40">
        <v>45712</v>
      </c>
      <c r="T40">
        <v>45715</v>
      </c>
      <c r="U40" t="s">
        <v>12</v>
      </c>
      <c r="V40" t="s">
        <v>3228</v>
      </c>
      <c r="W40" t="s">
        <v>12</v>
      </c>
      <c r="X40" t="s">
        <v>320</v>
      </c>
      <c r="Y40" s="100" t="s">
        <v>3320</v>
      </c>
      <c r="Z40" t="s">
        <v>320</v>
      </c>
      <c r="AA40" t="s">
        <v>320</v>
      </c>
      <c r="AB40" t="s">
        <v>3321</v>
      </c>
    </row>
    <row r="41" spans="1:28">
      <c r="A41">
        <v>4</v>
      </c>
      <c r="B41" t="s">
        <v>5</v>
      </c>
      <c r="C41">
        <v>45714</v>
      </c>
      <c r="D41">
        <v>45727</v>
      </c>
      <c r="E41" t="s">
        <v>100</v>
      </c>
      <c r="F41" t="s">
        <v>313</v>
      </c>
      <c r="G41">
        <v>46917</v>
      </c>
      <c r="H41" t="s">
        <v>3324</v>
      </c>
      <c r="I41" t="s">
        <v>306</v>
      </c>
      <c r="J41">
        <v>1</v>
      </c>
      <c r="K41">
        <v>1.5</v>
      </c>
      <c r="L41">
        <v>6</v>
      </c>
      <c r="M41" t="s">
        <v>12</v>
      </c>
      <c r="N41" t="s">
        <v>315</v>
      </c>
      <c r="O41" t="s">
        <v>316</v>
      </c>
      <c r="P41" t="s">
        <v>317</v>
      </c>
      <c r="Q41" t="s">
        <v>3226</v>
      </c>
      <c r="R41" t="s">
        <v>3325</v>
      </c>
      <c r="S41">
        <v>45709</v>
      </c>
      <c r="T41">
        <v>45709</v>
      </c>
      <c r="U41" t="s">
        <v>12</v>
      </c>
      <c r="V41" t="s">
        <v>3149</v>
      </c>
      <c r="W41" t="s">
        <v>12</v>
      </c>
      <c r="X41" t="s">
        <v>320</v>
      </c>
      <c r="Y41" t="s">
        <v>115</v>
      </c>
      <c r="Z41" t="s">
        <v>2516</v>
      </c>
      <c r="AA41" t="s">
        <v>3229</v>
      </c>
      <c r="AB41" s="100" t="s">
        <v>3326</v>
      </c>
    </row>
    <row r="42" spans="1:28">
      <c r="A42">
        <v>5</v>
      </c>
      <c r="B42" t="s">
        <v>5</v>
      </c>
      <c r="C42">
        <v>45714</v>
      </c>
      <c r="D42">
        <v>45727</v>
      </c>
      <c r="E42" t="s">
        <v>100</v>
      </c>
      <c r="F42" t="s">
        <v>313</v>
      </c>
      <c r="G42">
        <v>47105</v>
      </c>
      <c r="H42" t="s">
        <v>3331</v>
      </c>
      <c r="I42" t="s">
        <v>306</v>
      </c>
      <c r="J42">
        <v>5</v>
      </c>
      <c r="K42">
        <v>3</v>
      </c>
      <c r="L42">
        <v>12.5</v>
      </c>
      <c r="M42" t="s">
        <v>12</v>
      </c>
      <c r="N42" t="s">
        <v>315</v>
      </c>
      <c r="O42" t="s">
        <v>316</v>
      </c>
      <c r="P42" t="s">
        <v>317</v>
      </c>
      <c r="Q42" t="s">
        <v>3332</v>
      </c>
      <c r="R42" t="s">
        <v>3333</v>
      </c>
      <c r="S42">
        <v>45719</v>
      </c>
      <c r="T42">
        <v>45719</v>
      </c>
      <c r="U42" t="s">
        <v>12</v>
      </c>
      <c r="V42" t="s">
        <v>3149</v>
      </c>
      <c r="W42" t="s">
        <v>12</v>
      </c>
      <c r="X42" t="s">
        <v>320</v>
      </c>
      <c r="Y42" t="s">
        <v>115</v>
      </c>
      <c r="Z42" t="s">
        <v>2516</v>
      </c>
      <c r="AA42" t="s">
        <v>3229</v>
      </c>
      <c r="AB42" t="s">
        <v>3334</v>
      </c>
    </row>
    <row r="43" spans="1:28">
      <c r="A43">
        <v>6</v>
      </c>
      <c r="B43" t="s">
        <v>5</v>
      </c>
      <c r="C43">
        <v>45714</v>
      </c>
      <c r="D43">
        <v>45727</v>
      </c>
      <c r="E43" t="s">
        <v>100</v>
      </c>
      <c r="F43" t="s">
        <v>317</v>
      </c>
      <c r="G43">
        <v>47260</v>
      </c>
      <c r="H43" t="s">
        <v>3339</v>
      </c>
      <c r="I43" t="s">
        <v>306</v>
      </c>
      <c r="J43">
        <v>1</v>
      </c>
      <c r="K43">
        <v>2</v>
      </c>
      <c r="L43">
        <v>6.25</v>
      </c>
      <c r="M43" t="s">
        <v>12</v>
      </c>
      <c r="N43" t="s">
        <v>315</v>
      </c>
      <c r="O43" t="s">
        <v>316</v>
      </c>
      <c r="P43" t="s">
        <v>315</v>
      </c>
      <c r="Q43" t="s">
        <v>115</v>
      </c>
      <c r="R43" t="s">
        <v>3340</v>
      </c>
      <c r="S43">
        <v>45714</v>
      </c>
      <c r="T43">
        <v>45715</v>
      </c>
      <c r="U43" t="s">
        <v>320</v>
      </c>
      <c r="V43" t="s">
        <v>115</v>
      </c>
      <c r="W43" t="s">
        <v>320</v>
      </c>
      <c r="X43" t="s">
        <v>320</v>
      </c>
      <c r="Y43" t="s">
        <v>3226</v>
      </c>
      <c r="Z43" t="s">
        <v>3341</v>
      </c>
      <c r="AB43" t="s">
        <v>3342</v>
      </c>
    </row>
    <row r="44" spans="1:28">
      <c r="A44">
        <v>7</v>
      </c>
      <c r="B44" t="s">
        <v>5</v>
      </c>
      <c r="C44">
        <v>45714</v>
      </c>
      <c r="D44">
        <v>45727</v>
      </c>
      <c r="E44" t="s">
        <v>100</v>
      </c>
      <c r="F44" t="s">
        <v>2038</v>
      </c>
      <c r="G44">
        <v>47408</v>
      </c>
      <c r="H44" t="s">
        <v>3344</v>
      </c>
      <c r="I44" t="s">
        <v>306</v>
      </c>
      <c r="J44">
        <v>3</v>
      </c>
      <c r="K44">
        <v>4</v>
      </c>
      <c r="L44">
        <v>16</v>
      </c>
      <c r="M44" t="s">
        <v>320</v>
      </c>
      <c r="N44" t="s">
        <v>115</v>
      </c>
      <c r="O44" t="s">
        <v>316</v>
      </c>
      <c r="P44" t="s">
        <v>115</v>
      </c>
      <c r="Q44" t="s">
        <v>115</v>
      </c>
      <c r="R44" t="s">
        <v>3345</v>
      </c>
      <c r="S44">
        <v>45811</v>
      </c>
      <c r="T44">
        <v>45933</v>
      </c>
      <c r="U44" t="s">
        <v>12</v>
      </c>
      <c r="V44" t="s">
        <v>3149</v>
      </c>
      <c r="W44" t="s">
        <v>12</v>
      </c>
      <c r="X44" t="s">
        <v>320</v>
      </c>
      <c r="Y44" t="s">
        <v>115</v>
      </c>
      <c r="Z44" t="s">
        <v>320</v>
      </c>
      <c r="AA44" t="s">
        <v>320</v>
      </c>
      <c r="AB44" s="100" t="s">
        <v>3346</v>
      </c>
    </row>
    <row r="45" spans="1:28">
      <c r="A45">
        <v>8</v>
      </c>
      <c r="B45" t="s">
        <v>5</v>
      </c>
      <c r="C45">
        <v>45714</v>
      </c>
      <c r="D45">
        <v>45727</v>
      </c>
      <c r="E45" t="s">
        <v>3353</v>
      </c>
      <c r="F45" t="s">
        <v>313</v>
      </c>
      <c r="G45">
        <v>47274</v>
      </c>
      <c r="H45" t="s">
        <v>3258</v>
      </c>
      <c r="I45" t="s">
        <v>369</v>
      </c>
      <c r="J45">
        <v>3</v>
      </c>
      <c r="M45" t="s">
        <v>12</v>
      </c>
      <c r="N45" t="s">
        <v>320</v>
      </c>
      <c r="O45" t="s">
        <v>320</v>
      </c>
      <c r="P45" t="s">
        <v>320</v>
      </c>
      <c r="Q45" t="s">
        <v>320</v>
      </c>
      <c r="R45" t="s">
        <v>320</v>
      </c>
      <c r="S45" t="s">
        <v>320</v>
      </c>
      <c r="T45" t="s">
        <v>320</v>
      </c>
      <c r="U45" t="s">
        <v>320</v>
      </c>
      <c r="V45" t="s">
        <v>320</v>
      </c>
      <c r="W45" t="s">
        <v>320</v>
      </c>
      <c r="X45" t="s">
        <v>320</v>
      </c>
      <c r="Y45" t="s">
        <v>320</v>
      </c>
      <c r="Z45" t="s">
        <v>2516</v>
      </c>
      <c r="AA45" t="s">
        <v>2516</v>
      </c>
      <c r="AB45" s="100" t="s">
        <v>3354</v>
      </c>
    </row>
    <row r="46" spans="1:28">
      <c r="A46">
        <v>9</v>
      </c>
      <c r="B46" t="s">
        <v>5</v>
      </c>
      <c r="C46">
        <v>45714</v>
      </c>
      <c r="D46">
        <v>45727</v>
      </c>
      <c r="E46" t="s">
        <v>3353</v>
      </c>
      <c r="F46" t="s">
        <v>3358</v>
      </c>
      <c r="G46">
        <v>47335</v>
      </c>
      <c r="H46" t="s">
        <v>3359</v>
      </c>
      <c r="I46" t="s">
        <v>1117</v>
      </c>
      <c r="J46">
        <v>3</v>
      </c>
      <c r="L46">
        <v>6</v>
      </c>
      <c r="AB46" t="s">
        <v>3360</v>
      </c>
    </row>
    <row r="47" spans="1:28">
      <c r="A47">
        <v>10</v>
      </c>
      <c r="B47" t="s">
        <v>5</v>
      </c>
      <c r="C47">
        <v>45714</v>
      </c>
      <c r="D47">
        <v>45727</v>
      </c>
      <c r="E47" t="s">
        <v>3353</v>
      </c>
      <c r="F47" t="s">
        <v>317</v>
      </c>
      <c r="G47">
        <v>23760</v>
      </c>
      <c r="H47" s="100" t="s">
        <v>3364</v>
      </c>
      <c r="I47" t="s">
        <v>306</v>
      </c>
      <c r="J47">
        <v>3</v>
      </c>
      <c r="K47">
        <v>5</v>
      </c>
      <c r="L47">
        <v>19</v>
      </c>
      <c r="M47" t="s">
        <v>12</v>
      </c>
      <c r="N47" t="s">
        <v>315</v>
      </c>
      <c r="O47" t="s">
        <v>316</v>
      </c>
      <c r="P47" t="s">
        <v>115</v>
      </c>
      <c r="Q47" t="s">
        <v>115</v>
      </c>
      <c r="R47" t="s">
        <v>3365</v>
      </c>
      <c r="S47">
        <v>45780</v>
      </c>
      <c r="T47">
        <v>45780</v>
      </c>
      <c r="U47" t="s">
        <v>320</v>
      </c>
      <c r="V47" t="s">
        <v>3149</v>
      </c>
      <c r="W47" t="s">
        <v>12</v>
      </c>
      <c r="X47" t="s">
        <v>320</v>
      </c>
      <c r="Y47" t="s">
        <v>115</v>
      </c>
      <c r="Z47" t="s">
        <v>2516</v>
      </c>
      <c r="AB47" t="s">
        <v>3366</v>
      </c>
    </row>
    <row r="48" spans="1:28">
      <c r="A48">
        <v>11</v>
      </c>
      <c r="B48" t="s">
        <v>5</v>
      </c>
      <c r="C48">
        <v>45714</v>
      </c>
      <c r="D48">
        <v>45727</v>
      </c>
      <c r="E48" t="s">
        <v>3353</v>
      </c>
      <c r="F48" t="s">
        <v>313</v>
      </c>
      <c r="G48">
        <v>23984</v>
      </c>
      <c r="H48" t="s">
        <v>3371</v>
      </c>
      <c r="I48" t="s">
        <v>376</v>
      </c>
      <c r="J48">
        <v>2</v>
      </c>
      <c r="K48">
        <v>3</v>
      </c>
      <c r="L48">
        <v>13.25</v>
      </c>
      <c r="M48" t="s">
        <v>12</v>
      </c>
      <c r="N48" t="s">
        <v>315</v>
      </c>
      <c r="O48" t="s">
        <v>316</v>
      </c>
      <c r="P48" t="s">
        <v>317</v>
      </c>
      <c r="Q48" t="s">
        <v>115</v>
      </c>
      <c r="R48" t="s">
        <v>320</v>
      </c>
      <c r="S48" t="s">
        <v>320</v>
      </c>
      <c r="T48" t="s">
        <v>320</v>
      </c>
      <c r="U48" t="s">
        <v>320</v>
      </c>
      <c r="V48" t="s">
        <v>320</v>
      </c>
      <c r="W48" t="s">
        <v>320</v>
      </c>
      <c r="X48" t="s">
        <v>320</v>
      </c>
      <c r="Y48" t="s">
        <v>320</v>
      </c>
      <c r="Z48" t="s">
        <v>2516</v>
      </c>
      <c r="AA48" t="s">
        <v>2516</v>
      </c>
      <c r="AB48" s="100" t="s">
        <v>3372</v>
      </c>
    </row>
    <row r="49" spans="1:28">
      <c r="A49">
        <v>12</v>
      </c>
      <c r="B49" t="s">
        <v>5</v>
      </c>
      <c r="C49">
        <v>45714</v>
      </c>
      <c r="D49">
        <v>45727</v>
      </c>
      <c r="E49" t="s">
        <v>100</v>
      </c>
      <c r="F49" t="s">
        <v>315</v>
      </c>
      <c r="G49">
        <v>47445</v>
      </c>
      <c r="H49" t="s">
        <v>3236</v>
      </c>
      <c r="I49" t="s">
        <v>399</v>
      </c>
      <c r="J49">
        <v>5</v>
      </c>
      <c r="AB49" t="s">
        <v>3376</v>
      </c>
    </row>
    <row r="50" spans="1:28">
      <c r="A50">
        <v>13</v>
      </c>
      <c r="B50" t="s">
        <v>5</v>
      </c>
      <c r="C50">
        <v>45714</v>
      </c>
      <c r="D50">
        <v>45727</v>
      </c>
      <c r="E50" t="s">
        <v>100</v>
      </c>
      <c r="F50" t="s">
        <v>2282</v>
      </c>
      <c r="G50" t="s">
        <v>3382</v>
      </c>
      <c r="H50" t="s">
        <v>3383</v>
      </c>
      <c r="I50" t="s">
        <v>376</v>
      </c>
      <c r="J50">
        <v>0</v>
      </c>
      <c r="K50">
        <v>3</v>
      </c>
      <c r="L50">
        <v>14.5</v>
      </c>
      <c r="AB50" s="100" t="s">
        <v>3384</v>
      </c>
    </row>
    <row r="51" spans="1:28">
      <c r="A51">
        <v>1</v>
      </c>
      <c r="B51" t="s">
        <v>5</v>
      </c>
      <c r="C51">
        <v>45728</v>
      </c>
      <c r="D51">
        <v>45741</v>
      </c>
      <c r="E51" t="s">
        <v>104</v>
      </c>
      <c r="F51" t="s">
        <v>315</v>
      </c>
      <c r="G51">
        <v>47364</v>
      </c>
      <c r="H51" t="s">
        <v>3225</v>
      </c>
      <c r="I51" t="s">
        <v>306</v>
      </c>
      <c r="J51">
        <v>3</v>
      </c>
      <c r="K51">
        <v>7</v>
      </c>
      <c r="L51">
        <v>28</v>
      </c>
      <c r="M51" t="s">
        <v>12</v>
      </c>
      <c r="N51" t="s">
        <v>313</v>
      </c>
      <c r="O51" t="s">
        <v>316</v>
      </c>
      <c r="P51" t="s">
        <v>317</v>
      </c>
      <c r="Q51" t="s">
        <v>3226</v>
      </c>
      <c r="R51" t="s">
        <v>3227</v>
      </c>
      <c r="S51">
        <v>45720</v>
      </c>
      <c r="T51">
        <v>45721</v>
      </c>
      <c r="U51" t="s">
        <v>12</v>
      </c>
      <c r="V51" t="s">
        <v>3228</v>
      </c>
      <c r="W51" t="s">
        <v>12</v>
      </c>
      <c r="X51" t="s">
        <v>320</v>
      </c>
      <c r="Y51" t="s">
        <v>115</v>
      </c>
      <c r="Z51" t="s">
        <v>2516</v>
      </c>
      <c r="AA51" t="s">
        <v>3229</v>
      </c>
      <c r="AB51" t="s">
        <v>3230</v>
      </c>
    </row>
    <row r="52" spans="1:28">
      <c r="A52">
        <v>2</v>
      </c>
      <c r="B52" t="s">
        <v>5</v>
      </c>
      <c r="C52">
        <v>45728</v>
      </c>
      <c r="D52">
        <v>45741</v>
      </c>
      <c r="E52" t="s">
        <v>104</v>
      </c>
      <c r="F52" t="s">
        <v>315</v>
      </c>
      <c r="G52">
        <v>47445</v>
      </c>
      <c r="H52" t="s">
        <v>3236</v>
      </c>
      <c r="I52" t="s">
        <v>306</v>
      </c>
      <c r="J52">
        <v>3</v>
      </c>
      <c r="K52">
        <v>4</v>
      </c>
      <c r="L52">
        <v>13.75</v>
      </c>
      <c r="M52" t="s">
        <v>12</v>
      </c>
      <c r="N52" t="s">
        <v>313</v>
      </c>
      <c r="O52" t="s">
        <v>316</v>
      </c>
      <c r="P52" t="s">
        <v>317</v>
      </c>
      <c r="Q52" t="s">
        <v>3226</v>
      </c>
      <c r="R52" t="s">
        <v>3237</v>
      </c>
      <c r="S52">
        <v>45729</v>
      </c>
      <c r="T52">
        <v>45729</v>
      </c>
      <c r="U52" t="s">
        <v>12</v>
      </c>
      <c r="V52" t="s">
        <v>3149</v>
      </c>
      <c r="W52" t="s">
        <v>12</v>
      </c>
      <c r="X52" t="s">
        <v>320</v>
      </c>
      <c r="Y52" t="s">
        <v>115</v>
      </c>
      <c r="Z52" t="s">
        <v>2516</v>
      </c>
      <c r="AA52" t="s">
        <v>2516</v>
      </c>
      <c r="AB52" t="s">
        <v>3238</v>
      </c>
    </row>
    <row r="53" spans="1:28">
      <c r="A53">
        <v>3</v>
      </c>
      <c r="B53" t="s">
        <v>5</v>
      </c>
      <c r="C53">
        <v>45728</v>
      </c>
      <c r="D53">
        <v>45741</v>
      </c>
      <c r="E53" t="s">
        <v>104</v>
      </c>
      <c r="F53" t="s">
        <v>313</v>
      </c>
      <c r="G53">
        <v>47509</v>
      </c>
      <c r="H53" t="s">
        <v>3243</v>
      </c>
      <c r="I53" t="s">
        <v>306</v>
      </c>
      <c r="J53">
        <v>2</v>
      </c>
      <c r="K53">
        <v>4</v>
      </c>
      <c r="L53">
        <v>17</v>
      </c>
      <c r="M53" t="s">
        <v>12</v>
      </c>
      <c r="N53" t="s">
        <v>315</v>
      </c>
      <c r="O53" t="s">
        <v>316</v>
      </c>
      <c r="P53" t="s">
        <v>317</v>
      </c>
      <c r="Q53" t="s">
        <v>3226</v>
      </c>
      <c r="R53" t="s">
        <v>3244</v>
      </c>
      <c r="S53">
        <v>45730</v>
      </c>
      <c r="T53">
        <v>45730</v>
      </c>
      <c r="U53" t="s">
        <v>12</v>
      </c>
      <c r="V53" t="s">
        <v>3149</v>
      </c>
      <c r="W53" t="s">
        <v>12</v>
      </c>
      <c r="X53" t="s">
        <v>320</v>
      </c>
      <c r="Y53" t="s">
        <v>115</v>
      </c>
      <c r="Z53" s="100" t="s">
        <v>3245</v>
      </c>
      <c r="AA53" t="s">
        <v>2516</v>
      </c>
      <c r="AB53" t="s">
        <v>12</v>
      </c>
    </row>
    <row r="54" spans="1:28">
      <c r="A54">
        <v>4</v>
      </c>
      <c r="B54" t="s">
        <v>5</v>
      </c>
      <c r="C54">
        <v>45728</v>
      </c>
      <c r="D54">
        <v>45741</v>
      </c>
      <c r="E54" t="s">
        <v>104</v>
      </c>
      <c r="F54" t="s">
        <v>317</v>
      </c>
      <c r="G54">
        <v>85993</v>
      </c>
      <c r="H54" t="s">
        <v>3252</v>
      </c>
      <c r="I54" t="s">
        <v>306</v>
      </c>
      <c r="J54">
        <v>0</v>
      </c>
      <c r="K54">
        <v>2</v>
      </c>
      <c r="L54">
        <v>8</v>
      </c>
      <c r="M54" t="s">
        <v>320</v>
      </c>
      <c r="N54" t="s">
        <v>320</v>
      </c>
      <c r="O54" t="s">
        <v>320</v>
      </c>
      <c r="P54" t="s">
        <v>320</v>
      </c>
      <c r="Q54" t="s">
        <v>320</v>
      </c>
      <c r="R54" t="s">
        <v>320</v>
      </c>
      <c r="S54" t="s">
        <v>320</v>
      </c>
      <c r="T54" t="s">
        <v>320</v>
      </c>
      <c r="U54" t="s">
        <v>320</v>
      </c>
      <c r="V54" t="s">
        <v>320</v>
      </c>
      <c r="W54" t="s">
        <v>320</v>
      </c>
      <c r="X54" t="s">
        <v>320</v>
      </c>
      <c r="Y54" t="s">
        <v>320</v>
      </c>
      <c r="Z54" t="s">
        <v>2516</v>
      </c>
      <c r="AA54" t="s">
        <v>2516</v>
      </c>
      <c r="AB54" t="s">
        <v>3253</v>
      </c>
    </row>
    <row r="55" spans="1:28">
      <c r="A55">
        <v>5</v>
      </c>
      <c r="B55" t="s">
        <v>5</v>
      </c>
      <c r="C55">
        <v>45728</v>
      </c>
      <c r="D55">
        <v>45741</v>
      </c>
      <c r="E55" t="s">
        <v>104</v>
      </c>
      <c r="F55" t="s">
        <v>313</v>
      </c>
      <c r="G55" t="s">
        <v>3257</v>
      </c>
      <c r="H55" t="s">
        <v>3258</v>
      </c>
      <c r="I55" t="s">
        <v>306</v>
      </c>
      <c r="J55">
        <v>3</v>
      </c>
      <c r="K55">
        <v>4</v>
      </c>
      <c r="L55">
        <v>14</v>
      </c>
      <c r="M55" t="s">
        <v>12</v>
      </c>
      <c r="N55" t="s">
        <v>315</v>
      </c>
      <c r="O55" t="s">
        <v>316</v>
      </c>
      <c r="P55" t="s">
        <v>317</v>
      </c>
      <c r="Q55" t="s">
        <v>3226</v>
      </c>
      <c r="R55" t="s">
        <v>320</v>
      </c>
      <c r="S55" t="s">
        <v>320</v>
      </c>
      <c r="T55" t="s">
        <v>320</v>
      </c>
      <c r="U55" t="s">
        <v>320</v>
      </c>
      <c r="V55" t="s">
        <v>320</v>
      </c>
      <c r="W55" t="s">
        <v>320</v>
      </c>
      <c r="X55" t="s">
        <v>320</v>
      </c>
      <c r="Y55" t="s">
        <v>320</v>
      </c>
      <c r="Z55" t="s">
        <v>2516</v>
      </c>
      <c r="AA55" t="s">
        <v>2516</v>
      </c>
      <c r="AB55" t="s">
        <v>3259</v>
      </c>
    </row>
    <row r="56" spans="1:28">
      <c r="A56">
        <v>6</v>
      </c>
      <c r="B56" t="s">
        <v>5</v>
      </c>
      <c r="C56">
        <v>45728</v>
      </c>
      <c r="D56">
        <v>45741</v>
      </c>
      <c r="E56" t="s">
        <v>104</v>
      </c>
      <c r="F56" t="s">
        <v>317</v>
      </c>
      <c r="G56">
        <v>24833</v>
      </c>
      <c r="H56" t="s">
        <v>3261</v>
      </c>
      <c r="I56" t="s">
        <v>376</v>
      </c>
      <c r="J56">
        <v>2</v>
      </c>
      <c r="K56">
        <v>5</v>
      </c>
      <c r="L56">
        <v>19.5</v>
      </c>
      <c r="M56" t="s">
        <v>12</v>
      </c>
      <c r="N56" t="s">
        <v>313</v>
      </c>
      <c r="O56" t="s">
        <v>3262</v>
      </c>
      <c r="P56" t="s">
        <v>315</v>
      </c>
      <c r="Q56" t="s">
        <v>3226</v>
      </c>
      <c r="R56" t="s">
        <v>3263</v>
      </c>
      <c r="S56">
        <v>45735</v>
      </c>
      <c r="T56">
        <v>45735</v>
      </c>
      <c r="U56" t="s">
        <v>12</v>
      </c>
      <c r="V56" t="s">
        <v>3149</v>
      </c>
      <c r="W56" t="s">
        <v>12</v>
      </c>
      <c r="Z56" t="s">
        <v>2516</v>
      </c>
      <c r="AA56" t="s">
        <v>3264</v>
      </c>
      <c r="AB56" t="s">
        <v>3265</v>
      </c>
    </row>
    <row r="57" spans="1:28">
      <c r="A57">
        <v>7</v>
      </c>
      <c r="B57" t="s">
        <v>5</v>
      </c>
      <c r="C57">
        <v>45728</v>
      </c>
      <c r="D57">
        <v>45741</v>
      </c>
      <c r="E57" t="s">
        <v>104</v>
      </c>
      <c r="F57" t="s">
        <v>1673</v>
      </c>
      <c r="G57">
        <v>47545</v>
      </c>
      <c r="H57" t="s">
        <v>3268</v>
      </c>
      <c r="I57" t="s">
        <v>399</v>
      </c>
      <c r="J57">
        <v>13</v>
      </c>
      <c r="AB57" s="100" t="s">
        <v>3269</v>
      </c>
    </row>
    <row r="58" spans="1:28">
      <c r="A58">
        <v>8</v>
      </c>
      <c r="B58" t="s">
        <v>5</v>
      </c>
      <c r="C58">
        <v>45728</v>
      </c>
      <c r="D58">
        <v>45741</v>
      </c>
      <c r="E58" t="s">
        <v>104</v>
      </c>
      <c r="F58" t="s">
        <v>315</v>
      </c>
      <c r="G58">
        <v>24886</v>
      </c>
      <c r="H58" t="s">
        <v>3221</v>
      </c>
      <c r="I58" t="s">
        <v>376</v>
      </c>
      <c r="J58">
        <v>0</v>
      </c>
      <c r="K58">
        <v>1.5</v>
      </c>
      <c r="L58">
        <v>5.75</v>
      </c>
      <c r="M58" t="s">
        <v>12</v>
      </c>
      <c r="N58" t="s">
        <v>313</v>
      </c>
      <c r="O58" t="s">
        <v>316</v>
      </c>
      <c r="P58" t="s">
        <v>317</v>
      </c>
      <c r="Q58" t="s">
        <v>3226</v>
      </c>
      <c r="R58" t="s">
        <v>3272</v>
      </c>
      <c r="S58">
        <v>45740</v>
      </c>
      <c r="T58">
        <v>45740</v>
      </c>
      <c r="U58" t="s">
        <v>12</v>
      </c>
      <c r="V58" t="s">
        <v>3149</v>
      </c>
      <c r="W58" t="s">
        <v>12</v>
      </c>
      <c r="X58" t="s">
        <v>320</v>
      </c>
      <c r="Y58" t="s">
        <v>115</v>
      </c>
      <c r="Z58" t="s">
        <v>2516</v>
      </c>
      <c r="AA58" t="s">
        <v>2516</v>
      </c>
      <c r="AB58" t="s">
        <v>3273</v>
      </c>
    </row>
    <row r="59" spans="1:28">
      <c r="A59">
        <v>9</v>
      </c>
      <c r="B59" t="s">
        <v>5</v>
      </c>
      <c r="C59">
        <v>45728</v>
      </c>
      <c r="D59">
        <v>45741</v>
      </c>
      <c r="E59" t="s">
        <v>104</v>
      </c>
      <c r="F59" t="s">
        <v>317</v>
      </c>
      <c r="G59">
        <v>24883</v>
      </c>
      <c r="H59" t="s">
        <v>3223</v>
      </c>
      <c r="I59" t="s">
        <v>376</v>
      </c>
      <c r="J59">
        <v>0</v>
      </c>
      <c r="K59">
        <v>0.5</v>
      </c>
      <c r="L59">
        <v>1.5</v>
      </c>
      <c r="M59" t="s">
        <v>12</v>
      </c>
      <c r="N59" t="s">
        <v>315</v>
      </c>
      <c r="O59" t="s">
        <v>316</v>
      </c>
      <c r="P59" t="s">
        <v>315</v>
      </c>
      <c r="Q59" t="s">
        <v>3226</v>
      </c>
      <c r="R59" t="s">
        <v>3275</v>
      </c>
      <c r="S59">
        <v>45740</v>
      </c>
      <c r="T59">
        <v>45740</v>
      </c>
      <c r="U59" t="s">
        <v>12</v>
      </c>
      <c r="V59" t="s">
        <v>3149</v>
      </c>
      <c r="W59" t="s">
        <v>12</v>
      </c>
      <c r="X59" t="s">
        <v>320</v>
      </c>
      <c r="Y59" t="s">
        <v>115</v>
      </c>
      <c r="Z59" t="s">
        <v>2516</v>
      </c>
      <c r="AA59" t="s">
        <v>2516</v>
      </c>
      <c r="AB59" t="s">
        <v>3276</v>
      </c>
    </row>
    <row r="60" spans="1:28">
      <c r="A60">
        <v>9</v>
      </c>
      <c r="B60" t="s">
        <v>5</v>
      </c>
      <c r="C60">
        <v>45728</v>
      </c>
      <c r="D60">
        <v>45741</v>
      </c>
      <c r="E60" t="s">
        <v>104</v>
      </c>
      <c r="F60" t="s">
        <v>1216</v>
      </c>
      <c r="G60">
        <v>47335</v>
      </c>
      <c r="H60" t="s">
        <v>3277</v>
      </c>
      <c r="I60" t="s">
        <v>306</v>
      </c>
      <c r="J60">
        <v>1</v>
      </c>
      <c r="K60">
        <v>2.5</v>
      </c>
      <c r="L60">
        <v>10</v>
      </c>
      <c r="M60" t="s">
        <v>12</v>
      </c>
      <c r="N60" t="s">
        <v>320</v>
      </c>
      <c r="O60" t="s">
        <v>320</v>
      </c>
      <c r="Q60" t="s">
        <v>320</v>
      </c>
      <c r="R60" t="s">
        <v>320</v>
      </c>
      <c r="S60" t="s">
        <v>320</v>
      </c>
      <c r="T60" t="s">
        <v>320</v>
      </c>
      <c r="U60" t="s">
        <v>320</v>
      </c>
      <c r="V60" t="s">
        <v>320</v>
      </c>
      <c r="W60" t="s">
        <v>320</v>
      </c>
      <c r="X60" t="s">
        <v>320</v>
      </c>
      <c r="Y60" t="s">
        <v>115</v>
      </c>
      <c r="Z60" t="s">
        <v>2516</v>
      </c>
      <c r="AA60" t="s">
        <v>2516</v>
      </c>
      <c r="AB60" t="s">
        <v>3278</v>
      </c>
    </row>
    <row r="61" spans="1:28">
      <c r="A61">
        <v>10</v>
      </c>
      <c r="B61" t="s">
        <v>5</v>
      </c>
      <c r="C61">
        <v>45728</v>
      </c>
      <c r="D61">
        <v>45741</v>
      </c>
      <c r="E61" t="s">
        <v>3279</v>
      </c>
      <c r="F61" t="s">
        <v>315</v>
      </c>
      <c r="G61">
        <v>47244</v>
      </c>
      <c r="H61" t="s">
        <v>3064</v>
      </c>
      <c r="I61" t="s">
        <v>399</v>
      </c>
      <c r="J61">
        <v>5</v>
      </c>
      <c r="AB61" t="s">
        <v>3280</v>
      </c>
    </row>
    <row r="62" spans="1:28">
      <c r="A62">
        <v>11</v>
      </c>
      <c r="B62" t="s">
        <v>5</v>
      </c>
      <c r="C62">
        <v>45728</v>
      </c>
      <c r="D62">
        <v>45741</v>
      </c>
      <c r="E62" t="s">
        <v>3279</v>
      </c>
      <c r="F62" t="s">
        <v>315</v>
      </c>
      <c r="G62">
        <v>24856</v>
      </c>
      <c r="H62" t="s">
        <v>3283</v>
      </c>
      <c r="I62" t="s">
        <v>376</v>
      </c>
      <c r="J62">
        <v>3</v>
      </c>
      <c r="K62">
        <v>4</v>
      </c>
      <c r="L62">
        <v>12.5</v>
      </c>
      <c r="M62" t="s">
        <v>12</v>
      </c>
      <c r="N62" t="s">
        <v>313</v>
      </c>
      <c r="O62" t="s">
        <v>316</v>
      </c>
      <c r="P62" t="s">
        <v>317</v>
      </c>
      <c r="Q62" t="s">
        <v>3226</v>
      </c>
      <c r="R62" t="s">
        <v>3284</v>
      </c>
      <c r="S62">
        <v>45735</v>
      </c>
      <c r="Z62" t="s">
        <v>2516</v>
      </c>
      <c r="AB62" t="s">
        <v>12</v>
      </c>
    </row>
    <row r="63" spans="1:28">
      <c r="A63">
        <v>1</v>
      </c>
      <c r="B63" t="s">
        <v>5</v>
      </c>
      <c r="C63">
        <v>45742</v>
      </c>
      <c r="D63">
        <v>45755</v>
      </c>
      <c r="E63" t="s">
        <v>109</v>
      </c>
      <c r="F63" t="s">
        <v>1216</v>
      </c>
      <c r="G63">
        <v>47545</v>
      </c>
      <c r="H63" t="s">
        <v>3144</v>
      </c>
      <c r="I63" t="s">
        <v>306</v>
      </c>
      <c r="J63">
        <v>2</v>
      </c>
      <c r="K63">
        <v>1.25</v>
      </c>
      <c r="L63">
        <v>5</v>
      </c>
      <c r="M63" t="s">
        <v>320</v>
      </c>
      <c r="N63" t="s">
        <v>320</v>
      </c>
      <c r="O63" t="s">
        <v>320</v>
      </c>
      <c r="P63" t="s">
        <v>320</v>
      </c>
      <c r="Q63" t="s">
        <v>320</v>
      </c>
      <c r="R63" t="s">
        <v>320</v>
      </c>
      <c r="S63" t="s">
        <v>320</v>
      </c>
      <c r="T63" t="s">
        <v>320</v>
      </c>
      <c r="U63" t="s">
        <v>320</v>
      </c>
      <c r="V63" t="s">
        <v>320</v>
      </c>
      <c r="W63" t="s">
        <v>320</v>
      </c>
      <c r="X63" t="s">
        <v>320</v>
      </c>
      <c r="Y63" t="s">
        <v>320</v>
      </c>
      <c r="Z63" t="s">
        <v>320</v>
      </c>
      <c r="AA63" t="s">
        <v>320</v>
      </c>
      <c r="AB63" t="s">
        <v>3145</v>
      </c>
    </row>
    <row r="64" spans="1:28">
      <c r="A64">
        <v>2</v>
      </c>
      <c r="B64" t="s">
        <v>5</v>
      </c>
      <c r="C64">
        <v>45742</v>
      </c>
      <c r="D64">
        <v>45755</v>
      </c>
      <c r="E64" t="s">
        <v>109</v>
      </c>
      <c r="F64" t="s">
        <v>313</v>
      </c>
      <c r="G64">
        <v>24898</v>
      </c>
      <c r="H64" t="s">
        <v>3147</v>
      </c>
      <c r="I64" t="s">
        <v>376</v>
      </c>
      <c r="J64">
        <v>0</v>
      </c>
      <c r="K64">
        <v>2.5</v>
      </c>
      <c r="L64">
        <v>10</v>
      </c>
      <c r="M64" t="s">
        <v>12</v>
      </c>
      <c r="N64" t="s">
        <v>315</v>
      </c>
      <c r="O64" t="s">
        <v>316</v>
      </c>
      <c r="P64" t="s">
        <v>317</v>
      </c>
      <c r="Q64" t="s">
        <v>316</v>
      </c>
      <c r="R64" t="s">
        <v>3148</v>
      </c>
      <c r="S64">
        <v>45743</v>
      </c>
      <c r="T64">
        <v>45743</v>
      </c>
      <c r="U64" t="s">
        <v>12</v>
      </c>
      <c r="V64" t="s">
        <v>3149</v>
      </c>
      <c r="W64" t="s">
        <v>12</v>
      </c>
      <c r="X64" t="s">
        <v>320</v>
      </c>
      <c r="Y64" t="s">
        <v>115</v>
      </c>
      <c r="Z64" t="s">
        <v>2516</v>
      </c>
      <c r="AA64" t="s">
        <v>2516</v>
      </c>
      <c r="AB64" s="100" t="s">
        <v>3150</v>
      </c>
    </row>
    <row r="65" spans="1:28">
      <c r="A65">
        <v>3</v>
      </c>
      <c r="B65" t="s">
        <v>5</v>
      </c>
      <c r="C65">
        <v>45742</v>
      </c>
      <c r="D65">
        <v>45755</v>
      </c>
      <c r="E65" t="s">
        <v>109</v>
      </c>
      <c r="F65" t="s">
        <v>317</v>
      </c>
      <c r="G65" t="s">
        <v>3153</v>
      </c>
      <c r="H65" t="s">
        <v>3154</v>
      </c>
      <c r="I65" t="s">
        <v>376</v>
      </c>
      <c r="J65">
        <v>0</v>
      </c>
      <c r="K65">
        <v>0.25</v>
      </c>
      <c r="L65">
        <v>1</v>
      </c>
      <c r="M65" t="s">
        <v>320</v>
      </c>
      <c r="N65" t="s">
        <v>320</v>
      </c>
      <c r="O65" t="s">
        <v>320</v>
      </c>
      <c r="P65" t="s">
        <v>320</v>
      </c>
      <c r="Q65" t="s">
        <v>320</v>
      </c>
      <c r="R65" t="s">
        <v>320</v>
      </c>
      <c r="S65" t="s">
        <v>320</v>
      </c>
      <c r="T65" t="s">
        <v>320</v>
      </c>
      <c r="U65" t="s">
        <v>320</v>
      </c>
      <c r="V65" t="s">
        <v>320</v>
      </c>
      <c r="W65" t="s">
        <v>320</v>
      </c>
      <c r="X65" t="s">
        <v>320</v>
      </c>
      <c r="Y65" t="s">
        <v>320</v>
      </c>
      <c r="Z65" t="s">
        <v>320</v>
      </c>
      <c r="AA65" t="s">
        <v>320</v>
      </c>
      <c r="AB65" t="s">
        <v>3155</v>
      </c>
    </row>
    <row r="66" spans="1:28">
      <c r="A66">
        <v>4</v>
      </c>
      <c r="B66" t="s">
        <v>5</v>
      </c>
      <c r="C66">
        <v>45742</v>
      </c>
      <c r="D66">
        <v>45755</v>
      </c>
      <c r="E66" t="s">
        <v>109</v>
      </c>
      <c r="F66" t="s">
        <v>317</v>
      </c>
      <c r="G66" t="s">
        <v>3159</v>
      </c>
      <c r="H66" t="s">
        <v>3160</v>
      </c>
      <c r="I66" t="s">
        <v>376</v>
      </c>
      <c r="J66">
        <v>0</v>
      </c>
      <c r="K66">
        <v>0.25</v>
      </c>
      <c r="L66">
        <v>1</v>
      </c>
      <c r="M66" t="s">
        <v>320</v>
      </c>
      <c r="N66" t="s">
        <v>320</v>
      </c>
      <c r="O66" t="s">
        <v>320</v>
      </c>
      <c r="P66" t="s">
        <v>320</v>
      </c>
      <c r="Q66" t="s">
        <v>320</v>
      </c>
      <c r="R66" t="s">
        <v>320</v>
      </c>
      <c r="S66" t="s">
        <v>320</v>
      </c>
      <c r="T66" t="s">
        <v>320</v>
      </c>
      <c r="U66" t="s">
        <v>320</v>
      </c>
      <c r="V66" t="s">
        <v>320</v>
      </c>
      <c r="W66" t="s">
        <v>320</v>
      </c>
      <c r="X66" t="s">
        <v>320</v>
      </c>
      <c r="Y66" t="s">
        <v>320</v>
      </c>
      <c r="Z66" t="s">
        <v>320</v>
      </c>
      <c r="AA66" t="s">
        <v>320</v>
      </c>
      <c r="AB66" t="s">
        <v>3161</v>
      </c>
    </row>
    <row r="67" spans="1:28">
      <c r="A67">
        <v>5</v>
      </c>
      <c r="B67" t="s">
        <v>5</v>
      </c>
      <c r="C67">
        <v>45742</v>
      </c>
      <c r="D67">
        <v>45755</v>
      </c>
      <c r="E67" t="s">
        <v>109</v>
      </c>
      <c r="F67" t="s">
        <v>1216</v>
      </c>
      <c r="G67">
        <v>47695</v>
      </c>
      <c r="H67" t="s">
        <v>3162</v>
      </c>
      <c r="I67" t="s">
        <v>306</v>
      </c>
      <c r="J67">
        <v>3</v>
      </c>
      <c r="K67">
        <v>3.38</v>
      </c>
      <c r="L67">
        <v>13.52</v>
      </c>
      <c r="M67" t="s">
        <v>12</v>
      </c>
      <c r="N67" t="s">
        <v>313</v>
      </c>
      <c r="O67" t="s">
        <v>316</v>
      </c>
      <c r="P67" t="s">
        <v>115</v>
      </c>
      <c r="Q67" t="s">
        <v>320</v>
      </c>
      <c r="R67" t="s">
        <v>3163</v>
      </c>
      <c r="S67">
        <v>45748</v>
      </c>
      <c r="T67">
        <v>45750</v>
      </c>
      <c r="U67" t="s">
        <v>12</v>
      </c>
      <c r="V67" s="100" t="s">
        <v>3164</v>
      </c>
      <c r="W67" t="s">
        <v>12</v>
      </c>
      <c r="X67" t="s">
        <v>320</v>
      </c>
      <c r="Y67" t="s">
        <v>115</v>
      </c>
      <c r="Z67" t="s">
        <v>320</v>
      </c>
      <c r="AA67" t="s">
        <v>320</v>
      </c>
      <c r="AB67" t="s">
        <v>3165</v>
      </c>
    </row>
    <row r="68" spans="1:28">
      <c r="A68">
        <v>6</v>
      </c>
      <c r="B68" t="s">
        <v>5</v>
      </c>
      <c r="C68">
        <v>45742</v>
      </c>
      <c r="D68">
        <v>45755</v>
      </c>
      <c r="E68" t="s">
        <v>109</v>
      </c>
      <c r="F68" t="s">
        <v>317</v>
      </c>
      <c r="G68">
        <v>24949</v>
      </c>
      <c r="H68" t="s">
        <v>3172</v>
      </c>
      <c r="I68" t="s">
        <v>376</v>
      </c>
      <c r="J68">
        <v>0</v>
      </c>
      <c r="K68">
        <v>0</v>
      </c>
      <c r="L68">
        <v>0</v>
      </c>
      <c r="M68" t="s">
        <v>320</v>
      </c>
      <c r="N68" t="s">
        <v>320</v>
      </c>
      <c r="O68" t="s">
        <v>320</v>
      </c>
      <c r="P68" t="s">
        <v>320</v>
      </c>
      <c r="Q68" t="s">
        <v>320</v>
      </c>
      <c r="R68" t="s">
        <v>320</v>
      </c>
      <c r="S68" t="s">
        <v>320</v>
      </c>
      <c r="T68" t="s">
        <v>320</v>
      </c>
      <c r="U68" t="s">
        <v>320</v>
      </c>
      <c r="V68" t="s">
        <v>320</v>
      </c>
      <c r="W68" t="s">
        <v>320</v>
      </c>
      <c r="X68" t="s">
        <v>320</v>
      </c>
      <c r="Y68" t="s">
        <v>320</v>
      </c>
      <c r="Z68" t="s">
        <v>320</v>
      </c>
      <c r="AA68" t="s">
        <v>320</v>
      </c>
      <c r="AB68" t="s">
        <v>3173</v>
      </c>
    </row>
    <row r="69" spans="1:28">
      <c r="A69">
        <v>7</v>
      </c>
      <c r="B69" t="s">
        <v>5</v>
      </c>
      <c r="C69">
        <v>45742</v>
      </c>
      <c r="D69">
        <v>45755</v>
      </c>
      <c r="E69" t="s">
        <v>109</v>
      </c>
      <c r="F69" t="s">
        <v>315</v>
      </c>
      <c r="G69" t="s">
        <v>3063</v>
      </c>
      <c r="H69" t="s">
        <v>3064</v>
      </c>
      <c r="I69" t="s">
        <v>399</v>
      </c>
      <c r="J69">
        <v>2</v>
      </c>
      <c r="L69">
        <v>12</v>
      </c>
      <c r="AB69" s="100" t="s">
        <v>3174</v>
      </c>
    </row>
    <row r="70" spans="1:28">
      <c r="A70">
        <v>8</v>
      </c>
      <c r="B70" t="s">
        <v>5</v>
      </c>
      <c r="C70">
        <v>45742</v>
      </c>
      <c r="D70">
        <v>45755</v>
      </c>
      <c r="E70" t="s">
        <v>109</v>
      </c>
      <c r="F70" t="s">
        <v>315</v>
      </c>
      <c r="G70" t="s">
        <v>3078</v>
      </c>
      <c r="H70" t="s">
        <v>3079</v>
      </c>
      <c r="I70" t="s">
        <v>399</v>
      </c>
      <c r="J70">
        <v>5</v>
      </c>
      <c r="L70">
        <v>22.75</v>
      </c>
      <c r="AB70" s="100" t="s">
        <v>3174</v>
      </c>
    </row>
    <row r="71" spans="1:28">
      <c r="A71">
        <v>9</v>
      </c>
      <c r="B71" t="s">
        <v>5</v>
      </c>
      <c r="C71">
        <v>45742</v>
      </c>
      <c r="D71">
        <v>45755</v>
      </c>
      <c r="E71" t="s">
        <v>109</v>
      </c>
      <c r="F71" t="s">
        <v>315</v>
      </c>
      <c r="G71" t="s">
        <v>3081</v>
      </c>
      <c r="H71" t="s">
        <v>3082</v>
      </c>
      <c r="I71" t="s">
        <v>399</v>
      </c>
      <c r="J71">
        <v>5</v>
      </c>
      <c r="L71">
        <v>18</v>
      </c>
      <c r="AB71" s="100" t="s">
        <v>3174</v>
      </c>
    </row>
    <row r="72" spans="1:28">
      <c r="A72">
        <v>10</v>
      </c>
      <c r="B72" t="s">
        <v>5</v>
      </c>
      <c r="C72">
        <v>45742</v>
      </c>
      <c r="D72">
        <v>45755</v>
      </c>
      <c r="E72" t="s">
        <v>109</v>
      </c>
      <c r="F72" t="s">
        <v>313</v>
      </c>
      <c r="G72">
        <v>47472</v>
      </c>
      <c r="H72" t="s">
        <v>3185</v>
      </c>
      <c r="I72" t="s">
        <v>306</v>
      </c>
      <c r="J72">
        <v>2</v>
      </c>
      <c r="K72">
        <v>2</v>
      </c>
      <c r="L72">
        <v>8</v>
      </c>
      <c r="M72" t="s">
        <v>12</v>
      </c>
      <c r="N72" t="s">
        <v>315</v>
      </c>
      <c r="O72" t="s">
        <v>316</v>
      </c>
      <c r="P72" t="s">
        <v>317</v>
      </c>
      <c r="Q72" t="s">
        <v>316</v>
      </c>
      <c r="R72" t="s">
        <v>3186</v>
      </c>
      <c r="S72">
        <v>45743</v>
      </c>
      <c r="T72">
        <v>45743</v>
      </c>
      <c r="U72" t="s">
        <v>12</v>
      </c>
      <c r="V72" t="s">
        <v>3149</v>
      </c>
      <c r="W72" t="s">
        <v>12</v>
      </c>
      <c r="X72" t="s">
        <v>320</v>
      </c>
      <c r="Y72" t="s">
        <v>115</v>
      </c>
      <c r="Z72" t="s">
        <v>2516</v>
      </c>
      <c r="AA72" t="s">
        <v>2516</v>
      </c>
      <c r="AB72" t="s">
        <v>3187</v>
      </c>
    </row>
    <row r="73" spans="1:28">
      <c r="A73">
        <v>11</v>
      </c>
      <c r="B73" t="s">
        <v>5</v>
      </c>
      <c r="C73">
        <v>45742</v>
      </c>
      <c r="D73">
        <v>45755</v>
      </c>
      <c r="E73" t="s">
        <v>109</v>
      </c>
      <c r="F73" t="s">
        <v>313</v>
      </c>
      <c r="G73">
        <v>23665</v>
      </c>
      <c r="H73" t="s">
        <v>3190</v>
      </c>
      <c r="I73" t="s">
        <v>376</v>
      </c>
      <c r="J73">
        <v>3</v>
      </c>
      <c r="K73">
        <v>5.25</v>
      </c>
      <c r="L73">
        <v>21</v>
      </c>
      <c r="M73" t="s">
        <v>12</v>
      </c>
      <c r="N73" t="s">
        <v>315</v>
      </c>
      <c r="O73" t="s">
        <v>316</v>
      </c>
      <c r="P73" t="s">
        <v>315</v>
      </c>
      <c r="Q73" t="s">
        <v>316</v>
      </c>
      <c r="R73" t="s">
        <v>3191</v>
      </c>
      <c r="S73">
        <v>45750</v>
      </c>
      <c r="T73">
        <v>45750</v>
      </c>
      <c r="U73" t="s">
        <v>12</v>
      </c>
      <c r="V73" t="s">
        <v>3149</v>
      </c>
      <c r="W73" t="s">
        <v>12</v>
      </c>
      <c r="X73" t="s">
        <v>320</v>
      </c>
      <c r="Y73" t="s">
        <v>115</v>
      </c>
      <c r="Z73" t="s">
        <v>3192</v>
      </c>
      <c r="AA73" s="100" t="s">
        <v>3193</v>
      </c>
      <c r="AB73" t="s">
        <v>3194</v>
      </c>
    </row>
    <row r="74" spans="1:28">
      <c r="A74">
        <v>12</v>
      </c>
      <c r="B74" t="s">
        <v>5</v>
      </c>
      <c r="C74">
        <v>45742</v>
      </c>
      <c r="D74">
        <v>45755</v>
      </c>
      <c r="E74" t="s">
        <v>3201</v>
      </c>
      <c r="F74" t="s">
        <v>313</v>
      </c>
      <c r="G74">
        <v>24968</v>
      </c>
      <c r="H74" t="s">
        <v>3202</v>
      </c>
      <c r="I74" t="s">
        <v>376</v>
      </c>
      <c r="J74">
        <v>0</v>
      </c>
      <c r="K74">
        <v>2.25</v>
      </c>
      <c r="L74">
        <v>9.25</v>
      </c>
      <c r="M74" t="s">
        <v>12</v>
      </c>
      <c r="N74" t="s">
        <v>315</v>
      </c>
      <c r="O74" t="s">
        <v>316</v>
      </c>
      <c r="P74" t="s">
        <v>315</v>
      </c>
      <c r="Q74" t="s">
        <v>316</v>
      </c>
      <c r="R74" t="s">
        <v>320</v>
      </c>
      <c r="Z74" t="s">
        <v>2516</v>
      </c>
      <c r="AA74" t="s">
        <v>2516</v>
      </c>
      <c r="AB74" t="s">
        <v>3203</v>
      </c>
    </row>
    <row r="75" spans="1:28">
      <c r="A75">
        <v>13</v>
      </c>
      <c r="B75" t="s">
        <v>5</v>
      </c>
      <c r="C75">
        <v>45742</v>
      </c>
      <c r="D75">
        <v>45755</v>
      </c>
      <c r="E75" t="s">
        <v>3201</v>
      </c>
      <c r="F75" t="s">
        <v>313</v>
      </c>
      <c r="G75">
        <v>24971</v>
      </c>
      <c r="H75" t="s">
        <v>3084</v>
      </c>
      <c r="I75" t="s">
        <v>348</v>
      </c>
      <c r="J75">
        <v>3</v>
      </c>
      <c r="AB75" t="s">
        <v>3208</v>
      </c>
    </row>
    <row r="76" spans="1:28">
      <c r="A76">
        <v>1</v>
      </c>
      <c r="B76" t="s">
        <v>5</v>
      </c>
      <c r="C76">
        <v>45904</v>
      </c>
      <c r="D76" t="s">
        <v>3062</v>
      </c>
      <c r="E76" t="s">
        <v>114</v>
      </c>
      <c r="F76" t="s">
        <v>315</v>
      </c>
      <c r="G76" t="s">
        <v>3063</v>
      </c>
      <c r="H76" t="s">
        <v>3064</v>
      </c>
      <c r="I76" t="s">
        <v>306</v>
      </c>
      <c r="J76">
        <v>2</v>
      </c>
      <c r="K76">
        <v>3</v>
      </c>
      <c r="L76">
        <v>12</v>
      </c>
      <c r="M76" t="s">
        <v>319</v>
      </c>
      <c r="N76" t="s">
        <v>313</v>
      </c>
      <c r="O76" t="s">
        <v>115</v>
      </c>
      <c r="P76" t="s">
        <v>317</v>
      </c>
      <c r="Q76" s="100" t="s">
        <v>3065</v>
      </c>
      <c r="R76" t="s">
        <v>3066</v>
      </c>
      <c r="S76">
        <v>45762</v>
      </c>
      <c r="T76">
        <v>45762</v>
      </c>
      <c r="U76" t="s">
        <v>12</v>
      </c>
      <c r="V76" s="100" t="s">
        <v>3065</v>
      </c>
      <c r="W76" t="s">
        <v>319</v>
      </c>
      <c r="X76" t="s">
        <v>320</v>
      </c>
      <c r="Y76" t="s">
        <v>320</v>
      </c>
      <c r="Z76" t="s">
        <v>320</v>
      </c>
      <c r="AA76" t="s">
        <v>3067</v>
      </c>
      <c r="AB76" t="s">
        <v>3068</v>
      </c>
    </row>
    <row r="77" spans="1:28">
      <c r="A77">
        <v>2</v>
      </c>
      <c r="B77" t="s">
        <v>5</v>
      </c>
      <c r="C77">
        <v>45904</v>
      </c>
      <c r="D77" t="s">
        <v>3062</v>
      </c>
      <c r="E77" t="s">
        <v>114</v>
      </c>
      <c r="F77" t="s">
        <v>315</v>
      </c>
      <c r="G77" t="s">
        <v>3078</v>
      </c>
      <c r="H77" t="s">
        <v>3079</v>
      </c>
      <c r="I77" t="s">
        <v>306</v>
      </c>
      <c r="J77">
        <v>2</v>
      </c>
      <c r="K77">
        <v>6.25</v>
      </c>
      <c r="L77">
        <v>25</v>
      </c>
      <c r="M77" t="s">
        <v>319</v>
      </c>
      <c r="N77" t="s">
        <v>313</v>
      </c>
      <c r="O77" t="s">
        <v>115</v>
      </c>
      <c r="P77" t="s">
        <v>317</v>
      </c>
      <c r="Q77" t="s">
        <v>316</v>
      </c>
      <c r="R77" t="s">
        <v>3066</v>
      </c>
      <c r="S77">
        <v>45762</v>
      </c>
      <c r="T77">
        <v>45762</v>
      </c>
      <c r="U77" t="s">
        <v>12</v>
      </c>
      <c r="V77" t="s">
        <v>316</v>
      </c>
      <c r="W77" t="s">
        <v>319</v>
      </c>
      <c r="X77" t="s">
        <v>320</v>
      </c>
      <c r="Y77" t="s">
        <v>320</v>
      </c>
      <c r="Z77" t="s">
        <v>2516</v>
      </c>
      <c r="AA77" t="s">
        <v>2516</v>
      </c>
      <c r="AB77" t="s">
        <v>3068</v>
      </c>
    </row>
    <row r="78" spans="1:28">
      <c r="A78">
        <v>3</v>
      </c>
      <c r="B78" t="s">
        <v>5</v>
      </c>
      <c r="C78">
        <v>45904</v>
      </c>
      <c r="D78" t="s">
        <v>3062</v>
      </c>
      <c r="E78" t="s">
        <v>114</v>
      </c>
      <c r="F78" t="s">
        <v>315</v>
      </c>
      <c r="G78" t="s">
        <v>3081</v>
      </c>
      <c r="H78" t="s">
        <v>3082</v>
      </c>
      <c r="I78" t="s">
        <v>306</v>
      </c>
      <c r="J78">
        <v>2</v>
      </c>
      <c r="K78">
        <v>4</v>
      </c>
      <c r="L78">
        <v>16.5</v>
      </c>
      <c r="M78" t="s">
        <v>319</v>
      </c>
      <c r="N78" t="s">
        <v>313</v>
      </c>
      <c r="O78" t="s">
        <v>115</v>
      </c>
      <c r="P78" t="s">
        <v>317</v>
      </c>
      <c r="Q78" t="s">
        <v>316</v>
      </c>
      <c r="R78" t="s">
        <v>3066</v>
      </c>
      <c r="S78">
        <v>45762</v>
      </c>
      <c r="T78">
        <v>45762</v>
      </c>
      <c r="U78" t="s">
        <v>12</v>
      </c>
      <c r="V78" t="s">
        <v>316</v>
      </c>
      <c r="W78" t="s">
        <v>319</v>
      </c>
      <c r="X78" t="s">
        <v>320</v>
      </c>
      <c r="Y78" t="s">
        <v>320</v>
      </c>
      <c r="Z78" t="s">
        <v>2516</v>
      </c>
      <c r="AA78" t="s">
        <v>2516</v>
      </c>
      <c r="AB78" t="s">
        <v>3068</v>
      </c>
    </row>
    <row r="79" spans="1:28">
      <c r="A79">
        <v>4</v>
      </c>
      <c r="B79" t="s">
        <v>5</v>
      </c>
      <c r="C79">
        <v>45904</v>
      </c>
      <c r="D79" t="s">
        <v>3062</v>
      </c>
      <c r="E79" t="s">
        <v>114</v>
      </c>
      <c r="F79" t="s">
        <v>313</v>
      </c>
      <c r="G79">
        <v>24971</v>
      </c>
      <c r="H79" t="s">
        <v>3084</v>
      </c>
      <c r="I79" t="s">
        <v>376</v>
      </c>
      <c r="J79">
        <v>2</v>
      </c>
      <c r="K79">
        <v>3.5</v>
      </c>
      <c r="L79">
        <v>14</v>
      </c>
      <c r="M79" t="s">
        <v>12</v>
      </c>
      <c r="N79" t="s">
        <v>315</v>
      </c>
      <c r="O79" t="s">
        <v>316</v>
      </c>
      <c r="P79" t="s">
        <v>317</v>
      </c>
      <c r="Q79" t="s">
        <v>316</v>
      </c>
      <c r="R79" t="s">
        <v>320</v>
      </c>
      <c r="S79" t="s">
        <v>320</v>
      </c>
      <c r="T79" t="s">
        <v>320</v>
      </c>
      <c r="U79" t="s">
        <v>320</v>
      </c>
      <c r="V79" t="s">
        <v>320</v>
      </c>
      <c r="W79" t="s">
        <v>320</v>
      </c>
      <c r="X79" t="s">
        <v>320</v>
      </c>
      <c r="Y79" t="s">
        <v>320</v>
      </c>
      <c r="Z79" t="s">
        <v>2516</v>
      </c>
      <c r="AA79" t="s">
        <v>2516</v>
      </c>
      <c r="AB79" t="s">
        <v>1431</v>
      </c>
    </row>
    <row r="80" spans="1:28">
      <c r="A80">
        <v>5</v>
      </c>
      <c r="B80" t="s">
        <v>5</v>
      </c>
      <c r="C80">
        <v>45904</v>
      </c>
      <c r="D80" t="s">
        <v>3062</v>
      </c>
      <c r="E80" t="s">
        <v>114</v>
      </c>
      <c r="F80" t="s">
        <v>1692</v>
      </c>
      <c r="G80">
        <v>47275</v>
      </c>
      <c r="H80" t="s">
        <v>3091</v>
      </c>
      <c r="I80" t="s">
        <v>306</v>
      </c>
      <c r="J80">
        <v>3</v>
      </c>
      <c r="K80">
        <v>8</v>
      </c>
      <c r="L80">
        <v>32</v>
      </c>
      <c r="M80" t="s">
        <v>320</v>
      </c>
      <c r="N80" t="s">
        <v>115</v>
      </c>
      <c r="O80" t="s">
        <v>1207</v>
      </c>
      <c r="P80" t="s">
        <v>115</v>
      </c>
      <c r="Q80" t="s">
        <v>320</v>
      </c>
      <c r="R80" t="s">
        <v>320</v>
      </c>
      <c r="S80" t="s">
        <v>320</v>
      </c>
      <c r="T80" t="s">
        <v>320</v>
      </c>
      <c r="U80" t="s">
        <v>320</v>
      </c>
      <c r="V80" t="s">
        <v>320</v>
      </c>
      <c r="W80" t="s">
        <v>320</v>
      </c>
      <c r="X80" t="s">
        <v>320</v>
      </c>
      <c r="Y80" t="s">
        <v>320</v>
      </c>
      <c r="Z80" t="s">
        <v>320</v>
      </c>
      <c r="AA80" t="s">
        <v>320</v>
      </c>
      <c r="AB80" t="s">
        <v>3092</v>
      </c>
    </row>
    <row r="81" spans="1:28">
      <c r="A81">
        <v>6</v>
      </c>
      <c r="B81" t="s">
        <v>5</v>
      </c>
      <c r="C81">
        <v>45904</v>
      </c>
      <c r="D81" t="s">
        <v>3062</v>
      </c>
      <c r="E81" t="s">
        <v>114</v>
      </c>
      <c r="F81" t="s">
        <v>2251</v>
      </c>
      <c r="G81">
        <v>47366</v>
      </c>
      <c r="H81" t="s">
        <v>3099</v>
      </c>
      <c r="I81" t="s">
        <v>306</v>
      </c>
      <c r="J81">
        <v>2</v>
      </c>
      <c r="K81">
        <v>2.25</v>
      </c>
      <c r="L81">
        <v>9</v>
      </c>
      <c r="M81" t="s">
        <v>320</v>
      </c>
      <c r="N81" t="s">
        <v>317</v>
      </c>
      <c r="O81" t="s">
        <v>316</v>
      </c>
      <c r="P81" t="s">
        <v>317</v>
      </c>
      <c r="Q81" t="s">
        <v>316</v>
      </c>
      <c r="R81" t="s">
        <v>3100</v>
      </c>
      <c r="S81" t="s">
        <v>3101</v>
      </c>
      <c r="T81" t="s">
        <v>3102</v>
      </c>
      <c r="U81" t="s">
        <v>12</v>
      </c>
      <c r="V81" t="s">
        <v>320</v>
      </c>
      <c r="W81" t="s">
        <v>12</v>
      </c>
      <c r="X81" t="s">
        <v>320</v>
      </c>
      <c r="Y81" t="s">
        <v>320</v>
      </c>
      <c r="Z81" t="s">
        <v>320</v>
      </c>
      <c r="AA81" t="s">
        <v>320</v>
      </c>
      <c r="AB81" t="s">
        <v>3103</v>
      </c>
    </row>
    <row r="82" spans="1:28">
      <c r="A82">
        <v>7</v>
      </c>
      <c r="B82" t="s">
        <v>5</v>
      </c>
      <c r="C82">
        <v>45904</v>
      </c>
      <c r="D82" t="s">
        <v>3062</v>
      </c>
      <c r="E82" t="s">
        <v>114</v>
      </c>
      <c r="F82" t="s">
        <v>317</v>
      </c>
      <c r="G82">
        <v>46800</v>
      </c>
      <c r="H82" t="s">
        <v>3108</v>
      </c>
      <c r="I82" t="s">
        <v>306</v>
      </c>
      <c r="J82">
        <v>3</v>
      </c>
      <c r="K82">
        <v>8.81</v>
      </c>
      <c r="L82">
        <v>35.25</v>
      </c>
      <c r="M82" t="s">
        <v>12</v>
      </c>
      <c r="N82" t="s">
        <v>315</v>
      </c>
      <c r="O82" t="s">
        <v>316</v>
      </c>
      <c r="P82" t="s">
        <v>313</v>
      </c>
      <c r="Q82" t="s">
        <v>316</v>
      </c>
      <c r="R82" t="s">
        <v>3109</v>
      </c>
      <c r="S82">
        <v>45768</v>
      </c>
      <c r="T82">
        <v>45768</v>
      </c>
      <c r="U82" t="s">
        <v>12</v>
      </c>
      <c r="V82" t="s">
        <v>320</v>
      </c>
      <c r="W82" t="s">
        <v>12</v>
      </c>
      <c r="X82" t="s">
        <v>320</v>
      </c>
      <c r="Y82" t="s">
        <v>320</v>
      </c>
      <c r="Z82" s="100" t="s">
        <v>3110</v>
      </c>
      <c r="AA82" t="s">
        <v>3111</v>
      </c>
      <c r="AB82" t="s">
        <v>3112</v>
      </c>
    </row>
    <row r="83" spans="1:28">
      <c r="A83">
        <v>8</v>
      </c>
      <c r="B83" t="s">
        <v>5</v>
      </c>
      <c r="C83">
        <v>45904</v>
      </c>
      <c r="D83" t="s">
        <v>3062</v>
      </c>
      <c r="E83" t="s">
        <v>114</v>
      </c>
      <c r="F83" t="s">
        <v>3122</v>
      </c>
      <c r="G83">
        <v>47794</v>
      </c>
      <c r="H83" t="s">
        <v>3123</v>
      </c>
      <c r="I83" t="s">
        <v>306</v>
      </c>
      <c r="J83">
        <v>3</v>
      </c>
      <c r="K83">
        <v>1.1200000000000001</v>
      </c>
      <c r="L83">
        <v>4.5</v>
      </c>
      <c r="AB83" t="s">
        <v>3124</v>
      </c>
    </row>
    <row r="84" spans="1:28">
      <c r="A84">
        <v>9</v>
      </c>
      <c r="B84" t="s">
        <v>5</v>
      </c>
      <c r="C84">
        <v>45904</v>
      </c>
      <c r="D84" t="s">
        <v>3062</v>
      </c>
      <c r="E84" t="s">
        <v>3127</v>
      </c>
      <c r="F84" t="s">
        <v>1216</v>
      </c>
      <c r="G84">
        <v>47842</v>
      </c>
      <c r="H84" t="s">
        <v>2798</v>
      </c>
      <c r="I84" t="s">
        <v>399</v>
      </c>
      <c r="J84">
        <v>3</v>
      </c>
      <c r="L84">
        <v>4</v>
      </c>
      <c r="M84" t="s">
        <v>320</v>
      </c>
      <c r="N84" t="s">
        <v>115</v>
      </c>
      <c r="O84" t="s">
        <v>1207</v>
      </c>
      <c r="P84" t="s">
        <v>115</v>
      </c>
      <c r="Q84" t="s">
        <v>320</v>
      </c>
      <c r="R84" t="s">
        <v>320</v>
      </c>
      <c r="S84" t="s">
        <v>320</v>
      </c>
      <c r="T84" t="s">
        <v>320</v>
      </c>
      <c r="U84" t="s">
        <v>320</v>
      </c>
      <c r="V84" t="s">
        <v>320</v>
      </c>
      <c r="W84" t="s">
        <v>320</v>
      </c>
      <c r="X84" t="s">
        <v>320</v>
      </c>
      <c r="Y84" t="s">
        <v>320</v>
      </c>
      <c r="Z84" t="s">
        <v>320</v>
      </c>
      <c r="AA84" t="s">
        <v>320</v>
      </c>
      <c r="AB84" t="s">
        <v>3128</v>
      </c>
    </row>
    <row r="85" spans="1:28">
      <c r="A85">
        <v>10</v>
      </c>
      <c r="B85" t="s">
        <v>5</v>
      </c>
      <c r="C85">
        <v>45904</v>
      </c>
      <c r="D85" t="s">
        <v>3062</v>
      </c>
      <c r="E85" t="s">
        <v>3127</v>
      </c>
      <c r="F85" t="s">
        <v>313</v>
      </c>
      <c r="G85">
        <v>47068</v>
      </c>
      <c r="H85" t="s">
        <v>3003</v>
      </c>
      <c r="I85" t="s">
        <v>338</v>
      </c>
      <c r="J85">
        <v>2</v>
      </c>
      <c r="L85">
        <v>12</v>
      </c>
      <c r="M85" t="s">
        <v>12</v>
      </c>
      <c r="N85" t="s">
        <v>315</v>
      </c>
      <c r="O85" t="s">
        <v>316</v>
      </c>
      <c r="P85" t="s">
        <v>317</v>
      </c>
      <c r="Q85" t="s">
        <v>316</v>
      </c>
      <c r="Z85" t="s">
        <v>2516</v>
      </c>
      <c r="AA85" t="s">
        <v>2516</v>
      </c>
      <c r="AB85" t="s">
        <v>3129</v>
      </c>
    </row>
    <row r="86" spans="1:28">
      <c r="A86">
        <v>11</v>
      </c>
      <c r="B86" t="s">
        <v>5</v>
      </c>
      <c r="C86">
        <v>45904</v>
      </c>
      <c r="D86" t="s">
        <v>3062</v>
      </c>
      <c r="E86" t="s">
        <v>3127</v>
      </c>
      <c r="F86" t="s">
        <v>315</v>
      </c>
      <c r="G86" t="s">
        <v>3131</v>
      </c>
      <c r="H86" t="s">
        <v>2993</v>
      </c>
      <c r="I86" t="s">
        <v>399</v>
      </c>
      <c r="J86">
        <v>5</v>
      </c>
      <c r="L86">
        <v>9.75</v>
      </c>
      <c r="AB86" t="s">
        <v>3132</v>
      </c>
    </row>
    <row r="87" spans="1:28">
      <c r="A87">
        <v>1</v>
      </c>
      <c r="B87" t="s">
        <v>5</v>
      </c>
      <c r="C87">
        <v>45770</v>
      </c>
      <c r="D87">
        <v>45783</v>
      </c>
      <c r="E87" t="s">
        <v>119</v>
      </c>
      <c r="F87" t="s">
        <v>315</v>
      </c>
      <c r="G87">
        <v>47936</v>
      </c>
      <c r="H87" t="s">
        <v>2993</v>
      </c>
      <c r="I87" t="s">
        <v>306</v>
      </c>
      <c r="J87">
        <v>5</v>
      </c>
      <c r="K87">
        <v>8.43</v>
      </c>
      <c r="L87">
        <v>33.75</v>
      </c>
      <c r="M87" t="s">
        <v>12</v>
      </c>
      <c r="N87" t="s">
        <v>313</v>
      </c>
      <c r="O87" t="s">
        <v>316</v>
      </c>
      <c r="P87" t="s">
        <v>317</v>
      </c>
      <c r="Q87" t="s">
        <v>316</v>
      </c>
      <c r="R87" t="s">
        <v>2994</v>
      </c>
      <c r="S87">
        <v>45775</v>
      </c>
      <c r="T87">
        <v>45775</v>
      </c>
      <c r="U87" t="s">
        <v>12</v>
      </c>
      <c r="V87" t="s">
        <v>316</v>
      </c>
      <c r="W87" t="s">
        <v>319</v>
      </c>
      <c r="X87" t="s">
        <v>320</v>
      </c>
      <c r="Y87" t="s">
        <v>320</v>
      </c>
      <c r="Z87" t="s">
        <v>2516</v>
      </c>
      <c r="AA87" t="s">
        <v>2516</v>
      </c>
      <c r="AB87" t="s">
        <v>2995</v>
      </c>
    </row>
    <row r="88" spans="1:28">
      <c r="A88">
        <v>2</v>
      </c>
      <c r="B88" t="s">
        <v>5</v>
      </c>
      <c r="C88">
        <v>45770</v>
      </c>
      <c r="D88">
        <v>45783</v>
      </c>
      <c r="E88" t="s">
        <v>119</v>
      </c>
      <c r="F88" t="s">
        <v>313</v>
      </c>
      <c r="G88">
        <v>47068</v>
      </c>
      <c r="H88" t="s">
        <v>3003</v>
      </c>
      <c r="I88" t="s">
        <v>306</v>
      </c>
      <c r="J88">
        <v>1</v>
      </c>
      <c r="K88">
        <v>0.625</v>
      </c>
      <c r="L88">
        <v>2.5</v>
      </c>
      <c r="M88" t="s">
        <v>12</v>
      </c>
      <c r="N88" t="s">
        <v>315</v>
      </c>
      <c r="O88" t="s">
        <v>316</v>
      </c>
      <c r="P88" t="s">
        <v>317</v>
      </c>
      <c r="Q88" t="s">
        <v>316</v>
      </c>
      <c r="R88" t="s">
        <v>3004</v>
      </c>
      <c r="S88">
        <v>45770</v>
      </c>
      <c r="T88">
        <v>45770</v>
      </c>
      <c r="U88" t="s">
        <v>12</v>
      </c>
      <c r="V88" t="s">
        <v>316</v>
      </c>
      <c r="W88" t="s">
        <v>319</v>
      </c>
      <c r="X88" t="s">
        <v>320</v>
      </c>
      <c r="Y88" t="s">
        <v>320</v>
      </c>
      <c r="Z88" t="s">
        <v>2516</v>
      </c>
      <c r="AA88" t="s">
        <v>2516</v>
      </c>
      <c r="AB88" t="s">
        <v>3005</v>
      </c>
    </row>
    <row r="89" spans="1:28">
      <c r="A89">
        <v>3</v>
      </c>
      <c r="B89" t="s">
        <v>5</v>
      </c>
      <c r="C89">
        <v>45770</v>
      </c>
      <c r="D89">
        <v>45783</v>
      </c>
      <c r="E89" t="s">
        <v>119</v>
      </c>
      <c r="F89" t="s">
        <v>317</v>
      </c>
      <c r="G89">
        <v>86157</v>
      </c>
      <c r="H89" s="100" t="s">
        <v>3009</v>
      </c>
      <c r="I89" t="s">
        <v>306</v>
      </c>
      <c r="J89">
        <v>0</v>
      </c>
      <c r="K89">
        <v>0.25</v>
      </c>
      <c r="L89">
        <v>1</v>
      </c>
      <c r="M89" t="s">
        <v>12</v>
      </c>
      <c r="AB89" t="s">
        <v>3010</v>
      </c>
    </row>
    <row r="90" spans="1:28">
      <c r="A90">
        <v>4</v>
      </c>
      <c r="B90" t="s">
        <v>5</v>
      </c>
      <c r="C90">
        <v>45770</v>
      </c>
      <c r="D90">
        <v>45783</v>
      </c>
      <c r="E90" t="s">
        <v>119</v>
      </c>
      <c r="F90" t="s">
        <v>1216</v>
      </c>
      <c r="G90">
        <v>48047</v>
      </c>
      <c r="H90" t="s">
        <v>3014</v>
      </c>
      <c r="I90" t="s">
        <v>306</v>
      </c>
      <c r="J90">
        <v>3</v>
      </c>
      <c r="K90">
        <v>3</v>
      </c>
      <c r="L90">
        <v>12</v>
      </c>
      <c r="AB90" t="s">
        <v>12</v>
      </c>
    </row>
    <row r="91" spans="1:28">
      <c r="A91">
        <v>5</v>
      </c>
      <c r="B91" t="s">
        <v>5</v>
      </c>
      <c r="C91">
        <v>45770</v>
      </c>
      <c r="D91">
        <v>45783</v>
      </c>
      <c r="E91" t="s">
        <v>119</v>
      </c>
      <c r="F91" t="s">
        <v>313</v>
      </c>
      <c r="G91">
        <v>48045</v>
      </c>
      <c r="H91" t="s">
        <v>627</v>
      </c>
      <c r="I91" t="s">
        <v>306</v>
      </c>
      <c r="J91">
        <v>2</v>
      </c>
      <c r="K91">
        <v>1.5</v>
      </c>
      <c r="L91">
        <v>6</v>
      </c>
      <c r="M91" t="s">
        <v>320</v>
      </c>
      <c r="N91" t="s">
        <v>320</v>
      </c>
      <c r="O91" t="s">
        <v>320</v>
      </c>
      <c r="P91" t="s">
        <v>320</v>
      </c>
      <c r="Q91" t="s">
        <v>320</v>
      </c>
      <c r="R91" t="s">
        <v>320</v>
      </c>
      <c r="S91" t="s">
        <v>320</v>
      </c>
      <c r="T91" t="s">
        <v>320</v>
      </c>
      <c r="U91" t="s">
        <v>320</v>
      </c>
      <c r="V91" t="s">
        <v>320</v>
      </c>
      <c r="W91" t="s">
        <v>320</v>
      </c>
      <c r="X91" t="s">
        <v>320</v>
      </c>
      <c r="Y91" t="s">
        <v>320</v>
      </c>
      <c r="Z91" t="s">
        <v>320</v>
      </c>
      <c r="AA91" t="s">
        <v>320</v>
      </c>
      <c r="AB91" t="s">
        <v>12</v>
      </c>
    </row>
    <row r="92" spans="1:28">
      <c r="A92">
        <v>6</v>
      </c>
      <c r="B92" t="s">
        <v>5</v>
      </c>
      <c r="C92">
        <v>45770</v>
      </c>
      <c r="D92">
        <v>45783</v>
      </c>
      <c r="E92" t="s">
        <v>119</v>
      </c>
      <c r="F92" t="s">
        <v>1216</v>
      </c>
      <c r="G92">
        <v>48037</v>
      </c>
      <c r="H92" t="s">
        <v>1666</v>
      </c>
      <c r="I92" t="s">
        <v>306</v>
      </c>
      <c r="J92">
        <v>2</v>
      </c>
      <c r="K92">
        <v>2.75</v>
      </c>
      <c r="L92">
        <v>11</v>
      </c>
      <c r="AB92" t="s">
        <v>12</v>
      </c>
    </row>
    <row r="93" spans="1:28">
      <c r="A93">
        <v>7</v>
      </c>
      <c r="B93" t="s">
        <v>5</v>
      </c>
      <c r="C93">
        <v>45770</v>
      </c>
      <c r="D93">
        <v>45783</v>
      </c>
      <c r="E93" t="s">
        <v>119</v>
      </c>
      <c r="F93" t="s">
        <v>313</v>
      </c>
      <c r="G93">
        <v>48040</v>
      </c>
      <c r="H93" s="100" t="s">
        <v>3024</v>
      </c>
      <c r="I93" t="s">
        <v>306</v>
      </c>
      <c r="J93">
        <v>1</v>
      </c>
      <c r="K93">
        <v>0.5</v>
      </c>
      <c r="L93">
        <v>2</v>
      </c>
      <c r="M93" t="s">
        <v>320</v>
      </c>
      <c r="N93" t="s">
        <v>320</v>
      </c>
      <c r="O93" t="s">
        <v>320</v>
      </c>
      <c r="P93" t="s">
        <v>320</v>
      </c>
      <c r="Q93" t="s">
        <v>320</v>
      </c>
      <c r="R93" t="s">
        <v>320</v>
      </c>
      <c r="S93" t="s">
        <v>320</v>
      </c>
      <c r="T93" t="s">
        <v>320</v>
      </c>
      <c r="U93" t="s">
        <v>320</v>
      </c>
      <c r="V93" t="s">
        <v>320</v>
      </c>
      <c r="W93" t="s">
        <v>320</v>
      </c>
      <c r="X93" t="s">
        <v>320</v>
      </c>
      <c r="Y93" t="s">
        <v>320</v>
      </c>
      <c r="Z93" t="s">
        <v>320</v>
      </c>
      <c r="AA93" t="s">
        <v>320</v>
      </c>
      <c r="AB93" t="s">
        <v>12</v>
      </c>
    </row>
    <row r="94" spans="1:28">
      <c r="A94">
        <v>8</v>
      </c>
      <c r="B94" t="s">
        <v>5</v>
      </c>
      <c r="C94">
        <v>45770</v>
      </c>
      <c r="D94">
        <v>45783</v>
      </c>
      <c r="E94" t="s">
        <v>119</v>
      </c>
      <c r="F94" t="s">
        <v>315</v>
      </c>
      <c r="G94">
        <v>48041</v>
      </c>
      <c r="H94" t="s">
        <v>583</v>
      </c>
      <c r="I94" t="s">
        <v>306</v>
      </c>
      <c r="J94">
        <v>2</v>
      </c>
      <c r="K94">
        <v>2.25</v>
      </c>
      <c r="L94">
        <v>9</v>
      </c>
      <c r="M94" t="s">
        <v>320</v>
      </c>
      <c r="N94" t="s">
        <v>320</v>
      </c>
      <c r="O94" t="s">
        <v>320</v>
      </c>
      <c r="P94" t="s">
        <v>320</v>
      </c>
      <c r="Q94" t="s">
        <v>320</v>
      </c>
      <c r="R94" t="s">
        <v>320</v>
      </c>
      <c r="S94" t="s">
        <v>320</v>
      </c>
      <c r="T94" t="s">
        <v>320</v>
      </c>
      <c r="U94" t="s">
        <v>320</v>
      </c>
      <c r="V94" t="s">
        <v>320</v>
      </c>
      <c r="W94" t="s">
        <v>320</v>
      </c>
      <c r="X94" t="s">
        <v>320</v>
      </c>
      <c r="Y94" t="s">
        <v>320</v>
      </c>
      <c r="Z94" t="s">
        <v>320</v>
      </c>
      <c r="AA94" t="s">
        <v>320</v>
      </c>
      <c r="AB94" t="s">
        <v>12</v>
      </c>
    </row>
    <row r="95" spans="1:28">
      <c r="A95">
        <v>9</v>
      </c>
      <c r="B95" t="s">
        <v>5</v>
      </c>
      <c r="C95">
        <v>45770</v>
      </c>
      <c r="D95">
        <v>45783</v>
      </c>
      <c r="E95" t="s">
        <v>119</v>
      </c>
      <c r="F95" t="s">
        <v>317</v>
      </c>
      <c r="G95">
        <v>48042</v>
      </c>
      <c r="H95" t="s">
        <v>596</v>
      </c>
      <c r="I95" t="s">
        <v>306</v>
      </c>
      <c r="J95">
        <v>3</v>
      </c>
      <c r="K95">
        <v>5.75</v>
      </c>
      <c r="L95">
        <v>23</v>
      </c>
      <c r="AB95" t="s">
        <v>12</v>
      </c>
    </row>
    <row r="96" spans="1:28">
      <c r="A96">
        <v>10</v>
      </c>
      <c r="B96" t="s">
        <v>5</v>
      </c>
      <c r="C96">
        <v>45770</v>
      </c>
      <c r="D96">
        <v>45783</v>
      </c>
      <c r="E96" t="s">
        <v>119</v>
      </c>
      <c r="F96" t="s">
        <v>1148</v>
      </c>
      <c r="G96">
        <v>48043</v>
      </c>
      <c r="H96" t="s">
        <v>1149</v>
      </c>
      <c r="I96" t="s">
        <v>306</v>
      </c>
      <c r="J96">
        <v>2</v>
      </c>
      <c r="K96">
        <v>3</v>
      </c>
      <c r="L96">
        <v>12</v>
      </c>
      <c r="M96" t="s">
        <v>320</v>
      </c>
      <c r="N96" t="s">
        <v>320</v>
      </c>
      <c r="O96" t="s">
        <v>320</v>
      </c>
      <c r="P96" t="s">
        <v>320</v>
      </c>
      <c r="Q96" t="s">
        <v>320</v>
      </c>
      <c r="R96" t="s">
        <v>320</v>
      </c>
      <c r="S96" t="s">
        <v>320</v>
      </c>
      <c r="T96" t="s">
        <v>320</v>
      </c>
      <c r="U96" t="s">
        <v>320</v>
      </c>
      <c r="V96" t="s">
        <v>320</v>
      </c>
      <c r="W96" t="s">
        <v>320</v>
      </c>
      <c r="X96" t="s">
        <v>320</v>
      </c>
      <c r="Y96" t="s">
        <v>320</v>
      </c>
      <c r="Z96" t="s">
        <v>320</v>
      </c>
      <c r="AA96" t="s">
        <v>320</v>
      </c>
      <c r="AB96" t="s">
        <v>12</v>
      </c>
    </row>
    <row r="97" spans="1:28">
      <c r="A97">
        <v>11</v>
      </c>
      <c r="B97" t="s">
        <v>5</v>
      </c>
      <c r="C97">
        <v>45770</v>
      </c>
      <c r="D97">
        <v>45783</v>
      </c>
      <c r="E97" t="s">
        <v>119</v>
      </c>
      <c r="F97" t="s">
        <v>313</v>
      </c>
      <c r="G97">
        <v>48044</v>
      </c>
      <c r="H97" s="100" t="s">
        <v>2491</v>
      </c>
      <c r="I97" t="s">
        <v>306</v>
      </c>
      <c r="J97">
        <v>2</v>
      </c>
      <c r="K97">
        <v>1</v>
      </c>
      <c r="L97">
        <v>4</v>
      </c>
      <c r="M97" t="s">
        <v>320</v>
      </c>
      <c r="N97" t="s">
        <v>320</v>
      </c>
      <c r="O97" t="s">
        <v>320</v>
      </c>
      <c r="P97" t="s">
        <v>320</v>
      </c>
      <c r="Q97" t="s">
        <v>320</v>
      </c>
      <c r="R97" t="s">
        <v>320</v>
      </c>
      <c r="S97" t="s">
        <v>320</v>
      </c>
      <c r="T97" t="s">
        <v>320</v>
      </c>
      <c r="U97" t="s">
        <v>320</v>
      </c>
      <c r="V97" t="s">
        <v>320</v>
      </c>
      <c r="W97" t="s">
        <v>320</v>
      </c>
      <c r="X97" t="s">
        <v>320</v>
      </c>
      <c r="Y97" t="s">
        <v>320</v>
      </c>
      <c r="Z97" t="s">
        <v>320</v>
      </c>
      <c r="AA97" t="s">
        <v>320</v>
      </c>
      <c r="AB97" t="s">
        <v>12</v>
      </c>
    </row>
    <row r="98" spans="1:28">
      <c r="A98">
        <v>12</v>
      </c>
      <c r="B98" t="s">
        <v>5</v>
      </c>
      <c r="C98">
        <v>45770</v>
      </c>
      <c r="D98">
        <v>45783</v>
      </c>
      <c r="E98" t="s">
        <v>3031</v>
      </c>
      <c r="F98" t="s">
        <v>317</v>
      </c>
      <c r="G98">
        <v>48023</v>
      </c>
      <c r="H98" s="100" t="s">
        <v>3032</v>
      </c>
      <c r="I98" t="s">
        <v>399</v>
      </c>
      <c r="J98">
        <v>3</v>
      </c>
      <c r="M98" t="s">
        <v>12</v>
      </c>
      <c r="N98" t="s">
        <v>313</v>
      </c>
      <c r="O98" t="s">
        <v>3033</v>
      </c>
      <c r="R98" t="s">
        <v>3034</v>
      </c>
      <c r="S98">
        <v>45775</v>
      </c>
      <c r="T98">
        <v>45775</v>
      </c>
      <c r="U98" t="s">
        <v>12</v>
      </c>
      <c r="V98" t="s">
        <v>316</v>
      </c>
      <c r="Z98" s="100" t="s">
        <v>3035</v>
      </c>
      <c r="AB98" t="s">
        <v>3036</v>
      </c>
    </row>
    <row r="99" spans="1:28">
      <c r="A99">
        <v>13</v>
      </c>
      <c r="B99" t="s">
        <v>5</v>
      </c>
      <c r="C99">
        <v>45770</v>
      </c>
      <c r="D99">
        <v>45783</v>
      </c>
      <c r="E99" t="s">
        <v>3044</v>
      </c>
      <c r="F99" t="s">
        <v>313</v>
      </c>
      <c r="G99">
        <v>24567</v>
      </c>
      <c r="H99" t="s">
        <v>3045</v>
      </c>
      <c r="I99" t="s">
        <v>399</v>
      </c>
      <c r="J99">
        <v>5</v>
      </c>
      <c r="L99">
        <v>8</v>
      </c>
      <c r="AB99" t="s">
        <v>3046</v>
      </c>
    </row>
    <row r="100" spans="1:28">
      <c r="A100">
        <v>14</v>
      </c>
      <c r="B100" t="s">
        <v>5</v>
      </c>
      <c r="C100">
        <v>45770</v>
      </c>
      <c r="D100">
        <v>45783</v>
      </c>
      <c r="E100" t="s">
        <v>119</v>
      </c>
      <c r="F100" t="s">
        <v>317</v>
      </c>
      <c r="G100">
        <v>86171</v>
      </c>
      <c r="H100" t="s">
        <v>3051</v>
      </c>
      <c r="I100" t="s">
        <v>306</v>
      </c>
      <c r="J100">
        <v>0</v>
      </c>
      <c r="K100">
        <v>2.25</v>
      </c>
      <c r="L100">
        <v>9</v>
      </c>
      <c r="M100" t="s">
        <v>320</v>
      </c>
      <c r="N100" t="s">
        <v>320</v>
      </c>
      <c r="O100" t="s">
        <v>320</v>
      </c>
      <c r="P100" t="s">
        <v>320</v>
      </c>
      <c r="Q100" t="s">
        <v>320</v>
      </c>
      <c r="R100" t="s">
        <v>320</v>
      </c>
      <c r="S100" t="s">
        <v>320</v>
      </c>
      <c r="T100" t="s">
        <v>320</v>
      </c>
      <c r="U100" t="s">
        <v>320</v>
      </c>
      <c r="V100" t="s">
        <v>320</v>
      </c>
      <c r="W100" t="s">
        <v>320</v>
      </c>
      <c r="X100" t="s">
        <v>320</v>
      </c>
      <c r="Y100" t="s">
        <v>320</v>
      </c>
      <c r="Z100" t="s">
        <v>320</v>
      </c>
      <c r="AA100" t="s">
        <v>320</v>
      </c>
      <c r="AB100" t="s">
        <v>3052</v>
      </c>
    </row>
    <row r="101" spans="1:28">
      <c r="A101">
        <v>15</v>
      </c>
      <c r="B101" t="s">
        <v>5</v>
      </c>
      <c r="C101">
        <v>45770</v>
      </c>
      <c r="D101">
        <v>45783</v>
      </c>
      <c r="E101" t="s">
        <v>3044</v>
      </c>
      <c r="F101" t="s">
        <v>315</v>
      </c>
      <c r="G101">
        <v>47276</v>
      </c>
      <c r="H101" t="s">
        <v>3054</v>
      </c>
      <c r="I101" t="s">
        <v>369</v>
      </c>
      <c r="J101">
        <v>2</v>
      </c>
      <c r="L101">
        <v>5</v>
      </c>
      <c r="M101" t="s">
        <v>320</v>
      </c>
      <c r="N101" t="s">
        <v>320</v>
      </c>
      <c r="O101" t="s">
        <v>320</v>
      </c>
      <c r="P101" t="s">
        <v>320</v>
      </c>
      <c r="Q101" t="s">
        <v>320</v>
      </c>
      <c r="R101" t="s">
        <v>320</v>
      </c>
      <c r="S101" t="s">
        <v>320</v>
      </c>
      <c r="T101" t="s">
        <v>320</v>
      </c>
      <c r="U101" t="s">
        <v>320</v>
      </c>
      <c r="V101" t="s">
        <v>320</v>
      </c>
      <c r="W101" t="s">
        <v>320</v>
      </c>
      <c r="X101" t="s">
        <v>320</v>
      </c>
      <c r="Y101" t="s">
        <v>320</v>
      </c>
      <c r="Z101" t="s">
        <v>320</v>
      </c>
      <c r="AA101" t="s">
        <v>320</v>
      </c>
      <c r="AB101" t="s">
        <v>3055</v>
      </c>
    </row>
    <row r="102" spans="1:28">
      <c r="A102">
        <v>1</v>
      </c>
      <c r="B102" t="s">
        <v>5</v>
      </c>
      <c r="C102">
        <v>45784</v>
      </c>
      <c r="D102">
        <v>45797</v>
      </c>
      <c r="E102" t="s">
        <v>124</v>
      </c>
      <c r="F102" t="s">
        <v>315</v>
      </c>
      <c r="G102" t="s">
        <v>2902</v>
      </c>
      <c r="H102" t="s">
        <v>2903</v>
      </c>
      <c r="I102" t="s">
        <v>306</v>
      </c>
      <c r="J102">
        <v>3</v>
      </c>
      <c r="K102">
        <v>8.25</v>
      </c>
      <c r="L102">
        <v>33</v>
      </c>
      <c r="M102" t="s">
        <v>12</v>
      </c>
      <c r="N102" t="s">
        <v>313</v>
      </c>
      <c r="O102" t="s">
        <v>316</v>
      </c>
      <c r="P102" t="s">
        <v>317</v>
      </c>
      <c r="Q102" t="s">
        <v>2904</v>
      </c>
      <c r="R102" t="s">
        <v>2905</v>
      </c>
      <c r="S102">
        <v>45786</v>
      </c>
      <c r="T102">
        <v>45786</v>
      </c>
      <c r="U102" t="s">
        <v>12</v>
      </c>
      <c r="V102" t="s">
        <v>316</v>
      </c>
      <c r="W102" t="s">
        <v>319</v>
      </c>
      <c r="X102" t="s">
        <v>320</v>
      </c>
      <c r="Y102" t="s">
        <v>320</v>
      </c>
      <c r="Z102" t="s">
        <v>2516</v>
      </c>
      <c r="AA102" t="s">
        <v>2516</v>
      </c>
      <c r="AB102" s="100" t="s">
        <v>2906</v>
      </c>
    </row>
    <row r="103" spans="1:28">
      <c r="A103">
        <v>2</v>
      </c>
      <c r="B103" t="s">
        <v>5</v>
      </c>
      <c r="C103">
        <v>45784</v>
      </c>
      <c r="D103">
        <v>45797</v>
      </c>
      <c r="E103" t="s">
        <v>124</v>
      </c>
      <c r="F103" t="s">
        <v>2251</v>
      </c>
      <c r="G103">
        <v>47836</v>
      </c>
      <c r="H103" t="s">
        <v>2915</v>
      </c>
      <c r="I103" t="s">
        <v>306</v>
      </c>
      <c r="J103">
        <v>1</v>
      </c>
      <c r="K103">
        <v>4</v>
      </c>
      <c r="L103">
        <v>16</v>
      </c>
      <c r="M103" t="s">
        <v>320</v>
      </c>
      <c r="N103" t="s">
        <v>320</v>
      </c>
      <c r="O103" t="s">
        <v>320</v>
      </c>
      <c r="P103" t="s">
        <v>320</v>
      </c>
      <c r="Q103" t="s">
        <v>320</v>
      </c>
      <c r="R103" t="s">
        <v>320</v>
      </c>
      <c r="S103" t="s">
        <v>320</v>
      </c>
      <c r="T103" t="s">
        <v>320</v>
      </c>
      <c r="U103" t="s">
        <v>320</v>
      </c>
      <c r="V103" t="s">
        <v>320</v>
      </c>
      <c r="W103" t="s">
        <v>320</v>
      </c>
      <c r="X103" t="s">
        <v>320</v>
      </c>
      <c r="Y103" t="s">
        <v>320</v>
      </c>
      <c r="Z103" t="s">
        <v>320</v>
      </c>
      <c r="AA103" t="s">
        <v>320</v>
      </c>
      <c r="AB103" t="s">
        <v>2916</v>
      </c>
    </row>
    <row r="104" spans="1:28">
      <c r="A104">
        <v>3</v>
      </c>
      <c r="B104" t="s">
        <v>5</v>
      </c>
      <c r="C104">
        <v>45784</v>
      </c>
      <c r="D104">
        <v>45797</v>
      </c>
      <c r="E104" t="s">
        <v>124</v>
      </c>
      <c r="F104" t="s">
        <v>317</v>
      </c>
      <c r="G104">
        <v>48023</v>
      </c>
      <c r="H104" t="s">
        <v>2923</v>
      </c>
      <c r="I104" t="s">
        <v>306</v>
      </c>
      <c r="J104">
        <v>1</v>
      </c>
      <c r="K104">
        <v>5.625</v>
      </c>
      <c r="L104">
        <v>22.5</v>
      </c>
      <c r="M104" t="s">
        <v>320</v>
      </c>
      <c r="N104" t="s">
        <v>320</v>
      </c>
      <c r="O104" t="s">
        <v>320</v>
      </c>
      <c r="P104" t="s">
        <v>320</v>
      </c>
      <c r="Q104" t="s">
        <v>320</v>
      </c>
      <c r="R104" t="s">
        <v>320</v>
      </c>
      <c r="S104" t="s">
        <v>320</v>
      </c>
      <c r="T104" t="s">
        <v>320</v>
      </c>
      <c r="U104" t="s">
        <v>320</v>
      </c>
      <c r="V104" t="s">
        <v>320</v>
      </c>
      <c r="W104" t="s">
        <v>320</v>
      </c>
      <c r="X104" t="s">
        <v>320</v>
      </c>
      <c r="Y104" t="s">
        <v>320</v>
      </c>
      <c r="Z104" t="s">
        <v>320</v>
      </c>
      <c r="AA104" t="s">
        <v>320</v>
      </c>
      <c r="AB104" t="s">
        <v>2924</v>
      </c>
    </row>
    <row r="105" spans="1:28">
      <c r="A105">
        <v>4</v>
      </c>
      <c r="B105" t="s">
        <v>5</v>
      </c>
      <c r="C105">
        <v>45784</v>
      </c>
      <c r="D105">
        <v>45797</v>
      </c>
      <c r="E105" t="s">
        <v>124</v>
      </c>
      <c r="F105" t="s">
        <v>313</v>
      </c>
      <c r="G105">
        <v>24567</v>
      </c>
      <c r="H105" t="s">
        <v>2928</v>
      </c>
      <c r="I105" t="s">
        <v>306</v>
      </c>
      <c r="J105">
        <v>5</v>
      </c>
      <c r="K105">
        <v>4.5</v>
      </c>
      <c r="L105">
        <v>18</v>
      </c>
      <c r="M105" t="s">
        <v>12</v>
      </c>
      <c r="N105" t="s">
        <v>315</v>
      </c>
      <c r="O105" t="s">
        <v>316</v>
      </c>
      <c r="P105" t="s">
        <v>317</v>
      </c>
      <c r="Q105" t="s">
        <v>316</v>
      </c>
      <c r="R105" t="s">
        <v>2929</v>
      </c>
      <c r="S105">
        <v>45786</v>
      </c>
      <c r="T105">
        <v>45786</v>
      </c>
      <c r="U105" t="s">
        <v>12</v>
      </c>
      <c r="V105" t="s">
        <v>316</v>
      </c>
      <c r="W105" t="s">
        <v>319</v>
      </c>
      <c r="X105" t="s">
        <v>320</v>
      </c>
      <c r="Y105" t="s">
        <v>320</v>
      </c>
      <c r="Z105" t="s">
        <v>2516</v>
      </c>
      <c r="AA105" t="s">
        <v>2516</v>
      </c>
      <c r="AB105" t="s">
        <v>864</v>
      </c>
    </row>
    <row r="106" spans="1:28">
      <c r="A106">
        <v>5</v>
      </c>
      <c r="B106" t="s">
        <v>5</v>
      </c>
      <c r="C106">
        <v>45784</v>
      </c>
      <c r="D106">
        <v>45797</v>
      </c>
      <c r="E106" t="s">
        <v>2934</v>
      </c>
      <c r="F106" t="s">
        <v>2038</v>
      </c>
      <c r="G106">
        <v>47842</v>
      </c>
      <c r="H106" t="s">
        <v>2798</v>
      </c>
      <c r="I106" t="s">
        <v>553</v>
      </c>
      <c r="J106">
        <v>3</v>
      </c>
      <c r="AB106" t="s">
        <v>2935</v>
      </c>
    </row>
    <row r="107" spans="1:28">
      <c r="A107">
        <v>6</v>
      </c>
      <c r="B107" t="s">
        <v>5</v>
      </c>
      <c r="C107">
        <v>45784</v>
      </c>
      <c r="D107">
        <v>45797</v>
      </c>
      <c r="E107" t="s">
        <v>124</v>
      </c>
      <c r="F107" t="s">
        <v>317</v>
      </c>
      <c r="G107">
        <v>25134</v>
      </c>
      <c r="H107" t="s">
        <v>2940</v>
      </c>
      <c r="I107" t="s">
        <v>376</v>
      </c>
      <c r="J107">
        <v>3</v>
      </c>
      <c r="K107">
        <v>4.62</v>
      </c>
      <c r="L107">
        <v>18.5</v>
      </c>
      <c r="M107" t="s">
        <v>12</v>
      </c>
      <c r="N107" t="s">
        <v>313</v>
      </c>
      <c r="O107" t="s">
        <v>316</v>
      </c>
      <c r="P107" t="s">
        <v>320</v>
      </c>
      <c r="Q107" t="s">
        <v>320</v>
      </c>
      <c r="R107" t="s">
        <v>320</v>
      </c>
      <c r="S107" t="s">
        <v>320</v>
      </c>
      <c r="T107" t="s">
        <v>320</v>
      </c>
      <c r="U107" t="s">
        <v>320</v>
      </c>
      <c r="V107" t="s">
        <v>320</v>
      </c>
      <c r="W107" t="s">
        <v>320</v>
      </c>
      <c r="X107" t="s">
        <v>320</v>
      </c>
      <c r="Y107" t="s">
        <v>320</v>
      </c>
      <c r="Z107" t="s">
        <v>320</v>
      </c>
      <c r="AA107" t="s">
        <v>320</v>
      </c>
      <c r="AB107" t="s">
        <v>2941</v>
      </c>
    </row>
    <row r="108" spans="1:28">
      <c r="A108">
        <v>7</v>
      </c>
      <c r="B108" t="s">
        <v>5</v>
      </c>
      <c r="C108">
        <v>45784</v>
      </c>
      <c r="D108">
        <v>45797</v>
      </c>
      <c r="E108" t="s">
        <v>124</v>
      </c>
      <c r="F108" t="s">
        <v>315</v>
      </c>
      <c r="G108">
        <v>47276</v>
      </c>
      <c r="H108" t="s">
        <v>2952</v>
      </c>
      <c r="I108" t="s">
        <v>306</v>
      </c>
      <c r="J108">
        <v>2</v>
      </c>
      <c r="K108">
        <v>1.25</v>
      </c>
      <c r="L108">
        <v>5</v>
      </c>
      <c r="M108" t="s">
        <v>320</v>
      </c>
      <c r="N108" t="s">
        <v>320</v>
      </c>
      <c r="O108" t="s">
        <v>320</v>
      </c>
      <c r="P108" t="s">
        <v>320</v>
      </c>
      <c r="Q108" t="s">
        <v>320</v>
      </c>
      <c r="R108" t="s">
        <v>320</v>
      </c>
      <c r="S108" t="s">
        <v>320</v>
      </c>
      <c r="T108" t="s">
        <v>320</v>
      </c>
      <c r="U108" t="s">
        <v>320</v>
      </c>
      <c r="V108" t="s">
        <v>320</v>
      </c>
      <c r="W108" t="s">
        <v>320</v>
      </c>
      <c r="X108" t="s">
        <v>320</v>
      </c>
      <c r="Y108" t="s">
        <v>320</v>
      </c>
      <c r="Z108" t="s">
        <v>320</v>
      </c>
      <c r="AA108" t="s">
        <v>320</v>
      </c>
      <c r="AB108" s="100" t="s">
        <v>2953</v>
      </c>
    </row>
    <row r="109" spans="1:28">
      <c r="A109">
        <v>8</v>
      </c>
      <c r="B109" t="s">
        <v>5</v>
      </c>
      <c r="C109">
        <v>45784</v>
      </c>
      <c r="D109">
        <v>45797</v>
      </c>
      <c r="E109" t="s">
        <v>124</v>
      </c>
      <c r="F109" t="s">
        <v>315</v>
      </c>
      <c r="G109" t="s">
        <v>2955</v>
      </c>
      <c r="H109" t="s">
        <v>2956</v>
      </c>
      <c r="I109" t="s">
        <v>376</v>
      </c>
      <c r="J109">
        <v>5</v>
      </c>
      <c r="K109">
        <v>5.25</v>
      </c>
      <c r="L109">
        <v>21</v>
      </c>
      <c r="M109" t="s">
        <v>12</v>
      </c>
      <c r="N109" t="s">
        <v>313</v>
      </c>
      <c r="O109" t="s">
        <v>316</v>
      </c>
      <c r="P109" t="s">
        <v>317</v>
      </c>
      <c r="Q109" t="s">
        <v>316</v>
      </c>
      <c r="R109" t="s">
        <v>2957</v>
      </c>
      <c r="S109">
        <v>45791</v>
      </c>
      <c r="T109">
        <v>45791</v>
      </c>
      <c r="U109" t="s">
        <v>12</v>
      </c>
      <c r="V109" t="s">
        <v>316</v>
      </c>
      <c r="W109" t="s">
        <v>319</v>
      </c>
      <c r="X109" t="s">
        <v>320</v>
      </c>
      <c r="Y109" t="s">
        <v>320</v>
      </c>
      <c r="Z109" t="s">
        <v>2516</v>
      </c>
      <c r="AA109" t="s">
        <v>2516</v>
      </c>
      <c r="AB109" t="s">
        <v>2958</v>
      </c>
    </row>
    <row r="110" spans="1:28">
      <c r="A110">
        <v>9</v>
      </c>
      <c r="B110" t="s">
        <v>5</v>
      </c>
      <c r="C110">
        <v>45784</v>
      </c>
      <c r="D110">
        <v>45797</v>
      </c>
      <c r="E110" t="s">
        <v>124</v>
      </c>
      <c r="F110" t="s">
        <v>313</v>
      </c>
      <c r="G110">
        <v>47057</v>
      </c>
      <c r="H110" t="s">
        <v>2964</v>
      </c>
      <c r="I110" t="s">
        <v>306</v>
      </c>
      <c r="J110">
        <v>3</v>
      </c>
      <c r="K110">
        <v>5.75</v>
      </c>
      <c r="L110">
        <v>23</v>
      </c>
      <c r="M110" t="s">
        <v>12</v>
      </c>
      <c r="N110" t="s">
        <v>315</v>
      </c>
      <c r="O110" t="s">
        <v>316</v>
      </c>
      <c r="P110" t="s">
        <v>317</v>
      </c>
      <c r="Q110" t="s">
        <v>316</v>
      </c>
      <c r="R110" t="s">
        <v>2965</v>
      </c>
      <c r="S110">
        <v>45791</v>
      </c>
      <c r="T110">
        <v>45791</v>
      </c>
      <c r="U110" t="s">
        <v>12</v>
      </c>
      <c r="V110" t="s">
        <v>316</v>
      </c>
      <c r="W110" t="s">
        <v>319</v>
      </c>
      <c r="X110" t="s">
        <v>320</v>
      </c>
      <c r="Y110" t="s">
        <v>320</v>
      </c>
      <c r="Z110" t="s">
        <v>2966</v>
      </c>
      <c r="AA110" t="s">
        <v>2516</v>
      </c>
      <c r="AB110" t="s">
        <v>864</v>
      </c>
    </row>
    <row r="111" spans="1:28">
      <c r="A111">
        <v>10</v>
      </c>
      <c r="B111" t="s">
        <v>5</v>
      </c>
      <c r="C111">
        <v>45784</v>
      </c>
      <c r="D111">
        <v>45797</v>
      </c>
      <c r="E111" t="s">
        <v>2934</v>
      </c>
      <c r="F111" t="s">
        <v>313</v>
      </c>
      <c r="G111">
        <v>48220</v>
      </c>
      <c r="H111" t="s">
        <v>2831</v>
      </c>
      <c r="I111" t="s">
        <v>380</v>
      </c>
      <c r="J111">
        <v>5</v>
      </c>
      <c r="M111" t="s">
        <v>12</v>
      </c>
      <c r="AB111" t="s">
        <v>2972</v>
      </c>
    </row>
    <row r="112" spans="1:28">
      <c r="A112">
        <v>11</v>
      </c>
      <c r="B112" t="s">
        <v>5</v>
      </c>
      <c r="C112">
        <v>45784</v>
      </c>
      <c r="D112">
        <v>45797</v>
      </c>
      <c r="E112" t="s">
        <v>124</v>
      </c>
      <c r="F112" t="s">
        <v>2241</v>
      </c>
      <c r="G112">
        <v>48087</v>
      </c>
      <c r="H112" t="s">
        <v>2842</v>
      </c>
      <c r="I112" t="s">
        <v>1068</v>
      </c>
      <c r="AB112" t="s">
        <v>2977</v>
      </c>
    </row>
    <row r="113" spans="1:28">
      <c r="A113">
        <v>12</v>
      </c>
      <c r="B113" t="s">
        <v>5</v>
      </c>
      <c r="C113">
        <v>45784</v>
      </c>
      <c r="D113">
        <v>45797</v>
      </c>
      <c r="E113" t="s">
        <v>2934</v>
      </c>
      <c r="F113" t="s">
        <v>315</v>
      </c>
      <c r="G113" t="s">
        <v>2980</v>
      </c>
      <c r="H113" t="s">
        <v>2785</v>
      </c>
      <c r="I113" s="100" t="s">
        <v>2981</v>
      </c>
      <c r="J113">
        <v>0</v>
      </c>
      <c r="AB113" t="s">
        <v>2982</v>
      </c>
    </row>
    <row r="114" spans="1:28">
      <c r="A114">
        <v>13</v>
      </c>
      <c r="B114" t="s">
        <v>5</v>
      </c>
      <c r="C114">
        <v>45784</v>
      </c>
      <c r="D114">
        <v>45797</v>
      </c>
      <c r="E114" t="s">
        <v>2934</v>
      </c>
      <c r="F114" t="s">
        <v>317</v>
      </c>
      <c r="G114">
        <v>48294</v>
      </c>
      <c r="H114" s="100" t="s">
        <v>2984</v>
      </c>
      <c r="I114" t="s">
        <v>399</v>
      </c>
      <c r="J114">
        <v>5</v>
      </c>
    </row>
    <row r="115" spans="1:28">
      <c r="A115">
        <v>1</v>
      </c>
      <c r="B115" t="s">
        <v>5</v>
      </c>
      <c r="C115">
        <v>45798</v>
      </c>
      <c r="D115">
        <v>45811</v>
      </c>
      <c r="E115" t="s">
        <v>128</v>
      </c>
      <c r="F115" t="s">
        <v>315</v>
      </c>
      <c r="G115">
        <v>25237</v>
      </c>
      <c r="H115" t="s">
        <v>2785</v>
      </c>
      <c r="I115" t="s">
        <v>376</v>
      </c>
      <c r="J115">
        <v>5</v>
      </c>
      <c r="K115">
        <v>8.5</v>
      </c>
      <c r="L115">
        <v>34</v>
      </c>
      <c r="M115" t="s">
        <v>12</v>
      </c>
      <c r="N115" t="s">
        <v>313</v>
      </c>
      <c r="O115" t="s">
        <v>316</v>
      </c>
      <c r="P115" t="s">
        <v>317</v>
      </c>
      <c r="Q115" t="s">
        <v>2786</v>
      </c>
      <c r="R115" t="s">
        <v>2787</v>
      </c>
      <c r="S115">
        <v>45804</v>
      </c>
      <c r="T115">
        <v>45804</v>
      </c>
      <c r="U115" t="s">
        <v>12</v>
      </c>
      <c r="V115" t="s">
        <v>316</v>
      </c>
      <c r="W115" t="s">
        <v>319</v>
      </c>
      <c r="X115" t="s">
        <v>320</v>
      </c>
      <c r="Y115" t="s">
        <v>320</v>
      </c>
      <c r="Z115" t="s">
        <v>2516</v>
      </c>
      <c r="AA115" t="s">
        <v>2516</v>
      </c>
      <c r="AB115" t="s">
        <v>12</v>
      </c>
    </row>
    <row r="116" spans="1:28">
      <c r="A116">
        <v>2</v>
      </c>
      <c r="B116" t="s">
        <v>5</v>
      </c>
      <c r="C116">
        <v>45798</v>
      </c>
      <c r="D116">
        <v>45811</v>
      </c>
      <c r="E116" t="s">
        <v>128</v>
      </c>
      <c r="F116" t="s">
        <v>2038</v>
      </c>
      <c r="G116">
        <v>47842</v>
      </c>
      <c r="H116" t="s">
        <v>2798</v>
      </c>
      <c r="I116" t="s">
        <v>306</v>
      </c>
      <c r="J116">
        <v>3</v>
      </c>
      <c r="K116">
        <v>2</v>
      </c>
      <c r="L116">
        <v>8</v>
      </c>
      <c r="M116" t="s">
        <v>320</v>
      </c>
      <c r="N116" t="s">
        <v>313</v>
      </c>
      <c r="O116" t="s">
        <v>316</v>
      </c>
      <c r="P116" t="s">
        <v>1976</v>
      </c>
      <c r="Q116" t="s">
        <v>320</v>
      </c>
      <c r="R116" t="s">
        <v>2799</v>
      </c>
      <c r="S116">
        <v>45805</v>
      </c>
      <c r="T116">
        <v>45807</v>
      </c>
      <c r="U116" t="s">
        <v>12</v>
      </c>
      <c r="V116" t="s">
        <v>316</v>
      </c>
      <c r="W116" t="s">
        <v>319</v>
      </c>
      <c r="X116" t="s">
        <v>320</v>
      </c>
      <c r="Y116" t="s">
        <v>320</v>
      </c>
      <c r="Z116" t="s">
        <v>320</v>
      </c>
      <c r="AA116" t="s">
        <v>320</v>
      </c>
      <c r="AB116" t="s">
        <v>2800</v>
      </c>
    </row>
    <row r="117" spans="1:28">
      <c r="A117">
        <v>3</v>
      </c>
      <c r="B117" t="s">
        <v>5</v>
      </c>
      <c r="C117">
        <v>45798</v>
      </c>
      <c r="D117">
        <v>45811</v>
      </c>
      <c r="E117" t="s">
        <v>128</v>
      </c>
      <c r="F117" t="s">
        <v>313</v>
      </c>
      <c r="G117">
        <v>47283</v>
      </c>
      <c r="H117" t="s">
        <v>2807</v>
      </c>
      <c r="I117" t="s">
        <v>503</v>
      </c>
      <c r="J117">
        <v>3</v>
      </c>
      <c r="K117">
        <v>2.5</v>
      </c>
      <c r="L117">
        <v>10</v>
      </c>
      <c r="M117" t="s">
        <v>12</v>
      </c>
      <c r="N117" t="s">
        <v>315</v>
      </c>
      <c r="O117" t="s">
        <v>316</v>
      </c>
      <c r="P117" t="s">
        <v>317</v>
      </c>
      <c r="Q117" t="s">
        <v>320</v>
      </c>
      <c r="R117" t="s">
        <v>320</v>
      </c>
      <c r="S117" t="s">
        <v>320</v>
      </c>
      <c r="T117" t="s">
        <v>320</v>
      </c>
      <c r="U117" t="s">
        <v>320</v>
      </c>
      <c r="V117" t="s">
        <v>320</v>
      </c>
      <c r="W117" t="s">
        <v>320</v>
      </c>
      <c r="X117" t="s">
        <v>320</v>
      </c>
      <c r="Y117" t="s">
        <v>320</v>
      </c>
      <c r="Z117" t="s">
        <v>2516</v>
      </c>
      <c r="AA117" t="s">
        <v>2516</v>
      </c>
      <c r="AB117" t="s">
        <v>2808</v>
      </c>
    </row>
    <row r="118" spans="1:28">
      <c r="A118">
        <v>4</v>
      </c>
      <c r="B118" t="s">
        <v>5</v>
      </c>
      <c r="C118">
        <v>45798</v>
      </c>
      <c r="D118">
        <v>45811</v>
      </c>
      <c r="E118" t="s">
        <v>128</v>
      </c>
      <c r="F118" t="s">
        <v>317</v>
      </c>
      <c r="G118" t="s">
        <v>2818</v>
      </c>
      <c r="H118" t="s">
        <v>2700</v>
      </c>
      <c r="I118" t="s">
        <v>503</v>
      </c>
      <c r="J118">
        <v>5</v>
      </c>
      <c r="K118">
        <v>3.8</v>
      </c>
      <c r="L118">
        <v>16</v>
      </c>
      <c r="M118" t="s">
        <v>12</v>
      </c>
      <c r="N118" t="s">
        <v>315</v>
      </c>
      <c r="O118" t="s">
        <v>316</v>
      </c>
      <c r="P118" t="s">
        <v>1976</v>
      </c>
      <c r="Q118" t="s">
        <v>320</v>
      </c>
      <c r="R118" t="s">
        <v>2819</v>
      </c>
      <c r="S118">
        <v>45806</v>
      </c>
      <c r="T118">
        <v>45806</v>
      </c>
      <c r="U118" t="s">
        <v>320</v>
      </c>
      <c r="V118" t="s">
        <v>320</v>
      </c>
      <c r="W118" t="s">
        <v>319</v>
      </c>
      <c r="X118" t="s">
        <v>320</v>
      </c>
      <c r="Y118" t="s">
        <v>320</v>
      </c>
      <c r="Z118" t="s">
        <v>2516</v>
      </c>
      <c r="AA118" t="s">
        <v>2516</v>
      </c>
      <c r="AB118" t="s">
        <v>2820</v>
      </c>
    </row>
    <row r="119" spans="1:28">
      <c r="A119">
        <v>5</v>
      </c>
      <c r="B119" t="s">
        <v>5</v>
      </c>
      <c r="C119">
        <v>45798</v>
      </c>
      <c r="D119">
        <v>45811</v>
      </c>
      <c r="E119" t="s">
        <v>128</v>
      </c>
      <c r="F119" t="s">
        <v>313</v>
      </c>
      <c r="G119" t="s">
        <v>2830</v>
      </c>
      <c r="H119" t="s">
        <v>2831</v>
      </c>
      <c r="I119" t="s">
        <v>306</v>
      </c>
      <c r="J119">
        <v>3</v>
      </c>
      <c r="K119">
        <v>2.56</v>
      </c>
      <c r="L119">
        <v>10.25</v>
      </c>
      <c r="M119" t="s">
        <v>12</v>
      </c>
      <c r="N119" t="s">
        <v>315</v>
      </c>
      <c r="O119" t="s">
        <v>316</v>
      </c>
      <c r="P119" t="s">
        <v>317</v>
      </c>
      <c r="Q119" s="100" t="s">
        <v>2832</v>
      </c>
      <c r="R119" t="s">
        <v>2833</v>
      </c>
      <c r="S119">
        <v>45785</v>
      </c>
      <c r="T119">
        <v>45785</v>
      </c>
      <c r="U119" t="s">
        <v>12</v>
      </c>
      <c r="V119" t="s">
        <v>316</v>
      </c>
      <c r="W119" t="s">
        <v>319</v>
      </c>
      <c r="X119" t="s">
        <v>320</v>
      </c>
      <c r="Y119" t="s">
        <v>320</v>
      </c>
      <c r="Z119" t="s">
        <v>2516</v>
      </c>
      <c r="AA119" t="s">
        <v>2516</v>
      </c>
      <c r="AB119" t="s">
        <v>1689</v>
      </c>
    </row>
    <row r="120" spans="1:28">
      <c r="A120">
        <v>6</v>
      </c>
      <c r="B120" t="s">
        <v>5</v>
      </c>
      <c r="C120">
        <v>45798</v>
      </c>
      <c r="D120">
        <v>45811</v>
      </c>
      <c r="E120" t="s">
        <v>128</v>
      </c>
      <c r="F120" t="s">
        <v>2251</v>
      </c>
      <c r="G120">
        <v>48087</v>
      </c>
      <c r="H120" t="s">
        <v>2842</v>
      </c>
      <c r="I120" t="s">
        <v>306</v>
      </c>
      <c r="J120">
        <v>3</v>
      </c>
      <c r="K120">
        <v>2</v>
      </c>
      <c r="L120">
        <v>8</v>
      </c>
      <c r="M120" t="s">
        <v>320</v>
      </c>
      <c r="N120" t="s">
        <v>320</v>
      </c>
      <c r="O120" t="s">
        <v>320</v>
      </c>
      <c r="P120" t="s">
        <v>320</v>
      </c>
      <c r="Q120" t="s">
        <v>320</v>
      </c>
      <c r="R120" t="s">
        <v>320</v>
      </c>
      <c r="S120" t="s">
        <v>320</v>
      </c>
      <c r="T120" t="s">
        <v>320</v>
      </c>
      <c r="U120" t="s">
        <v>320</v>
      </c>
      <c r="V120" t="s">
        <v>320</v>
      </c>
      <c r="W120" t="s">
        <v>320</v>
      </c>
      <c r="X120" t="s">
        <v>320</v>
      </c>
      <c r="Y120" t="s">
        <v>320</v>
      </c>
      <c r="Z120" t="s">
        <v>320</v>
      </c>
      <c r="AA120" t="s">
        <v>320</v>
      </c>
      <c r="AB120" t="s">
        <v>1689</v>
      </c>
    </row>
    <row r="121" spans="1:28">
      <c r="A121">
        <v>7</v>
      </c>
      <c r="B121" t="s">
        <v>5</v>
      </c>
      <c r="C121">
        <v>45798</v>
      </c>
      <c r="D121">
        <v>45811</v>
      </c>
      <c r="E121" t="s">
        <v>128</v>
      </c>
      <c r="F121" t="s">
        <v>2846</v>
      </c>
      <c r="G121">
        <v>48293</v>
      </c>
      <c r="H121" t="s">
        <v>2847</v>
      </c>
      <c r="I121" t="s">
        <v>306</v>
      </c>
      <c r="J121">
        <v>2</v>
      </c>
      <c r="K121">
        <v>1.25</v>
      </c>
      <c r="L121">
        <v>5</v>
      </c>
      <c r="AB121" t="s">
        <v>1689</v>
      </c>
    </row>
    <row r="122" spans="1:28">
      <c r="A122">
        <v>8</v>
      </c>
      <c r="B122" t="s">
        <v>5</v>
      </c>
      <c r="C122">
        <v>45798</v>
      </c>
      <c r="D122">
        <v>45811</v>
      </c>
      <c r="E122" t="s">
        <v>128</v>
      </c>
      <c r="F122" t="s">
        <v>317</v>
      </c>
      <c r="G122" t="s">
        <v>2850</v>
      </c>
      <c r="H122" t="s">
        <v>2851</v>
      </c>
      <c r="I122" t="s">
        <v>306</v>
      </c>
      <c r="J122">
        <v>0</v>
      </c>
      <c r="K122">
        <v>1.56</v>
      </c>
      <c r="L122">
        <v>6.25</v>
      </c>
      <c r="M122" t="s">
        <v>12</v>
      </c>
      <c r="N122" t="s">
        <v>320</v>
      </c>
      <c r="O122" t="s">
        <v>320</v>
      </c>
      <c r="P122" t="s">
        <v>320</v>
      </c>
      <c r="Q122" t="s">
        <v>320</v>
      </c>
      <c r="R122" t="s">
        <v>320</v>
      </c>
      <c r="S122" t="s">
        <v>320</v>
      </c>
      <c r="T122" t="s">
        <v>320</v>
      </c>
      <c r="U122" t="s">
        <v>320</v>
      </c>
      <c r="V122" t="s">
        <v>320</v>
      </c>
      <c r="W122" t="s">
        <v>320</v>
      </c>
      <c r="X122" t="s">
        <v>320</v>
      </c>
      <c r="Y122" t="s">
        <v>320</v>
      </c>
      <c r="Z122" t="s">
        <v>320</v>
      </c>
      <c r="AA122" t="s">
        <v>320</v>
      </c>
      <c r="AB122" t="s">
        <v>2852</v>
      </c>
    </row>
    <row r="123" spans="1:28">
      <c r="A123">
        <v>9</v>
      </c>
      <c r="B123" t="s">
        <v>5</v>
      </c>
      <c r="C123">
        <v>45798</v>
      </c>
      <c r="D123">
        <v>45811</v>
      </c>
      <c r="E123" t="s">
        <v>128</v>
      </c>
      <c r="F123" t="s">
        <v>313</v>
      </c>
      <c r="G123" t="s">
        <v>2859</v>
      </c>
      <c r="H123" t="s">
        <v>2716</v>
      </c>
      <c r="I123" t="s">
        <v>306</v>
      </c>
      <c r="J123">
        <v>0</v>
      </c>
      <c r="K123">
        <v>2.5</v>
      </c>
      <c r="L123">
        <v>10</v>
      </c>
      <c r="M123" t="s">
        <v>12</v>
      </c>
      <c r="N123" t="s">
        <v>315</v>
      </c>
      <c r="O123" t="s">
        <v>316</v>
      </c>
      <c r="P123" t="s">
        <v>317</v>
      </c>
      <c r="Q123" t="s">
        <v>320</v>
      </c>
      <c r="R123" t="s">
        <v>320</v>
      </c>
      <c r="S123" t="s">
        <v>320</v>
      </c>
      <c r="T123" t="s">
        <v>320</v>
      </c>
      <c r="U123" t="s">
        <v>320</v>
      </c>
      <c r="V123" t="s">
        <v>320</v>
      </c>
      <c r="W123" t="s">
        <v>320</v>
      </c>
      <c r="X123" t="s">
        <v>320</v>
      </c>
      <c r="Y123" t="s">
        <v>320</v>
      </c>
      <c r="Z123" t="s">
        <v>2516</v>
      </c>
      <c r="AA123" t="s">
        <v>2516</v>
      </c>
      <c r="AB123" t="s">
        <v>2852</v>
      </c>
    </row>
    <row r="124" spans="1:28">
      <c r="A124">
        <v>10</v>
      </c>
      <c r="B124" t="s">
        <v>5</v>
      </c>
      <c r="C124">
        <v>45798</v>
      </c>
      <c r="D124">
        <v>45811</v>
      </c>
      <c r="E124" t="s">
        <v>128</v>
      </c>
      <c r="F124" t="s">
        <v>315</v>
      </c>
      <c r="G124" t="s">
        <v>2866</v>
      </c>
      <c r="H124" t="s">
        <v>2867</v>
      </c>
      <c r="I124" t="s">
        <v>306</v>
      </c>
      <c r="J124">
        <v>0</v>
      </c>
      <c r="K124">
        <v>2.87</v>
      </c>
      <c r="L124">
        <v>11.5</v>
      </c>
      <c r="M124" t="s">
        <v>12</v>
      </c>
      <c r="N124" t="s">
        <v>320</v>
      </c>
      <c r="O124" t="s">
        <v>320</v>
      </c>
      <c r="P124" t="s">
        <v>320</v>
      </c>
      <c r="Q124" t="s">
        <v>320</v>
      </c>
      <c r="R124" t="s">
        <v>320</v>
      </c>
      <c r="S124" t="s">
        <v>320</v>
      </c>
      <c r="T124" t="s">
        <v>320</v>
      </c>
      <c r="U124" t="s">
        <v>320</v>
      </c>
      <c r="V124" t="s">
        <v>320</v>
      </c>
      <c r="W124" t="s">
        <v>320</v>
      </c>
      <c r="X124" t="s">
        <v>320</v>
      </c>
      <c r="Y124" t="s">
        <v>320</v>
      </c>
      <c r="Z124" t="s">
        <v>320</v>
      </c>
      <c r="AA124" t="s">
        <v>320</v>
      </c>
      <c r="AB124" t="s">
        <v>2852</v>
      </c>
    </row>
    <row r="125" spans="1:28">
      <c r="A125">
        <v>11</v>
      </c>
      <c r="B125" t="s">
        <v>5</v>
      </c>
      <c r="C125">
        <v>45798</v>
      </c>
      <c r="D125">
        <v>45811</v>
      </c>
      <c r="E125" t="s">
        <v>2871</v>
      </c>
      <c r="F125" t="s">
        <v>315</v>
      </c>
      <c r="G125" t="s">
        <v>2872</v>
      </c>
      <c r="H125" t="s">
        <v>2873</v>
      </c>
      <c r="I125" t="s">
        <v>306</v>
      </c>
      <c r="J125">
        <v>2</v>
      </c>
      <c r="K125">
        <v>9.75</v>
      </c>
      <c r="L125">
        <v>19.5</v>
      </c>
      <c r="M125" t="s">
        <v>320</v>
      </c>
      <c r="N125" t="s">
        <v>320</v>
      </c>
      <c r="O125" t="s">
        <v>320</v>
      </c>
      <c r="P125" t="s">
        <v>320</v>
      </c>
      <c r="Q125" t="s">
        <v>320</v>
      </c>
      <c r="R125" t="s">
        <v>320</v>
      </c>
      <c r="S125" t="s">
        <v>320</v>
      </c>
      <c r="T125" t="s">
        <v>320</v>
      </c>
      <c r="U125" t="s">
        <v>320</v>
      </c>
      <c r="V125" t="s">
        <v>320</v>
      </c>
      <c r="W125" t="s">
        <v>320</v>
      </c>
      <c r="X125" t="s">
        <v>320</v>
      </c>
      <c r="Y125" t="s">
        <v>320</v>
      </c>
      <c r="Z125" t="s">
        <v>320</v>
      </c>
      <c r="AA125" t="s">
        <v>320</v>
      </c>
      <c r="AB125" t="s">
        <v>1689</v>
      </c>
    </row>
    <row r="126" spans="1:28">
      <c r="A126">
        <v>12</v>
      </c>
      <c r="B126" t="s">
        <v>5</v>
      </c>
      <c r="C126">
        <v>45798</v>
      </c>
      <c r="D126">
        <v>45811</v>
      </c>
      <c r="E126" t="s">
        <v>2871</v>
      </c>
      <c r="F126" t="s">
        <v>313</v>
      </c>
      <c r="G126">
        <v>47835</v>
      </c>
      <c r="H126" t="s">
        <v>2879</v>
      </c>
      <c r="I126" t="s">
        <v>338</v>
      </c>
      <c r="J126">
        <v>5</v>
      </c>
      <c r="K126">
        <v>4.5</v>
      </c>
      <c r="L126">
        <v>18.5</v>
      </c>
      <c r="M126" t="s">
        <v>12</v>
      </c>
      <c r="N126" t="s">
        <v>315</v>
      </c>
      <c r="O126" t="s">
        <v>316</v>
      </c>
      <c r="P126" t="s">
        <v>317</v>
      </c>
      <c r="Q126" t="s">
        <v>320</v>
      </c>
      <c r="R126" t="s">
        <v>2880</v>
      </c>
      <c r="S126">
        <v>45811</v>
      </c>
      <c r="T126">
        <v>45811</v>
      </c>
      <c r="U126" t="s">
        <v>12</v>
      </c>
      <c r="V126" t="s">
        <v>316</v>
      </c>
      <c r="W126" t="s">
        <v>319</v>
      </c>
      <c r="X126" t="s">
        <v>320</v>
      </c>
      <c r="Y126" t="s">
        <v>320</v>
      </c>
      <c r="Z126" s="100" t="s">
        <v>2881</v>
      </c>
      <c r="AA126" t="s">
        <v>2516</v>
      </c>
      <c r="AB126" t="s">
        <v>2882</v>
      </c>
    </row>
    <row r="127" spans="1:28">
      <c r="A127">
        <v>13</v>
      </c>
      <c r="B127" t="s">
        <v>5</v>
      </c>
      <c r="C127">
        <v>45798</v>
      </c>
      <c r="D127">
        <v>45811</v>
      </c>
      <c r="E127" t="s">
        <v>2871</v>
      </c>
      <c r="F127" t="s">
        <v>315</v>
      </c>
      <c r="G127" t="s">
        <v>2766</v>
      </c>
      <c r="H127" t="s">
        <v>2767</v>
      </c>
      <c r="I127" t="s">
        <v>399</v>
      </c>
      <c r="J127">
        <v>5</v>
      </c>
      <c r="K127">
        <v>1.8</v>
      </c>
      <c r="L127">
        <v>7.5</v>
      </c>
      <c r="AB127" s="100" t="s">
        <v>2889</v>
      </c>
    </row>
    <row r="128" spans="1:28">
      <c r="A128">
        <v>1</v>
      </c>
      <c r="B128" t="s">
        <v>5</v>
      </c>
      <c r="C128">
        <v>45812</v>
      </c>
      <c r="D128">
        <v>45825</v>
      </c>
      <c r="E128" t="s">
        <v>133</v>
      </c>
      <c r="F128" t="s">
        <v>317</v>
      </c>
      <c r="G128">
        <v>48294</v>
      </c>
      <c r="H128" t="s">
        <v>2700</v>
      </c>
      <c r="I128" t="s">
        <v>306</v>
      </c>
      <c r="J128">
        <v>2</v>
      </c>
      <c r="K128">
        <v>5.3</v>
      </c>
      <c r="L128">
        <v>21.5</v>
      </c>
      <c r="M128" t="s">
        <v>12</v>
      </c>
      <c r="N128" t="s">
        <v>315</v>
      </c>
      <c r="O128" t="s">
        <v>316</v>
      </c>
      <c r="P128" t="s">
        <v>320</v>
      </c>
      <c r="Q128" t="s">
        <v>320</v>
      </c>
      <c r="R128" t="s">
        <v>2701</v>
      </c>
      <c r="S128">
        <v>45817</v>
      </c>
      <c r="T128">
        <v>45817</v>
      </c>
      <c r="U128" t="s">
        <v>12</v>
      </c>
      <c r="V128" t="s">
        <v>316</v>
      </c>
      <c r="W128" t="s">
        <v>319</v>
      </c>
      <c r="X128" t="s">
        <v>320</v>
      </c>
      <c r="Y128" t="s">
        <v>320</v>
      </c>
      <c r="Z128" t="s">
        <v>2516</v>
      </c>
      <c r="AA128" t="s">
        <v>2516</v>
      </c>
      <c r="AB128" s="100" t="s">
        <v>2702</v>
      </c>
    </row>
    <row r="129" spans="1:28">
      <c r="A129">
        <v>2</v>
      </c>
      <c r="B129" t="s">
        <v>5</v>
      </c>
      <c r="C129">
        <v>45812</v>
      </c>
      <c r="D129">
        <v>45825</v>
      </c>
      <c r="E129" t="s">
        <v>4411</v>
      </c>
      <c r="F129" t="s">
        <v>2251</v>
      </c>
      <c r="G129">
        <v>25253</v>
      </c>
      <c r="H129" t="s">
        <v>2709</v>
      </c>
      <c r="I129" t="s">
        <v>376</v>
      </c>
      <c r="J129">
        <v>2</v>
      </c>
      <c r="K129">
        <v>6.6</v>
      </c>
      <c r="L129">
        <v>26.5</v>
      </c>
      <c r="M129" t="s">
        <v>320</v>
      </c>
      <c r="N129" t="s">
        <v>320</v>
      </c>
      <c r="O129" t="s">
        <v>320</v>
      </c>
      <c r="P129" t="s">
        <v>320</v>
      </c>
      <c r="Q129" t="s">
        <v>320</v>
      </c>
      <c r="R129" t="s">
        <v>320</v>
      </c>
      <c r="S129" t="s">
        <v>320</v>
      </c>
      <c r="T129" t="s">
        <v>320</v>
      </c>
      <c r="U129" t="s">
        <v>320</v>
      </c>
      <c r="V129" t="s">
        <v>320</v>
      </c>
      <c r="W129" t="s">
        <v>320</v>
      </c>
      <c r="X129" t="s">
        <v>320</v>
      </c>
      <c r="Y129" t="s">
        <v>320</v>
      </c>
      <c r="Z129" t="s">
        <v>320</v>
      </c>
      <c r="AA129" t="s">
        <v>320</v>
      </c>
      <c r="AB129" s="100" t="s">
        <v>2710</v>
      </c>
    </row>
    <row r="130" spans="1:28">
      <c r="A130">
        <v>3</v>
      </c>
      <c r="B130" t="s">
        <v>5</v>
      </c>
      <c r="C130">
        <v>45812</v>
      </c>
      <c r="D130">
        <v>45825</v>
      </c>
      <c r="E130" t="s">
        <v>4411</v>
      </c>
      <c r="F130" t="s">
        <v>317</v>
      </c>
      <c r="G130">
        <v>25350</v>
      </c>
      <c r="H130" t="s">
        <v>2716</v>
      </c>
      <c r="I130" t="s">
        <v>376</v>
      </c>
      <c r="J130">
        <v>0.5</v>
      </c>
      <c r="K130">
        <v>0.75</v>
      </c>
      <c r="L130">
        <v>3</v>
      </c>
      <c r="M130" t="s">
        <v>320</v>
      </c>
      <c r="N130" t="s">
        <v>320</v>
      </c>
      <c r="O130" t="s">
        <v>320</v>
      </c>
      <c r="P130" t="s">
        <v>320</v>
      </c>
      <c r="Q130" t="s">
        <v>320</v>
      </c>
      <c r="R130" t="s">
        <v>320</v>
      </c>
      <c r="S130" t="s">
        <v>320</v>
      </c>
      <c r="T130" t="s">
        <v>320</v>
      </c>
      <c r="U130" t="s">
        <v>320</v>
      </c>
      <c r="V130" t="s">
        <v>320</v>
      </c>
      <c r="W130" t="s">
        <v>320</v>
      </c>
      <c r="X130" t="s">
        <v>320</v>
      </c>
      <c r="Y130" t="s">
        <v>320</v>
      </c>
      <c r="Z130" t="s">
        <v>320</v>
      </c>
      <c r="AA130" t="s">
        <v>320</v>
      </c>
      <c r="AB130" t="s">
        <v>2717</v>
      </c>
    </row>
    <row r="131" spans="1:28">
      <c r="A131">
        <v>4</v>
      </c>
      <c r="B131" t="s">
        <v>5</v>
      </c>
      <c r="C131">
        <v>45812</v>
      </c>
      <c r="D131">
        <v>45825</v>
      </c>
      <c r="E131" t="s">
        <v>4411</v>
      </c>
      <c r="F131" t="s">
        <v>317</v>
      </c>
      <c r="G131">
        <v>47283</v>
      </c>
      <c r="H131" t="s">
        <v>2723</v>
      </c>
      <c r="I131" t="s">
        <v>306</v>
      </c>
      <c r="J131">
        <v>0.5</v>
      </c>
      <c r="K131">
        <v>0.5</v>
      </c>
      <c r="L131">
        <v>2</v>
      </c>
      <c r="M131" t="s">
        <v>320</v>
      </c>
      <c r="N131" t="s">
        <v>320</v>
      </c>
      <c r="O131" t="s">
        <v>320</v>
      </c>
      <c r="P131" t="s">
        <v>320</v>
      </c>
      <c r="Q131" t="s">
        <v>320</v>
      </c>
      <c r="R131" t="s">
        <v>320</v>
      </c>
      <c r="S131" t="s">
        <v>320</v>
      </c>
      <c r="T131" t="s">
        <v>320</v>
      </c>
      <c r="U131" t="s">
        <v>320</v>
      </c>
      <c r="V131" t="s">
        <v>320</v>
      </c>
      <c r="W131" t="s">
        <v>320</v>
      </c>
      <c r="X131" t="s">
        <v>320</v>
      </c>
      <c r="Y131" t="s">
        <v>320</v>
      </c>
      <c r="Z131" t="s">
        <v>320</v>
      </c>
      <c r="AA131" t="s">
        <v>320</v>
      </c>
      <c r="AB131" t="s">
        <v>2717</v>
      </c>
    </row>
    <row r="132" spans="1:28">
      <c r="A132">
        <v>5</v>
      </c>
      <c r="B132" t="s">
        <v>5</v>
      </c>
      <c r="C132">
        <v>45812</v>
      </c>
      <c r="D132">
        <v>45825</v>
      </c>
      <c r="E132" t="s">
        <v>133</v>
      </c>
      <c r="F132" t="s">
        <v>313</v>
      </c>
      <c r="G132">
        <v>45453</v>
      </c>
      <c r="H132" t="s">
        <v>2725</v>
      </c>
      <c r="I132" t="s">
        <v>306</v>
      </c>
      <c r="J132">
        <v>1</v>
      </c>
      <c r="K132">
        <v>1</v>
      </c>
      <c r="L132">
        <v>4</v>
      </c>
      <c r="M132" t="s">
        <v>12</v>
      </c>
      <c r="N132" t="s">
        <v>315</v>
      </c>
      <c r="O132" t="s">
        <v>316</v>
      </c>
      <c r="P132" t="s">
        <v>317</v>
      </c>
      <c r="Q132" t="s">
        <v>316</v>
      </c>
      <c r="R132" t="s">
        <v>2726</v>
      </c>
      <c r="S132">
        <v>45813</v>
      </c>
      <c r="T132">
        <v>45813</v>
      </c>
      <c r="U132" t="s">
        <v>12</v>
      </c>
      <c r="V132" t="s">
        <v>316</v>
      </c>
      <c r="W132" t="s">
        <v>319</v>
      </c>
      <c r="X132" t="s">
        <v>320</v>
      </c>
      <c r="Y132" t="s">
        <v>320</v>
      </c>
      <c r="Z132" t="s">
        <v>2516</v>
      </c>
      <c r="AA132" t="s">
        <v>2516</v>
      </c>
      <c r="AB132" t="s">
        <v>434</v>
      </c>
    </row>
    <row r="133" spans="1:28">
      <c r="A133">
        <v>6</v>
      </c>
      <c r="B133" t="s">
        <v>5</v>
      </c>
      <c r="C133">
        <v>45812</v>
      </c>
      <c r="D133">
        <v>45825</v>
      </c>
      <c r="E133" t="s">
        <v>133</v>
      </c>
      <c r="F133" t="s">
        <v>315</v>
      </c>
      <c r="G133">
        <v>48584</v>
      </c>
      <c r="H133" t="s">
        <v>583</v>
      </c>
      <c r="I133" t="s">
        <v>306</v>
      </c>
      <c r="J133">
        <v>2</v>
      </c>
      <c r="K133">
        <v>1.75</v>
      </c>
      <c r="L133">
        <v>7</v>
      </c>
      <c r="M133" t="s">
        <v>320</v>
      </c>
      <c r="N133" t="s">
        <v>320</v>
      </c>
      <c r="O133" t="s">
        <v>320</v>
      </c>
      <c r="P133" t="s">
        <v>320</v>
      </c>
      <c r="Q133" t="s">
        <v>320</v>
      </c>
      <c r="R133" t="s">
        <v>320</v>
      </c>
      <c r="S133" t="s">
        <v>320</v>
      </c>
      <c r="T133" t="s">
        <v>320</v>
      </c>
      <c r="U133" t="s">
        <v>320</v>
      </c>
      <c r="V133" t="s">
        <v>320</v>
      </c>
      <c r="W133" t="s">
        <v>320</v>
      </c>
      <c r="X133" t="s">
        <v>320</v>
      </c>
      <c r="Y133" t="s">
        <v>320</v>
      </c>
      <c r="Z133" t="s">
        <v>320</v>
      </c>
      <c r="AA133" t="s">
        <v>320</v>
      </c>
      <c r="AB133" t="s">
        <v>2730</v>
      </c>
    </row>
    <row r="134" spans="1:28">
      <c r="A134">
        <v>7</v>
      </c>
      <c r="B134" t="s">
        <v>5</v>
      </c>
      <c r="C134">
        <v>45812</v>
      </c>
      <c r="D134">
        <v>45825</v>
      </c>
      <c r="E134" t="s">
        <v>133</v>
      </c>
      <c r="F134" t="s">
        <v>1673</v>
      </c>
      <c r="G134">
        <v>48585</v>
      </c>
      <c r="H134" t="s">
        <v>2733</v>
      </c>
      <c r="I134" t="s">
        <v>306</v>
      </c>
      <c r="J134">
        <v>5</v>
      </c>
      <c r="K134">
        <v>4.25</v>
      </c>
      <c r="L134">
        <v>17</v>
      </c>
      <c r="M134" t="s">
        <v>320</v>
      </c>
      <c r="N134" t="s">
        <v>320</v>
      </c>
      <c r="O134" t="s">
        <v>320</v>
      </c>
      <c r="P134" t="s">
        <v>320</v>
      </c>
      <c r="Q134" t="s">
        <v>320</v>
      </c>
      <c r="R134" t="s">
        <v>320</v>
      </c>
      <c r="S134" t="s">
        <v>320</v>
      </c>
      <c r="T134" t="s">
        <v>320</v>
      </c>
      <c r="U134" t="s">
        <v>320</v>
      </c>
      <c r="V134" t="s">
        <v>320</v>
      </c>
      <c r="W134" t="s">
        <v>320</v>
      </c>
      <c r="X134" t="s">
        <v>320</v>
      </c>
      <c r="Y134" t="s">
        <v>320</v>
      </c>
      <c r="Z134" t="s">
        <v>320</v>
      </c>
      <c r="AA134" t="s">
        <v>320</v>
      </c>
      <c r="AB134" t="s">
        <v>2730</v>
      </c>
    </row>
    <row r="135" spans="1:28">
      <c r="A135">
        <v>8</v>
      </c>
      <c r="B135" t="s">
        <v>5</v>
      </c>
      <c r="C135">
        <v>45812</v>
      </c>
      <c r="D135">
        <v>45825</v>
      </c>
      <c r="E135" t="s">
        <v>133</v>
      </c>
      <c r="F135" t="s">
        <v>317</v>
      </c>
      <c r="G135">
        <v>48583</v>
      </c>
      <c r="H135" t="s">
        <v>2737</v>
      </c>
      <c r="I135" t="s">
        <v>306</v>
      </c>
      <c r="J135">
        <v>1</v>
      </c>
      <c r="K135">
        <v>1.1299999999999999</v>
      </c>
      <c r="L135">
        <v>4.5199999999999996</v>
      </c>
      <c r="M135" t="s">
        <v>320</v>
      </c>
      <c r="N135" t="s">
        <v>320</v>
      </c>
      <c r="O135" t="s">
        <v>320</v>
      </c>
      <c r="P135" t="s">
        <v>320</v>
      </c>
      <c r="Q135" t="s">
        <v>320</v>
      </c>
      <c r="R135" t="s">
        <v>320</v>
      </c>
      <c r="S135" t="s">
        <v>320</v>
      </c>
      <c r="T135" t="s">
        <v>320</v>
      </c>
      <c r="U135" t="s">
        <v>320</v>
      </c>
      <c r="V135" t="s">
        <v>320</v>
      </c>
      <c r="W135" t="s">
        <v>320</v>
      </c>
      <c r="X135" t="s">
        <v>320</v>
      </c>
      <c r="Y135" t="s">
        <v>320</v>
      </c>
      <c r="Z135" t="s">
        <v>320</v>
      </c>
      <c r="AA135" t="s">
        <v>320</v>
      </c>
      <c r="AB135" t="s">
        <v>2730</v>
      </c>
    </row>
    <row r="136" spans="1:28">
      <c r="A136">
        <v>9</v>
      </c>
      <c r="B136" t="s">
        <v>5</v>
      </c>
      <c r="C136">
        <v>45812</v>
      </c>
      <c r="D136">
        <v>45825</v>
      </c>
      <c r="E136" t="s">
        <v>133</v>
      </c>
      <c r="F136" t="s">
        <v>2739</v>
      </c>
      <c r="G136">
        <v>48586</v>
      </c>
      <c r="H136" t="s">
        <v>2740</v>
      </c>
      <c r="I136" t="s">
        <v>306</v>
      </c>
      <c r="J136">
        <v>3</v>
      </c>
      <c r="K136">
        <v>1.5</v>
      </c>
      <c r="L136">
        <v>6</v>
      </c>
      <c r="M136" t="s">
        <v>320</v>
      </c>
      <c r="N136" t="s">
        <v>320</v>
      </c>
      <c r="O136" t="s">
        <v>320</v>
      </c>
      <c r="P136" t="s">
        <v>320</v>
      </c>
      <c r="Q136" t="s">
        <v>320</v>
      </c>
      <c r="R136" t="s">
        <v>320</v>
      </c>
      <c r="S136" t="s">
        <v>320</v>
      </c>
      <c r="T136" t="s">
        <v>320</v>
      </c>
      <c r="U136" t="s">
        <v>320</v>
      </c>
      <c r="V136" t="s">
        <v>320</v>
      </c>
      <c r="W136" t="s">
        <v>320</v>
      </c>
      <c r="X136" t="s">
        <v>320</v>
      </c>
      <c r="Y136" t="s">
        <v>320</v>
      </c>
      <c r="Z136" t="s">
        <v>320</v>
      </c>
      <c r="AA136" t="s">
        <v>320</v>
      </c>
      <c r="AB136" t="s">
        <v>2730</v>
      </c>
    </row>
    <row r="137" spans="1:28">
      <c r="A137">
        <v>10</v>
      </c>
      <c r="B137" t="s">
        <v>5</v>
      </c>
      <c r="C137">
        <v>45812</v>
      </c>
      <c r="D137">
        <v>45825</v>
      </c>
      <c r="E137" t="s">
        <v>133</v>
      </c>
      <c r="F137" t="s">
        <v>315</v>
      </c>
      <c r="G137">
        <v>48587</v>
      </c>
      <c r="H137" t="s">
        <v>668</v>
      </c>
      <c r="I137" t="s">
        <v>306</v>
      </c>
      <c r="J137">
        <v>2</v>
      </c>
      <c r="K137">
        <v>2</v>
      </c>
      <c r="L137">
        <v>8</v>
      </c>
      <c r="M137" t="s">
        <v>320</v>
      </c>
      <c r="N137" t="s">
        <v>320</v>
      </c>
      <c r="O137" t="s">
        <v>320</v>
      </c>
      <c r="P137" t="s">
        <v>320</v>
      </c>
      <c r="Q137" t="s">
        <v>320</v>
      </c>
      <c r="R137" t="s">
        <v>320</v>
      </c>
      <c r="S137" t="s">
        <v>320</v>
      </c>
      <c r="T137" t="s">
        <v>320</v>
      </c>
      <c r="U137" t="s">
        <v>320</v>
      </c>
      <c r="V137" t="s">
        <v>320</v>
      </c>
      <c r="W137" t="s">
        <v>320</v>
      </c>
      <c r="X137" t="s">
        <v>320</v>
      </c>
      <c r="Y137" t="s">
        <v>320</v>
      </c>
      <c r="Z137" t="s">
        <v>320</v>
      </c>
      <c r="AA137" t="s">
        <v>320</v>
      </c>
      <c r="AB137" t="s">
        <v>2730</v>
      </c>
    </row>
    <row r="138" spans="1:28">
      <c r="A138">
        <v>11</v>
      </c>
      <c r="B138" t="s">
        <v>5</v>
      </c>
      <c r="C138">
        <v>45812</v>
      </c>
      <c r="D138">
        <v>45825</v>
      </c>
      <c r="E138" t="s">
        <v>133</v>
      </c>
      <c r="F138" t="s">
        <v>2038</v>
      </c>
      <c r="G138">
        <v>48581</v>
      </c>
      <c r="H138" t="s">
        <v>1666</v>
      </c>
      <c r="I138" t="s">
        <v>306</v>
      </c>
      <c r="J138">
        <v>2</v>
      </c>
      <c r="K138">
        <v>1.5</v>
      </c>
      <c r="L138">
        <v>6</v>
      </c>
      <c r="M138" t="s">
        <v>320</v>
      </c>
      <c r="N138" t="s">
        <v>320</v>
      </c>
      <c r="O138" t="s">
        <v>320</v>
      </c>
      <c r="P138" t="s">
        <v>320</v>
      </c>
      <c r="Q138" t="s">
        <v>320</v>
      </c>
      <c r="R138" t="s">
        <v>320</v>
      </c>
      <c r="S138" t="s">
        <v>320</v>
      </c>
      <c r="T138" t="s">
        <v>320</v>
      </c>
      <c r="U138" t="s">
        <v>320</v>
      </c>
      <c r="V138" t="s">
        <v>320</v>
      </c>
      <c r="W138" t="s">
        <v>320</v>
      </c>
      <c r="X138" t="s">
        <v>320</v>
      </c>
      <c r="Y138" t="s">
        <v>320</v>
      </c>
      <c r="Z138" t="s">
        <v>320</v>
      </c>
      <c r="AA138" t="s">
        <v>320</v>
      </c>
      <c r="AB138" t="s">
        <v>2730</v>
      </c>
    </row>
    <row r="139" spans="1:28">
      <c r="A139">
        <v>12</v>
      </c>
      <c r="B139" t="s">
        <v>5</v>
      </c>
      <c r="C139">
        <v>45812</v>
      </c>
      <c r="D139">
        <v>45825</v>
      </c>
      <c r="E139" t="s">
        <v>2745</v>
      </c>
      <c r="F139" t="s">
        <v>2038</v>
      </c>
      <c r="G139">
        <v>48590</v>
      </c>
      <c r="H139" t="s">
        <v>2746</v>
      </c>
      <c r="I139" t="s">
        <v>306</v>
      </c>
      <c r="J139">
        <v>5</v>
      </c>
      <c r="K139">
        <v>4.75</v>
      </c>
      <c r="L139">
        <v>19</v>
      </c>
      <c r="M139" t="s">
        <v>320</v>
      </c>
      <c r="N139" t="s">
        <v>320</v>
      </c>
      <c r="O139" t="s">
        <v>320</v>
      </c>
      <c r="P139" t="s">
        <v>320</v>
      </c>
      <c r="Q139" t="s">
        <v>320</v>
      </c>
      <c r="R139" t="s">
        <v>320</v>
      </c>
      <c r="S139" t="s">
        <v>320</v>
      </c>
      <c r="T139" t="s">
        <v>320</v>
      </c>
      <c r="U139" t="s">
        <v>320</v>
      </c>
      <c r="V139" t="s">
        <v>320</v>
      </c>
      <c r="W139" t="s">
        <v>320</v>
      </c>
      <c r="X139" t="s">
        <v>320</v>
      </c>
      <c r="Y139" t="s">
        <v>320</v>
      </c>
      <c r="Z139" t="s">
        <v>320</v>
      </c>
      <c r="AA139" t="s">
        <v>320</v>
      </c>
      <c r="AB139" t="s">
        <v>2730</v>
      </c>
    </row>
    <row r="140" spans="1:28">
      <c r="A140">
        <v>13</v>
      </c>
      <c r="B140" t="s">
        <v>5</v>
      </c>
      <c r="C140">
        <v>45812</v>
      </c>
      <c r="D140">
        <v>45825</v>
      </c>
      <c r="E140" t="s">
        <v>2745</v>
      </c>
      <c r="F140" t="s">
        <v>313</v>
      </c>
      <c r="G140">
        <v>46799</v>
      </c>
      <c r="H140" t="s">
        <v>2751</v>
      </c>
      <c r="I140" t="s">
        <v>306</v>
      </c>
      <c r="J140">
        <v>3</v>
      </c>
      <c r="K140">
        <v>6.19</v>
      </c>
      <c r="L140">
        <v>24.76</v>
      </c>
      <c r="M140" t="s">
        <v>12</v>
      </c>
      <c r="N140" t="s">
        <v>315</v>
      </c>
      <c r="O140" t="s">
        <v>316</v>
      </c>
      <c r="P140" t="s">
        <v>317</v>
      </c>
      <c r="Q140" t="s">
        <v>316</v>
      </c>
      <c r="R140" t="s">
        <v>2752</v>
      </c>
      <c r="S140">
        <v>45821</v>
      </c>
      <c r="T140">
        <v>45821</v>
      </c>
      <c r="U140" t="s">
        <v>12</v>
      </c>
      <c r="V140" t="s">
        <v>316</v>
      </c>
      <c r="W140" t="s">
        <v>319</v>
      </c>
      <c r="X140" t="s">
        <v>320</v>
      </c>
      <c r="Y140" t="s">
        <v>320</v>
      </c>
      <c r="Z140" t="s">
        <v>2516</v>
      </c>
      <c r="AA140" t="s">
        <v>2753</v>
      </c>
      <c r="AB140" t="s">
        <v>2754</v>
      </c>
    </row>
    <row r="141" spans="1:28">
      <c r="A141">
        <v>14</v>
      </c>
      <c r="B141" t="s">
        <v>5</v>
      </c>
      <c r="C141">
        <v>45812</v>
      </c>
      <c r="D141">
        <v>45825</v>
      </c>
      <c r="E141" t="s">
        <v>2745</v>
      </c>
      <c r="F141" t="s">
        <v>2739</v>
      </c>
      <c r="G141">
        <v>47835</v>
      </c>
      <c r="H141" t="s">
        <v>2764</v>
      </c>
      <c r="I141" t="s">
        <v>306</v>
      </c>
      <c r="J141">
        <v>2</v>
      </c>
      <c r="K141">
        <v>2</v>
      </c>
      <c r="L141">
        <v>8</v>
      </c>
      <c r="M141" t="s">
        <v>320</v>
      </c>
      <c r="N141" t="s">
        <v>320</v>
      </c>
      <c r="O141" t="s">
        <v>320</v>
      </c>
      <c r="P141" t="s">
        <v>320</v>
      </c>
      <c r="Q141" t="s">
        <v>320</v>
      </c>
      <c r="R141" t="s">
        <v>320</v>
      </c>
      <c r="S141" t="s">
        <v>320</v>
      </c>
      <c r="T141" t="s">
        <v>320</v>
      </c>
      <c r="U141" t="s">
        <v>320</v>
      </c>
      <c r="V141" t="s">
        <v>320</v>
      </c>
      <c r="W141" t="s">
        <v>320</v>
      </c>
      <c r="X141" t="s">
        <v>320</v>
      </c>
      <c r="Y141" t="s">
        <v>320</v>
      </c>
      <c r="Z141" t="s">
        <v>320</v>
      </c>
      <c r="AA141" t="s">
        <v>320</v>
      </c>
      <c r="AB141" t="s">
        <v>2765</v>
      </c>
    </row>
    <row r="142" spans="1:28">
      <c r="A142">
        <v>15</v>
      </c>
      <c r="B142" t="s">
        <v>5</v>
      </c>
      <c r="C142">
        <v>45812</v>
      </c>
      <c r="D142">
        <v>45825</v>
      </c>
      <c r="E142" t="s">
        <v>2745</v>
      </c>
      <c r="F142" t="s">
        <v>315</v>
      </c>
      <c r="G142" t="s">
        <v>2766</v>
      </c>
      <c r="H142" t="s">
        <v>2767</v>
      </c>
      <c r="I142" t="s">
        <v>399</v>
      </c>
      <c r="J142">
        <v>3</v>
      </c>
      <c r="K142">
        <v>6.19</v>
      </c>
      <c r="L142">
        <v>24.76</v>
      </c>
      <c r="AB142" s="100" t="s">
        <v>2768</v>
      </c>
    </row>
    <row r="143" spans="1:28">
      <c r="A143">
        <v>16</v>
      </c>
      <c r="B143" t="s">
        <v>5</v>
      </c>
      <c r="C143">
        <v>45812</v>
      </c>
      <c r="D143">
        <v>45825</v>
      </c>
      <c r="E143" t="s">
        <v>2745</v>
      </c>
      <c r="F143" t="s">
        <v>317</v>
      </c>
      <c r="G143">
        <v>25408</v>
      </c>
      <c r="H143" t="s">
        <v>2774</v>
      </c>
      <c r="I143" t="s">
        <v>399</v>
      </c>
      <c r="J143">
        <v>0</v>
      </c>
    </row>
    <row r="144" spans="1:28">
      <c r="A144">
        <v>1</v>
      </c>
      <c r="B144" t="s">
        <v>5</v>
      </c>
      <c r="C144">
        <v>45826</v>
      </c>
      <c r="D144">
        <v>45839</v>
      </c>
      <c r="E144" t="s">
        <v>2631</v>
      </c>
      <c r="F144" t="s">
        <v>317</v>
      </c>
      <c r="G144">
        <v>25408</v>
      </c>
      <c r="H144" t="s">
        <v>2632</v>
      </c>
      <c r="I144" t="s">
        <v>376</v>
      </c>
      <c r="J144">
        <v>2</v>
      </c>
      <c r="K144">
        <v>6.25</v>
      </c>
      <c r="L144">
        <v>25</v>
      </c>
      <c r="M144" t="s">
        <v>12</v>
      </c>
      <c r="R144" t="s">
        <v>2633</v>
      </c>
      <c r="S144">
        <v>45833</v>
      </c>
      <c r="T144">
        <v>45833</v>
      </c>
      <c r="U144" t="s">
        <v>320</v>
      </c>
      <c r="V144" t="s">
        <v>320</v>
      </c>
      <c r="W144" t="s">
        <v>319</v>
      </c>
      <c r="X144" t="s">
        <v>320</v>
      </c>
      <c r="Y144" t="s">
        <v>320</v>
      </c>
      <c r="Z144" t="s">
        <v>2516</v>
      </c>
      <c r="AA144" t="s">
        <v>2634</v>
      </c>
    </row>
    <row r="145" spans="1:28">
      <c r="A145">
        <v>2</v>
      </c>
      <c r="B145" t="s">
        <v>5</v>
      </c>
      <c r="C145">
        <v>45826</v>
      </c>
      <c r="D145">
        <v>45839</v>
      </c>
      <c r="E145" t="s">
        <v>2631</v>
      </c>
      <c r="F145" t="s">
        <v>313</v>
      </c>
      <c r="G145">
        <v>47286</v>
      </c>
      <c r="H145" t="s">
        <v>2642</v>
      </c>
      <c r="I145" t="s">
        <v>306</v>
      </c>
      <c r="J145">
        <v>3</v>
      </c>
      <c r="K145">
        <v>5.25</v>
      </c>
      <c r="L145">
        <v>21</v>
      </c>
      <c r="M145" t="s">
        <v>12</v>
      </c>
      <c r="N145" t="s">
        <v>315</v>
      </c>
      <c r="O145" t="s">
        <v>316</v>
      </c>
      <c r="P145" t="s">
        <v>317</v>
      </c>
      <c r="Q145" t="s">
        <v>316</v>
      </c>
      <c r="R145" t="s">
        <v>320</v>
      </c>
      <c r="S145" t="s">
        <v>320</v>
      </c>
      <c r="T145" t="s">
        <v>320</v>
      </c>
      <c r="U145" t="s">
        <v>320</v>
      </c>
      <c r="V145" t="s">
        <v>320</v>
      </c>
      <c r="W145" t="s">
        <v>320</v>
      </c>
      <c r="X145" t="s">
        <v>320</v>
      </c>
      <c r="Y145" t="s">
        <v>320</v>
      </c>
      <c r="Z145" t="s">
        <v>2516</v>
      </c>
      <c r="AA145" t="s">
        <v>2516</v>
      </c>
      <c r="AB145" t="s">
        <v>2643</v>
      </c>
    </row>
    <row r="146" spans="1:28">
      <c r="A146">
        <v>3</v>
      </c>
      <c r="B146" t="s">
        <v>5</v>
      </c>
      <c r="C146">
        <v>45826</v>
      </c>
      <c r="D146">
        <v>45839</v>
      </c>
      <c r="E146" t="s">
        <v>2631</v>
      </c>
      <c r="F146" t="s">
        <v>315</v>
      </c>
      <c r="G146">
        <v>48811</v>
      </c>
      <c r="H146" t="s">
        <v>2466</v>
      </c>
      <c r="I146" t="s">
        <v>399</v>
      </c>
      <c r="J146">
        <v>5</v>
      </c>
      <c r="L146">
        <v>32</v>
      </c>
      <c r="AB146" t="s">
        <v>4412</v>
      </c>
    </row>
    <row r="147" spans="1:28">
      <c r="A147">
        <v>4</v>
      </c>
      <c r="B147" t="s">
        <v>5</v>
      </c>
      <c r="C147">
        <v>45826</v>
      </c>
      <c r="D147">
        <v>45839</v>
      </c>
      <c r="E147" t="s">
        <v>2631</v>
      </c>
      <c r="F147" t="s">
        <v>313</v>
      </c>
      <c r="G147">
        <v>48395</v>
      </c>
      <c r="H147" t="s">
        <v>2661</v>
      </c>
      <c r="I147" t="s">
        <v>306</v>
      </c>
      <c r="J147">
        <v>3</v>
      </c>
      <c r="K147">
        <v>2.75</v>
      </c>
      <c r="L147">
        <v>11</v>
      </c>
      <c r="M147" t="s">
        <v>12</v>
      </c>
      <c r="N147" t="s">
        <v>315</v>
      </c>
      <c r="O147" t="s">
        <v>316</v>
      </c>
      <c r="P147" t="s">
        <v>317</v>
      </c>
      <c r="Q147" t="s">
        <v>316</v>
      </c>
      <c r="R147" t="s">
        <v>2662</v>
      </c>
      <c r="S147">
        <v>45831</v>
      </c>
      <c r="T147">
        <v>45831</v>
      </c>
      <c r="U147" t="s">
        <v>12</v>
      </c>
      <c r="V147" t="s">
        <v>316</v>
      </c>
      <c r="W147" t="s">
        <v>319</v>
      </c>
      <c r="X147" t="s">
        <v>320</v>
      </c>
      <c r="Y147" t="s">
        <v>320</v>
      </c>
      <c r="Z147" t="s">
        <v>2516</v>
      </c>
      <c r="AA147" t="s">
        <v>2516</v>
      </c>
    </row>
    <row r="148" spans="1:28">
      <c r="A148">
        <v>5</v>
      </c>
      <c r="B148" t="s">
        <v>5</v>
      </c>
      <c r="C148">
        <v>45826</v>
      </c>
      <c r="D148">
        <v>45839</v>
      </c>
      <c r="E148" t="s">
        <v>2631</v>
      </c>
      <c r="F148" t="s">
        <v>2038</v>
      </c>
      <c r="G148">
        <v>48812</v>
      </c>
      <c r="H148" t="s">
        <v>2573</v>
      </c>
      <c r="I148" t="s">
        <v>338</v>
      </c>
      <c r="J148">
        <v>3</v>
      </c>
      <c r="K148">
        <v>4.75</v>
      </c>
      <c r="L148">
        <v>19</v>
      </c>
      <c r="M148" t="s">
        <v>320</v>
      </c>
      <c r="N148" t="s">
        <v>317</v>
      </c>
      <c r="O148" t="s">
        <v>434</v>
      </c>
      <c r="P148" t="s">
        <v>317</v>
      </c>
      <c r="Q148" t="s">
        <v>316</v>
      </c>
      <c r="R148" t="s">
        <v>2574</v>
      </c>
      <c r="S148">
        <v>45832</v>
      </c>
      <c r="U148" t="s">
        <v>12</v>
      </c>
      <c r="V148" s="100" t="s">
        <v>2575</v>
      </c>
      <c r="Z148" t="s">
        <v>320</v>
      </c>
      <c r="AA148" t="s">
        <v>320</v>
      </c>
      <c r="AB148" s="100" t="s">
        <v>2667</v>
      </c>
    </row>
    <row r="149" spans="1:28">
      <c r="A149">
        <v>6</v>
      </c>
      <c r="B149" t="s">
        <v>5</v>
      </c>
      <c r="C149">
        <v>45826</v>
      </c>
      <c r="D149">
        <v>45839</v>
      </c>
      <c r="E149" t="s">
        <v>2678</v>
      </c>
      <c r="F149" t="s">
        <v>315</v>
      </c>
      <c r="G149">
        <v>48541</v>
      </c>
      <c r="H149" t="s">
        <v>2474</v>
      </c>
      <c r="I149" t="s">
        <v>399</v>
      </c>
      <c r="J149">
        <v>5</v>
      </c>
      <c r="L149">
        <v>26</v>
      </c>
    </row>
    <row r="150" spans="1:28">
      <c r="A150">
        <v>7</v>
      </c>
      <c r="B150" t="s">
        <v>5</v>
      </c>
      <c r="C150">
        <v>45826</v>
      </c>
      <c r="D150">
        <v>45839</v>
      </c>
      <c r="E150" t="s">
        <v>2631</v>
      </c>
      <c r="F150" t="s">
        <v>317</v>
      </c>
      <c r="G150">
        <v>86403</v>
      </c>
      <c r="H150" t="s">
        <v>2679</v>
      </c>
      <c r="I150" t="s">
        <v>306</v>
      </c>
      <c r="J150">
        <v>0</v>
      </c>
      <c r="AB150" t="s">
        <v>2680</v>
      </c>
    </row>
    <row r="151" spans="1:28">
      <c r="A151">
        <v>8</v>
      </c>
      <c r="B151" t="s">
        <v>5</v>
      </c>
      <c r="C151">
        <v>45826</v>
      </c>
      <c r="D151">
        <v>45839</v>
      </c>
      <c r="E151" t="s">
        <v>2678</v>
      </c>
      <c r="F151" t="s">
        <v>313</v>
      </c>
      <c r="G151">
        <v>47278</v>
      </c>
      <c r="H151" t="s">
        <v>2592</v>
      </c>
      <c r="I151" t="s">
        <v>380</v>
      </c>
      <c r="J151">
        <v>2</v>
      </c>
      <c r="L151">
        <v>12</v>
      </c>
      <c r="M151" t="s">
        <v>12</v>
      </c>
      <c r="Z151" t="s">
        <v>2516</v>
      </c>
      <c r="AA151" t="s">
        <v>2516</v>
      </c>
      <c r="AB151" t="s">
        <v>2685</v>
      </c>
    </row>
    <row r="152" spans="1:28">
      <c r="A152">
        <v>9</v>
      </c>
      <c r="B152" t="s">
        <v>5</v>
      </c>
      <c r="C152">
        <v>45826</v>
      </c>
      <c r="D152">
        <v>45839</v>
      </c>
      <c r="E152" t="s">
        <v>2678</v>
      </c>
      <c r="F152" t="s">
        <v>2241</v>
      </c>
      <c r="G152">
        <v>25471</v>
      </c>
      <c r="H152" t="s">
        <v>2691</v>
      </c>
      <c r="I152" t="s">
        <v>376</v>
      </c>
      <c r="J152">
        <v>0</v>
      </c>
      <c r="K152">
        <v>13</v>
      </c>
      <c r="L152">
        <v>13</v>
      </c>
      <c r="Z152" t="s">
        <v>2516</v>
      </c>
      <c r="AA152" t="s">
        <v>2516</v>
      </c>
      <c r="AB152" t="s">
        <v>2692</v>
      </c>
    </row>
    <row r="153" spans="1:28">
      <c r="A153">
        <v>10</v>
      </c>
      <c r="B153" t="s">
        <v>5</v>
      </c>
      <c r="C153">
        <v>45826</v>
      </c>
      <c r="D153">
        <v>45839</v>
      </c>
      <c r="E153" t="s">
        <v>2678</v>
      </c>
      <c r="F153" t="s">
        <v>317</v>
      </c>
      <c r="G153">
        <v>48656</v>
      </c>
      <c r="H153" t="s">
        <v>2694</v>
      </c>
      <c r="I153" t="s">
        <v>399</v>
      </c>
      <c r="J153">
        <v>3</v>
      </c>
      <c r="L153">
        <v>20</v>
      </c>
      <c r="AB153" t="s">
        <v>2695</v>
      </c>
    </row>
    <row r="154" spans="1:28">
      <c r="A154">
        <v>1</v>
      </c>
      <c r="B154" t="s">
        <v>5</v>
      </c>
      <c r="C154">
        <v>45840</v>
      </c>
      <c r="D154">
        <v>45853</v>
      </c>
      <c r="E154" t="s">
        <v>2543</v>
      </c>
      <c r="F154" t="s">
        <v>315</v>
      </c>
      <c r="G154">
        <v>48811</v>
      </c>
      <c r="H154" t="s">
        <v>2466</v>
      </c>
      <c r="I154" t="s">
        <v>1117</v>
      </c>
      <c r="J154">
        <v>3</v>
      </c>
      <c r="K154">
        <v>3.5</v>
      </c>
      <c r="L154">
        <v>14.74</v>
      </c>
      <c r="M154" t="s">
        <v>12</v>
      </c>
      <c r="N154" t="s">
        <v>313</v>
      </c>
      <c r="O154" t="s">
        <v>316</v>
      </c>
      <c r="P154" t="s">
        <v>317</v>
      </c>
      <c r="Q154" t="s">
        <v>2544</v>
      </c>
      <c r="R154" t="s">
        <v>2545</v>
      </c>
      <c r="S154">
        <v>45847</v>
      </c>
      <c r="T154">
        <v>45847</v>
      </c>
      <c r="U154" t="s">
        <v>12</v>
      </c>
      <c r="V154" t="s">
        <v>316</v>
      </c>
      <c r="W154" t="s">
        <v>319</v>
      </c>
      <c r="X154" t="s">
        <v>320</v>
      </c>
      <c r="Y154" t="s">
        <v>320</v>
      </c>
      <c r="Z154" t="s">
        <v>2546</v>
      </c>
      <c r="AA154" t="s">
        <v>2516</v>
      </c>
      <c r="AB154" t="s">
        <v>2547</v>
      </c>
    </row>
    <row r="155" spans="1:28">
      <c r="A155">
        <v>2</v>
      </c>
      <c r="B155" t="s">
        <v>5</v>
      </c>
      <c r="C155">
        <v>45840</v>
      </c>
      <c r="D155">
        <v>45853</v>
      </c>
      <c r="E155" t="s">
        <v>2543</v>
      </c>
      <c r="F155" t="s">
        <v>315</v>
      </c>
      <c r="G155">
        <v>48541</v>
      </c>
      <c r="H155" t="s">
        <v>2474</v>
      </c>
      <c r="I155" t="s">
        <v>1117</v>
      </c>
      <c r="J155">
        <v>3</v>
      </c>
      <c r="K155">
        <v>3</v>
      </c>
      <c r="L155">
        <v>12</v>
      </c>
      <c r="M155" t="s">
        <v>12</v>
      </c>
      <c r="N155" t="s">
        <v>313</v>
      </c>
      <c r="O155" t="s">
        <v>316</v>
      </c>
      <c r="P155" t="s">
        <v>317</v>
      </c>
      <c r="Q155" t="s">
        <v>316</v>
      </c>
      <c r="R155" t="s">
        <v>2545</v>
      </c>
      <c r="S155">
        <v>45847</v>
      </c>
      <c r="T155">
        <v>45847</v>
      </c>
      <c r="U155" t="s">
        <v>12</v>
      </c>
      <c r="V155" t="s">
        <v>316</v>
      </c>
      <c r="W155" t="s">
        <v>319</v>
      </c>
      <c r="X155" t="s">
        <v>320</v>
      </c>
      <c r="Y155" t="s">
        <v>320</v>
      </c>
      <c r="Z155" t="s">
        <v>2516</v>
      </c>
      <c r="AA155" t="s">
        <v>2516</v>
      </c>
      <c r="AB155" t="s">
        <v>2547</v>
      </c>
    </row>
    <row r="156" spans="1:28">
      <c r="A156">
        <v>3</v>
      </c>
      <c r="B156" t="s">
        <v>5</v>
      </c>
      <c r="C156">
        <v>45840</v>
      </c>
      <c r="D156">
        <v>45853</v>
      </c>
      <c r="E156" t="s">
        <v>2543</v>
      </c>
      <c r="F156" t="s">
        <v>313</v>
      </c>
      <c r="G156">
        <v>47287</v>
      </c>
      <c r="H156" t="s">
        <v>2558</v>
      </c>
      <c r="I156" t="s">
        <v>306</v>
      </c>
      <c r="J156">
        <v>2</v>
      </c>
      <c r="K156">
        <v>2.5</v>
      </c>
      <c r="L156">
        <v>10</v>
      </c>
      <c r="M156" t="s">
        <v>12</v>
      </c>
      <c r="N156" t="s">
        <v>317</v>
      </c>
      <c r="O156" t="s">
        <v>316</v>
      </c>
      <c r="P156" t="s">
        <v>317</v>
      </c>
      <c r="Q156" t="s">
        <v>316</v>
      </c>
      <c r="R156" t="s">
        <v>320</v>
      </c>
      <c r="S156" t="s">
        <v>320</v>
      </c>
      <c r="T156" t="s">
        <v>320</v>
      </c>
      <c r="U156" t="s">
        <v>320</v>
      </c>
      <c r="V156" t="s">
        <v>316</v>
      </c>
      <c r="W156" t="s">
        <v>320</v>
      </c>
      <c r="X156" t="s">
        <v>320</v>
      </c>
      <c r="Y156" t="s">
        <v>320</v>
      </c>
      <c r="Z156" t="s">
        <v>2516</v>
      </c>
      <c r="AA156" t="s">
        <v>2516</v>
      </c>
      <c r="AB156" t="s">
        <v>2559</v>
      </c>
    </row>
    <row r="157" spans="1:28">
      <c r="A157">
        <v>4</v>
      </c>
      <c r="B157" t="s">
        <v>5</v>
      </c>
      <c r="C157">
        <v>45840</v>
      </c>
      <c r="D157">
        <v>45853</v>
      </c>
      <c r="E157" t="s">
        <v>2543</v>
      </c>
      <c r="F157" t="s">
        <v>1216</v>
      </c>
      <c r="G157" t="s">
        <v>2565</v>
      </c>
      <c r="H157" t="s">
        <v>2566</v>
      </c>
      <c r="I157" t="s">
        <v>306</v>
      </c>
      <c r="J157">
        <v>5</v>
      </c>
      <c r="K157">
        <v>4</v>
      </c>
      <c r="L157">
        <v>20</v>
      </c>
      <c r="M157" t="s">
        <v>320</v>
      </c>
      <c r="N157" t="s">
        <v>313</v>
      </c>
      <c r="O157" t="s">
        <v>434</v>
      </c>
      <c r="P157" t="s">
        <v>317</v>
      </c>
      <c r="Q157" t="s">
        <v>316</v>
      </c>
      <c r="R157" t="s">
        <v>2567</v>
      </c>
      <c r="S157">
        <v>45847</v>
      </c>
      <c r="T157">
        <v>45847</v>
      </c>
      <c r="U157" t="s">
        <v>12</v>
      </c>
      <c r="V157" t="s">
        <v>434</v>
      </c>
      <c r="W157" t="s">
        <v>434</v>
      </c>
      <c r="X157" t="s">
        <v>434</v>
      </c>
      <c r="Y157" t="s">
        <v>434</v>
      </c>
      <c r="Z157" t="s">
        <v>320</v>
      </c>
      <c r="AA157" t="s">
        <v>320</v>
      </c>
    </row>
    <row r="158" spans="1:28">
      <c r="A158">
        <v>5</v>
      </c>
      <c r="B158" t="s">
        <v>5</v>
      </c>
      <c r="C158">
        <v>45840</v>
      </c>
      <c r="D158">
        <v>45853</v>
      </c>
      <c r="E158" t="s">
        <v>2543</v>
      </c>
      <c r="F158" t="s">
        <v>2038</v>
      </c>
      <c r="G158">
        <v>48812</v>
      </c>
      <c r="H158" t="s">
        <v>2573</v>
      </c>
      <c r="I158" t="s">
        <v>306</v>
      </c>
      <c r="J158">
        <v>0.5</v>
      </c>
      <c r="K158">
        <v>0</v>
      </c>
      <c r="L158">
        <v>0</v>
      </c>
      <c r="M158" t="s">
        <v>320</v>
      </c>
      <c r="N158" t="s">
        <v>317</v>
      </c>
      <c r="O158" t="s">
        <v>434</v>
      </c>
      <c r="P158" t="s">
        <v>317</v>
      </c>
      <c r="Q158" t="s">
        <v>316</v>
      </c>
      <c r="R158" t="s">
        <v>2574</v>
      </c>
      <c r="S158">
        <v>45832</v>
      </c>
      <c r="T158">
        <v>45695</v>
      </c>
      <c r="U158" t="s">
        <v>12</v>
      </c>
      <c r="V158" s="100" t="s">
        <v>2575</v>
      </c>
      <c r="W158" t="s">
        <v>434</v>
      </c>
      <c r="X158" t="s">
        <v>434</v>
      </c>
      <c r="Y158" t="s">
        <v>434</v>
      </c>
      <c r="Z158" t="s">
        <v>320</v>
      </c>
      <c r="AA158" t="s">
        <v>320</v>
      </c>
      <c r="AB158" t="s">
        <v>434</v>
      </c>
    </row>
    <row r="159" spans="1:28">
      <c r="A159">
        <v>6</v>
      </c>
      <c r="B159" t="s">
        <v>5</v>
      </c>
      <c r="C159">
        <v>45840</v>
      </c>
      <c r="D159">
        <v>45853</v>
      </c>
      <c r="E159" t="s">
        <v>2543</v>
      </c>
      <c r="F159" t="s">
        <v>317</v>
      </c>
      <c r="G159">
        <v>48656</v>
      </c>
      <c r="H159" t="s">
        <v>2578</v>
      </c>
      <c r="I159" t="s">
        <v>399</v>
      </c>
      <c r="J159">
        <v>3</v>
      </c>
      <c r="L159">
        <v>33.5</v>
      </c>
      <c r="M159" t="s">
        <v>12</v>
      </c>
      <c r="N159" t="s">
        <v>313</v>
      </c>
      <c r="O159" t="s">
        <v>316</v>
      </c>
      <c r="P159" t="s">
        <v>313</v>
      </c>
      <c r="Q159" t="s">
        <v>2579</v>
      </c>
      <c r="R159" t="s">
        <v>2580</v>
      </c>
      <c r="S159">
        <v>45852</v>
      </c>
      <c r="T159">
        <v>45852</v>
      </c>
      <c r="U159" t="s">
        <v>320</v>
      </c>
      <c r="V159" t="s">
        <v>320</v>
      </c>
      <c r="W159" t="s">
        <v>320</v>
      </c>
      <c r="X159" t="s">
        <v>320</v>
      </c>
      <c r="Y159" t="s">
        <v>320</v>
      </c>
      <c r="Z159" s="100" t="s">
        <v>2581</v>
      </c>
      <c r="AA159" t="s">
        <v>2516</v>
      </c>
      <c r="AB159" t="s">
        <v>2582</v>
      </c>
    </row>
    <row r="160" spans="1:28">
      <c r="A160">
        <v>7</v>
      </c>
      <c r="B160" t="s">
        <v>5</v>
      </c>
      <c r="C160">
        <v>45840</v>
      </c>
      <c r="D160">
        <v>45853</v>
      </c>
      <c r="E160" t="s">
        <v>2543</v>
      </c>
      <c r="F160" t="s">
        <v>313</v>
      </c>
      <c r="G160">
        <v>47278</v>
      </c>
      <c r="H160" t="s">
        <v>2592</v>
      </c>
      <c r="I160" t="s">
        <v>306</v>
      </c>
      <c r="J160">
        <v>2</v>
      </c>
      <c r="K160">
        <v>1.25</v>
      </c>
      <c r="L160">
        <v>5</v>
      </c>
      <c r="M160" t="s">
        <v>12</v>
      </c>
      <c r="N160" t="s">
        <v>315</v>
      </c>
      <c r="O160" t="s">
        <v>316</v>
      </c>
      <c r="P160" t="s">
        <v>317</v>
      </c>
      <c r="Q160" t="s">
        <v>316</v>
      </c>
      <c r="R160" t="s">
        <v>320</v>
      </c>
      <c r="S160" t="s">
        <v>320</v>
      </c>
      <c r="T160" t="s">
        <v>320</v>
      </c>
      <c r="U160" t="s">
        <v>320</v>
      </c>
      <c r="V160" t="s">
        <v>316</v>
      </c>
      <c r="W160" t="s">
        <v>320</v>
      </c>
      <c r="X160" t="s">
        <v>320</v>
      </c>
      <c r="Y160" t="s">
        <v>320</v>
      </c>
      <c r="Z160" t="s">
        <v>2516</v>
      </c>
      <c r="AA160" t="s">
        <v>2516</v>
      </c>
      <c r="AB160" t="s">
        <v>2559</v>
      </c>
    </row>
    <row r="161" spans="1:28">
      <c r="A161">
        <v>8</v>
      </c>
      <c r="B161" t="s">
        <v>5</v>
      </c>
      <c r="C161">
        <v>45840</v>
      </c>
      <c r="D161">
        <v>45853</v>
      </c>
      <c r="E161" t="s">
        <v>2543</v>
      </c>
      <c r="F161" t="s">
        <v>313</v>
      </c>
      <c r="G161">
        <v>47280</v>
      </c>
      <c r="H161" t="s">
        <v>2598</v>
      </c>
      <c r="I161" t="s">
        <v>306</v>
      </c>
      <c r="J161">
        <v>2</v>
      </c>
      <c r="K161">
        <v>3.75</v>
      </c>
      <c r="L161">
        <v>15</v>
      </c>
      <c r="M161" t="s">
        <v>12</v>
      </c>
      <c r="N161" t="s">
        <v>315</v>
      </c>
      <c r="O161" t="s">
        <v>316</v>
      </c>
      <c r="P161" t="s">
        <v>317</v>
      </c>
      <c r="Q161" t="s">
        <v>316</v>
      </c>
      <c r="R161" t="s">
        <v>320</v>
      </c>
      <c r="S161" t="s">
        <v>320</v>
      </c>
      <c r="T161" t="s">
        <v>320</v>
      </c>
      <c r="U161" t="s">
        <v>320</v>
      </c>
      <c r="V161" t="s">
        <v>316</v>
      </c>
      <c r="W161" t="s">
        <v>320</v>
      </c>
      <c r="X161" t="s">
        <v>320</v>
      </c>
      <c r="Y161" t="s">
        <v>320</v>
      </c>
      <c r="Z161" t="s">
        <v>2516</v>
      </c>
      <c r="AA161" t="s">
        <v>2516</v>
      </c>
      <c r="AB161" t="s">
        <v>2599</v>
      </c>
    </row>
    <row r="162" spans="1:28">
      <c r="A162">
        <v>9</v>
      </c>
      <c r="B162" t="s">
        <v>5</v>
      </c>
      <c r="C162">
        <v>45840</v>
      </c>
      <c r="D162">
        <v>45853</v>
      </c>
      <c r="E162" t="s">
        <v>2543</v>
      </c>
      <c r="F162" t="s">
        <v>313</v>
      </c>
      <c r="G162">
        <v>49012</v>
      </c>
      <c r="H162" t="s">
        <v>2513</v>
      </c>
      <c r="I162" t="s">
        <v>338</v>
      </c>
      <c r="J162">
        <v>3</v>
      </c>
      <c r="K162">
        <v>3.5</v>
      </c>
      <c r="L162">
        <v>10</v>
      </c>
      <c r="M162" t="s">
        <v>12</v>
      </c>
      <c r="AB162" s="100" t="s">
        <v>2604</v>
      </c>
    </row>
    <row r="163" spans="1:28">
      <c r="A163">
        <v>10</v>
      </c>
      <c r="B163" t="s">
        <v>5</v>
      </c>
      <c r="C163">
        <v>45840</v>
      </c>
      <c r="D163">
        <v>45853</v>
      </c>
      <c r="E163" t="s">
        <v>2605</v>
      </c>
      <c r="F163" t="s">
        <v>313</v>
      </c>
      <c r="G163">
        <v>47281</v>
      </c>
      <c r="H163" t="s">
        <v>2606</v>
      </c>
      <c r="I163" t="s">
        <v>306</v>
      </c>
      <c r="J163">
        <v>2</v>
      </c>
      <c r="K163">
        <v>4</v>
      </c>
      <c r="L163">
        <v>16</v>
      </c>
      <c r="M163" t="s">
        <v>12</v>
      </c>
      <c r="N163" t="s">
        <v>315</v>
      </c>
      <c r="O163" t="s">
        <v>316</v>
      </c>
      <c r="P163" t="s">
        <v>317</v>
      </c>
      <c r="Q163" t="s">
        <v>316</v>
      </c>
      <c r="R163" t="s">
        <v>320</v>
      </c>
      <c r="S163" t="s">
        <v>320</v>
      </c>
      <c r="T163" t="s">
        <v>320</v>
      </c>
      <c r="U163" t="s">
        <v>320</v>
      </c>
      <c r="V163" t="s">
        <v>316</v>
      </c>
      <c r="W163" t="s">
        <v>320</v>
      </c>
      <c r="X163" t="s">
        <v>320</v>
      </c>
      <c r="Y163" t="s">
        <v>320</v>
      </c>
      <c r="Z163" t="s">
        <v>2516</v>
      </c>
      <c r="AA163" t="s">
        <v>2516</v>
      </c>
      <c r="AB163" t="s">
        <v>2599</v>
      </c>
    </row>
    <row r="164" spans="1:28">
      <c r="A164">
        <v>11</v>
      </c>
      <c r="B164" t="s">
        <v>5</v>
      </c>
      <c r="C164">
        <v>45840</v>
      </c>
      <c r="D164">
        <v>45853</v>
      </c>
      <c r="E164" t="s">
        <v>2605</v>
      </c>
      <c r="F164" t="s">
        <v>2038</v>
      </c>
      <c r="G164">
        <v>49073</v>
      </c>
      <c r="H164" t="s">
        <v>2500</v>
      </c>
      <c r="I164" t="s">
        <v>399</v>
      </c>
      <c r="J164">
        <v>3</v>
      </c>
      <c r="K164">
        <v>2</v>
      </c>
      <c r="L164">
        <v>8</v>
      </c>
    </row>
    <row r="165" spans="1:28">
      <c r="A165">
        <v>12</v>
      </c>
      <c r="B165" t="s">
        <v>5</v>
      </c>
      <c r="C165">
        <v>45840</v>
      </c>
      <c r="D165">
        <v>45853</v>
      </c>
      <c r="E165" t="s">
        <v>2605</v>
      </c>
      <c r="F165" t="s">
        <v>315</v>
      </c>
      <c r="G165" t="s">
        <v>2447</v>
      </c>
      <c r="H165" t="s">
        <v>2448</v>
      </c>
      <c r="I165" t="s">
        <v>399</v>
      </c>
      <c r="J165">
        <v>8</v>
      </c>
      <c r="L165">
        <v>28.25</v>
      </c>
    </row>
    <row r="166" spans="1:28">
      <c r="A166">
        <v>13</v>
      </c>
      <c r="B166" t="s">
        <v>5</v>
      </c>
      <c r="C166">
        <v>45840</v>
      </c>
      <c r="D166">
        <v>45853</v>
      </c>
      <c r="E166" t="s">
        <v>2605</v>
      </c>
      <c r="F166" t="s">
        <v>313</v>
      </c>
      <c r="G166">
        <v>47285</v>
      </c>
      <c r="H166" t="s">
        <v>2622</v>
      </c>
      <c r="I166" t="s">
        <v>306</v>
      </c>
      <c r="J166">
        <v>2</v>
      </c>
      <c r="K166">
        <v>5.125</v>
      </c>
      <c r="L166">
        <v>20.75</v>
      </c>
      <c r="M166" t="s">
        <v>12</v>
      </c>
      <c r="N166" t="s">
        <v>315</v>
      </c>
      <c r="O166" t="s">
        <v>316</v>
      </c>
      <c r="P166" t="s">
        <v>317</v>
      </c>
      <c r="Q166" t="s">
        <v>316</v>
      </c>
      <c r="R166" t="s">
        <v>320</v>
      </c>
      <c r="S166" t="s">
        <v>320</v>
      </c>
      <c r="T166" t="s">
        <v>320</v>
      </c>
      <c r="U166" t="s">
        <v>320</v>
      </c>
      <c r="V166" t="s">
        <v>316</v>
      </c>
      <c r="W166" t="s">
        <v>320</v>
      </c>
      <c r="X166" t="s">
        <v>320</v>
      </c>
      <c r="Y166" t="s">
        <v>320</v>
      </c>
      <c r="Z166" t="s">
        <v>2516</v>
      </c>
      <c r="AA166" t="s">
        <v>2516</v>
      </c>
      <c r="AB166" t="s">
        <v>2599</v>
      </c>
    </row>
    <row r="167" spans="1:28">
      <c r="A167">
        <v>1</v>
      </c>
      <c r="B167" t="s">
        <v>5</v>
      </c>
      <c r="C167">
        <v>45854</v>
      </c>
      <c r="D167">
        <v>45867</v>
      </c>
      <c r="E167" t="s">
        <v>4413</v>
      </c>
      <c r="F167" t="s">
        <v>315</v>
      </c>
      <c r="G167" t="s">
        <v>2447</v>
      </c>
      <c r="H167" t="s">
        <v>2448</v>
      </c>
      <c r="I167" t="s">
        <v>306</v>
      </c>
      <c r="J167">
        <v>3</v>
      </c>
      <c r="K167">
        <v>8.5</v>
      </c>
      <c r="L167">
        <v>34</v>
      </c>
      <c r="M167">
        <v>45854</v>
      </c>
      <c r="N167">
        <v>45863</v>
      </c>
      <c r="O167" t="s">
        <v>319</v>
      </c>
      <c r="P167" t="s">
        <v>1976</v>
      </c>
      <c r="Q167" t="s">
        <v>316</v>
      </c>
      <c r="R167" t="s">
        <v>317</v>
      </c>
      <c r="S167" t="s">
        <v>316</v>
      </c>
      <c r="T167" t="s">
        <v>2449</v>
      </c>
      <c r="U167">
        <v>45860</v>
      </c>
      <c r="V167">
        <v>45860</v>
      </c>
      <c r="W167" t="s">
        <v>12</v>
      </c>
      <c r="X167" t="s">
        <v>316</v>
      </c>
      <c r="Y167" t="s">
        <v>319</v>
      </c>
      <c r="Z167" t="s">
        <v>320</v>
      </c>
      <c r="AA167" t="s">
        <v>320</v>
      </c>
      <c r="AB167" t="s">
        <v>316</v>
      </c>
    </row>
    <row r="168" spans="1:28">
      <c r="A168">
        <v>2</v>
      </c>
      <c r="B168" t="s">
        <v>5</v>
      </c>
      <c r="C168">
        <v>45854</v>
      </c>
      <c r="D168">
        <v>45867</v>
      </c>
      <c r="E168" t="s">
        <v>4413</v>
      </c>
      <c r="F168" t="s">
        <v>313</v>
      </c>
      <c r="G168">
        <v>25579</v>
      </c>
      <c r="H168" t="s">
        <v>2459</v>
      </c>
      <c r="I168" t="s">
        <v>376</v>
      </c>
      <c r="J168">
        <v>2</v>
      </c>
      <c r="K168">
        <v>1.93</v>
      </c>
      <c r="L168">
        <v>7.75</v>
      </c>
      <c r="M168">
        <v>45854</v>
      </c>
      <c r="N168">
        <v>45855</v>
      </c>
      <c r="O168" t="s">
        <v>319</v>
      </c>
      <c r="P168" t="s">
        <v>315</v>
      </c>
      <c r="Q168" t="s">
        <v>316</v>
      </c>
      <c r="R168" t="s">
        <v>317</v>
      </c>
      <c r="S168" t="s">
        <v>316</v>
      </c>
      <c r="T168" t="s">
        <v>320</v>
      </c>
      <c r="U168" t="s">
        <v>320</v>
      </c>
      <c r="V168" t="s">
        <v>320</v>
      </c>
      <c r="W168" t="s">
        <v>320</v>
      </c>
      <c r="X168" t="s">
        <v>320</v>
      </c>
      <c r="Y168" t="s">
        <v>320</v>
      </c>
      <c r="Z168" t="s">
        <v>320</v>
      </c>
      <c r="AA168" t="s">
        <v>320</v>
      </c>
      <c r="AB168" t="s">
        <v>316</v>
      </c>
    </row>
    <row r="169" spans="1:28">
      <c r="A169">
        <v>3</v>
      </c>
      <c r="B169" t="s">
        <v>5</v>
      </c>
      <c r="C169">
        <v>45854</v>
      </c>
      <c r="D169">
        <v>45867</v>
      </c>
      <c r="E169" t="s">
        <v>4413</v>
      </c>
      <c r="F169" t="s">
        <v>315</v>
      </c>
      <c r="G169">
        <v>48811</v>
      </c>
      <c r="H169" t="s">
        <v>2466</v>
      </c>
      <c r="I169" t="s">
        <v>306</v>
      </c>
      <c r="J169">
        <v>2</v>
      </c>
      <c r="K169">
        <v>2.5</v>
      </c>
      <c r="L169">
        <v>10</v>
      </c>
      <c r="M169">
        <v>45859</v>
      </c>
      <c r="N169">
        <v>45861</v>
      </c>
      <c r="O169" t="s">
        <v>319</v>
      </c>
      <c r="P169" t="s">
        <v>1976</v>
      </c>
      <c r="Q169" t="s">
        <v>316</v>
      </c>
      <c r="R169" t="s">
        <v>317</v>
      </c>
      <c r="S169" t="s">
        <v>316</v>
      </c>
      <c r="T169" t="s">
        <v>2467</v>
      </c>
      <c r="U169">
        <v>45859</v>
      </c>
      <c r="V169">
        <v>45859</v>
      </c>
      <c r="W169" t="s">
        <v>12</v>
      </c>
      <c r="X169" t="s">
        <v>316</v>
      </c>
      <c r="Y169" t="s">
        <v>319</v>
      </c>
      <c r="Z169" t="s">
        <v>320</v>
      </c>
      <c r="AA169" t="s">
        <v>320</v>
      </c>
      <c r="AB169" t="s">
        <v>316</v>
      </c>
    </row>
    <row r="170" spans="1:28">
      <c r="A170">
        <v>4</v>
      </c>
      <c r="B170" t="s">
        <v>5</v>
      </c>
      <c r="C170">
        <v>45854</v>
      </c>
      <c r="D170">
        <v>45867</v>
      </c>
      <c r="E170" t="s">
        <v>4413</v>
      </c>
      <c r="F170" t="s">
        <v>315</v>
      </c>
      <c r="G170">
        <v>48541</v>
      </c>
      <c r="H170" t="s">
        <v>2474</v>
      </c>
      <c r="I170" t="s">
        <v>306</v>
      </c>
      <c r="J170">
        <v>2</v>
      </c>
      <c r="K170">
        <v>6.25</v>
      </c>
      <c r="L170">
        <v>25</v>
      </c>
      <c r="M170">
        <v>45859</v>
      </c>
      <c r="N170">
        <v>45861</v>
      </c>
      <c r="O170" t="s">
        <v>319</v>
      </c>
      <c r="P170" t="s">
        <v>1976</v>
      </c>
      <c r="Q170" t="s">
        <v>316</v>
      </c>
      <c r="R170" t="s">
        <v>317</v>
      </c>
      <c r="S170" t="s">
        <v>316</v>
      </c>
      <c r="T170" t="s">
        <v>2467</v>
      </c>
      <c r="U170">
        <v>45859</v>
      </c>
      <c r="V170">
        <v>45859</v>
      </c>
      <c r="W170" t="s">
        <v>12</v>
      </c>
      <c r="X170" t="s">
        <v>316</v>
      </c>
      <c r="Y170" t="s">
        <v>319</v>
      </c>
      <c r="Z170" t="s">
        <v>320</v>
      </c>
      <c r="AA170" t="s">
        <v>320</v>
      </c>
      <c r="AB170" t="s">
        <v>316</v>
      </c>
    </row>
    <row r="171" spans="1:28">
      <c r="A171">
        <v>5</v>
      </c>
      <c r="B171" t="s">
        <v>5</v>
      </c>
      <c r="C171">
        <v>45854</v>
      </c>
      <c r="D171">
        <v>45867</v>
      </c>
      <c r="E171" t="s">
        <v>4413</v>
      </c>
      <c r="F171" t="s">
        <v>315</v>
      </c>
      <c r="G171" t="s">
        <v>2477</v>
      </c>
      <c r="H171" s="100" t="s">
        <v>2478</v>
      </c>
      <c r="I171" t="s">
        <v>376</v>
      </c>
      <c r="J171">
        <v>0</v>
      </c>
      <c r="K171">
        <v>1.5</v>
      </c>
      <c r="L171">
        <v>6</v>
      </c>
      <c r="M171">
        <v>45856</v>
      </c>
      <c r="N171">
        <v>45863</v>
      </c>
      <c r="O171" t="s">
        <v>319</v>
      </c>
      <c r="R171" t="s">
        <v>317</v>
      </c>
      <c r="S171" t="s">
        <v>316</v>
      </c>
      <c r="T171" t="s">
        <v>320</v>
      </c>
      <c r="U171" t="s">
        <v>320</v>
      </c>
      <c r="V171" t="s">
        <v>320</v>
      </c>
      <c r="W171" t="s">
        <v>320</v>
      </c>
      <c r="X171" t="s">
        <v>320</v>
      </c>
      <c r="Y171" t="s">
        <v>320</v>
      </c>
      <c r="Z171" t="s">
        <v>320</v>
      </c>
      <c r="AA171" t="s">
        <v>320</v>
      </c>
      <c r="AB171" t="s">
        <v>316</v>
      </c>
    </row>
    <row r="172" spans="1:28">
      <c r="A172">
        <v>6</v>
      </c>
      <c r="B172" t="s">
        <v>5</v>
      </c>
      <c r="C172">
        <v>45854</v>
      </c>
      <c r="D172">
        <v>45867</v>
      </c>
      <c r="E172" t="s">
        <v>4413</v>
      </c>
      <c r="F172" t="s">
        <v>313</v>
      </c>
      <c r="G172">
        <v>49209</v>
      </c>
      <c r="H172" t="s">
        <v>588</v>
      </c>
      <c r="I172" t="s">
        <v>306</v>
      </c>
      <c r="J172">
        <v>1</v>
      </c>
      <c r="K172">
        <v>0.5</v>
      </c>
      <c r="L172">
        <v>2</v>
      </c>
      <c r="M172" t="s">
        <v>320</v>
      </c>
      <c r="N172" t="s">
        <v>320</v>
      </c>
      <c r="O172" t="s">
        <v>320</v>
      </c>
      <c r="P172" t="s">
        <v>320</v>
      </c>
      <c r="Q172" t="s">
        <v>320</v>
      </c>
      <c r="R172" t="s">
        <v>320</v>
      </c>
      <c r="S172" t="s">
        <v>320</v>
      </c>
      <c r="T172" t="s">
        <v>320</v>
      </c>
      <c r="U172" t="s">
        <v>320</v>
      </c>
      <c r="V172" t="s">
        <v>320</v>
      </c>
      <c r="W172" t="s">
        <v>320</v>
      </c>
      <c r="X172" t="s">
        <v>320</v>
      </c>
      <c r="Y172" t="s">
        <v>320</v>
      </c>
      <c r="Z172" t="s">
        <v>320</v>
      </c>
      <c r="AA172" t="s">
        <v>320</v>
      </c>
      <c r="AB172" t="s">
        <v>320</v>
      </c>
    </row>
    <row r="173" spans="1:28">
      <c r="A173">
        <v>7</v>
      </c>
      <c r="B173" t="s">
        <v>5</v>
      </c>
      <c r="C173">
        <v>45854</v>
      </c>
      <c r="D173">
        <v>45867</v>
      </c>
      <c r="E173" t="s">
        <v>4413</v>
      </c>
      <c r="F173" t="s">
        <v>313</v>
      </c>
      <c r="G173">
        <v>49210</v>
      </c>
      <c r="H173" t="s">
        <v>583</v>
      </c>
      <c r="I173" t="s">
        <v>306</v>
      </c>
      <c r="J173">
        <v>2</v>
      </c>
      <c r="K173">
        <v>1.5</v>
      </c>
      <c r="L173">
        <v>6</v>
      </c>
      <c r="M173" t="s">
        <v>320</v>
      </c>
      <c r="N173" t="s">
        <v>320</v>
      </c>
      <c r="O173" t="s">
        <v>320</v>
      </c>
      <c r="P173" t="s">
        <v>320</v>
      </c>
      <c r="Q173" t="s">
        <v>320</v>
      </c>
      <c r="R173" t="s">
        <v>320</v>
      </c>
      <c r="S173" t="s">
        <v>320</v>
      </c>
      <c r="T173" t="s">
        <v>320</v>
      </c>
      <c r="U173" t="s">
        <v>320</v>
      </c>
      <c r="V173" t="s">
        <v>320</v>
      </c>
      <c r="W173" t="s">
        <v>320</v>
      </c>
      <c r="X173" t="s">
        <v>320</v>
      </c>
      <c r="Y173" t="s">
        <v>320</v>
      </c>
      <c r="Z173" t="s">
        <v>320</v>
      </c>
      <c r="AA173" t="s">
        <v>320</v>
      </c>
      <c r="AB173" t="s">
        <v>320</v>
      </c>
    </row>
    <row r="174" spans="1:28">
      <c r="A174">
        <v>8</v>
      </c>
      <c r="B174" t="s">
        <v>5</v>
      </c>
      <c r="C174">
        <v>45854</v>
      </c>
      <c r="D174">
        <v>45867</v>
      </c>
      <c r="E174" t="s">
        <v>4413</v>
      </c>
      <c r="F174" t="s">
        <v>2038</v>
      </c>
      <c r="G174">
        <v>49216</v>
      </c>
      <c r="H174" t="s">
        <v>2486</v>
      </c>
      <c r="I174" t="s">
        <v>306</v>
      </c>
      <c r="J174">
        <v>3</v>
      </c>
      <c r="M174" t="s">
        <v>320</v>
      </c>
      <c r="N174" t="s">
        <v>320</v>
      </c>
      <c r="O174" t="s">
        <v>320</v>
      </c>
      <c r="P174" t="s">
        <v>320</v>
      </c>
      <c r="Q174" t="s">
        <v>320</v>
      </c>
      <c r="R174" t="s">
        <v>320</v>
      </c>
      <c r="S174" t="s">
        <v>320</v>
      </c>
      <c r="T174" t="s">
        <v>320</v>
      </c>
      <c r="U174" t="s">
        <v>320</v>
      </c>
      <c r="V174" t="s">
        <v>320</v>
      </c>
      <c r="W174" t="s">
        <v>320</v>
      </c>
      <c r="X174" t="s">
        <v>320</v>
      </c>
      <c r="Y174" t="s">
        <v>320</v>
      </c>
      <c r="Z174" t="s">
        <v>320</v>
      </c>
      <c r="AA174" t="s">
        <v>320</v>
      </c>
      <c r="AB174" t="s">
        <v>320</v>
      </c>
    </row>
    <row r="175" spans="1:28">
      <c r="A175">
        <v>9</v>
      </c>
      <c r="B175" t="s">
        <v>5</v>
      </c>
      <c r="C175">
        <v>45854</v>
      </c>
      <c r="D175">
        <v>45867</v>
      </c>
      <c r="E175" t="s">
        <v>4413</v>
      </c>
      <c r="F175" t="s">
        <v>317</v>
      </c>
      <c r="G175">
        <v>49213</v>
      </c>
      <c r="H175" s="100" t="s">
        <v>2491</v>
      </c>
      <c r="I175" t="s">
        <v>306</v>
      </c>
      <c r="J175">
        <v>2</v>
      </c>
      <c r="K175">
        <v>2</v>
      </c>
      <c r="L175">
        <v>8</v>
      </c>
      <c r="M175" t="s">
        <v>320</v>
      </c>
      <c r="N175" t="s">
        <v>320</v>
      </c>
      <c r="O175" t="s">
        <v>320</v>
      </c>
      <c r="P175" t="s">
        <v>320</v>
      </c>
      <c r="Q175" t="s">
        <v>320</v>
      </c>
      <c r="R175" t="s">
        <v>320</v>
      </c>
      <c r="S175" t="s">
        <v>320</v>
      </c>
      <c r="T175" t="s">
        <v>320</v>
      </c>
      <c r="U175" t="s">
        <v>320</v>
      </c>
      <c r="V175" t="s">
        <v>320</v>
      </c>
      <c r="W175" t="s">
        <v>320</v>
      </c>
      <c r="X175" t="s">
        <v>320</v>
      </c>
      <c r="Y175" t="s">
        <v>320</v>
      </c>
      <c r="Z175" t="s">
        <v>320</v>
      </c>
      <c r="AA175" t="s">
        <v>320</v>
      </c>
      <c r="AB175" t="s">
        <v>320</v>
      </c>
    </row>
    <row r="176" spans="1:28">
      <c r="A176">
        <v>10</v>
      </c>
      <c r="B176" t="s">
        <v>5</v>
      </c>
      <c r="C176">
        <v>45854</v>
      </c>
      <c r="D176">
        <v>45867</v>
      </c>
      <c r="E176" t="s">
        <v>4413</v>
      </c>
      <c r="F176" t="s">
        <v>313</v>
      </c>
      <c r="G176">
        <v>49212</v>
      </c>
      <c r="H176" t="s">
        <v>1149</v>
      </c>
      <c r="I176" t="s">
        <v>306</v>
      </c>
      <c r="J176">
        <v>3</v>
      </c>
      <c r="K176">
        <v>3</v>
      </c>
      <c r="L176">
        <v>12</v>
      </c>
      <c r="M176" t="s">
        <v>320</v>
      </c>
      <c r="N176" t="s">
        <v>320</v>
      </c>
      <c r="O176" t="s">
        <v>320</v>
      </c>
      <c r="P176" t="s">
        <v>320</v>
      </c>
      <c r="Q176" t="s">
        <v>320</v>
      </c>
      <c r="R176" t="s">
        <v>320</v>
      </c>
      <c r="S176" t="s">
        <v>320</v>
      </c>
      <c r="T176" t="s">
        <v>320</v>
      </c>
      <c r="U176" t="s">
        <v>320</v>
      </c>
      <c r="V176" t="s">
        <v>320</v>
      </c>
      <c r="W176" t="s">
        <v>320</v>
      </c>
      <c r="X176" t="s">
        <v>320</v>
      </c>
      <c r="Y176" t="s">
        <v>320</v>
      </c>
      <c r="Z176" t="s">
        <v>320</v>
      </c>
      <c r="AA176" t="s">
        <v>320</v>
      </c>
      <c r="AB176" t="s">
        <v>320</v>
      </c>
    </row>
    <row r="177" spans="1:28">
      <c r="A177">
        <v>11</v>
      </c>
      <c r="B177" t="s">
        <v>5</v>
      </c>
      <c r="C177">
        <v>45854</v>
      </c>
      <c r="D177">
        <v>45867</v>
      </c>
      <c r="E177" t="s">
        <v>4413</v>
      </c>
      <c r="F177" t="s">
        <v>2494</v>
      </c>
      <c r="G177">
        <v>49211</v>
      </c>
      <c r="H177" t="s">
        <v>596</v>
      </c>
      <c r="I177" t="s">
        <v>306</v>
      </c>
      <c r="J177">
        <v>5</v>
      </c>
      <c r="K177">
        <v>4.25</v>
      </c>
      <c r="L177">
        <v>17</v>
      </c>
      <c r="M177" t="s">
        <v>320</v>
      </c>
      <c r="N177" t="s">
        <v>320</v>
      </c>
      <c r="O177" t="s">
        <v>320</v>
      </c>
      <c r="P177" t="s">
        <v>320</v>
      </c>
      <c r="Q177" t="s">
        <v>320</v>
      </c>
      <c r="R177" t="s">
        <v>320</v>
      </c>
      <c r="S177" t="s">
        <v>320</v>
      </c>
      <c r="T177" t="s">
        <v>320</v>
      </c>
      <c r="U177" t="s">
        <v>320</v>
      </c>
      <c r="V177" t="s">
        <v>320</v>
      </c>
      <c r="W177" t="s">
        <v>320</v>
      </c>
      <c r="X177" t="s">
        <v>320</v>
      </c>
      <c r="Y177" t="s">
        <v>320</v>
      </c>
      <c r="Z177" t="s">
        <v>320</v>
      </c>
      <c r="AA177" t="s">
        <v>320</v>
      </c>
      <c r="AB177" t="s">
        <v>320</v>
      </c>
    </row>
    <row r="178" spans="1:28">
      <c r="A178">
        <v>12</v>
      </c>
      <c r="B178" t="s">
        <v>5</v>
      </c>
      <c r="C178">
        <v>45854</v>
      </c>
      <c r="D178">
        <v>45867</v>
      </c>
      <c r="E178" t="s">
        <v>4413</v>
      </c>
      <c r="G178">
        <v>49207</v>
      </c>
      <c r="H178" t="s">
        <v>1666</v>
      </c>
      <c r="I178" t="s">
        <v>553</v>
      </c>
      <c r="J178">
        <v>2</v>
      </c>
    </row>
    <row r="179" spans="1:28">
      <c r="A179">
        <v>13</v>
      </c>
      <c r="B179" t="s">
        <v>5</v>
      </c>
      <c r="C179">
        <v>45854</v>
      </c>
      <c r="D179">
        <v>45867</v>
      </c>
      <c r="E179" t="s">
        <v>2499</v>
      </c>
      <c r="F179" t="s">
        <v>2038</v>
      </c>
      <c r="G179">
        <v>49073</v>
      </c>
      <c r="H179" t="s">
        <v>2500</v>
      </c>
      <c r="I179" t="s">
        <v>306</v>
      </c>
      <c r="J179">
        <v>2</v>
      </c>
      <c r="K179">
        <v>2</v>
      </c>
      <c r="L179">
        <v>8</v>
      </c>
      <c r="M179">
        <v>45854</v>
      </c>
      <c r="N179">
        <v>45856</v>
      </c>
      <c r="O179" t="s">
        <v>320</v>
      </c>
      <c r="P179" t="s">
        <v>1976</v>
      </c>
      <c r="Q179" t="s">
        <v>316</v>
      </c>
      <c r="R179" t="s">
        <v>1976</v>
      </c>
      <c r="S179" t="s">
        <v>316</v>
      </c>
      <c r="T179" t="s">
        <v>2501</v>
      </c>
      <c r="U179">
        <v>45856</v>
      </c>
      <c r="V179">
        <v>45857</v>
      </c>
      <c r="W179" t="s">
        <v>12</v>
      </c>
      <c r="X179" t="s">
        <v>434</v>
      </c>
      <c r="Y179" t="s">
        <v>434</v>
      </c>
      <c r="Z179" t="s">
        <v>434</v>
      </c>
      <c r="AA179" t="s">
        <v>434</v>
      </c>
      <c r="AB179" t="s">
        <v>434</v>
      </c>
    </row>
    <row r="180" spans="1:28">
      <c r="A180">
        <v>14</v>
      </c>
      <c r="B180" t="s">
        <v>5</v>
      </c>
      <c r="C180">
        <v>45854</v>
      </c>
      <c r="D180">
        <v>45867</v>
      </c>
      <c r="E180" t="s">
        <v>2499</v>
      </c>
      <c r="F180" t="s">
        <v>317</v>
      </c>
      <c r="G180">
        <v>48656</v>
      </c>
      <c r="H180" t="s">
        <v>2505</v>
      </c>
      <c r="I180" t="s">
        <v>306</v>
      </c>
      <c r="J180">
        <v>2</v>
      </c>
      <c r="K180">
        <v>2.875</v>
      </c>
      <c r="L180">
        <v>11.5</v>
      </c>
      <c r="M180">
        <v>45854</v>
      </c>
      <c r="N180">
        <v>45862</v>
      </c>
      <c r="O180" t="s">
        <v>319</v>
      </c>
      <c r="P180" t="s">
        <v>313</v>
      </c>
      <c r="Q180" t="s">
        <v>316</v>
      </c>
      <c r="R180" t="s">
        <v>315</v>
      </c>
      <c r="S180" t="s">
        <v>316</v>
      </c>
      <c r="T180" t="s">
        <v>2506</v>
      </c>
      <c r="U180">
        <v>45859</v>
      </c>
      <c r="V180">
        <v>45859</v>
      </c>
      <c r="W180" t="s">
        <v>12</v>
      </c>
      <c r="X180" t="s">
        <v>316</v>
      </c>
      <c r="Y180" t="s">
        <v>319</v>
      </c>
      <c r="Z180" t="s">
        <v>320</v>
      </c>
      <c r="AA180" t="s">
        <v>320</v>
      </c>
    </row>
    <row r="181" spans="1:28">
      <c r="A181">
        <v>15</v>
      </c>
      <c r="B181" t="s">
        <v>5</v>
      </c>
      <c r="C181">
        <v>45854</v>
      </c>
      <c r="D181">
        <v>45867</v>
      </c>
      <c r="E181" t="s">
        <v>2499</v>
      </c>
      <c r="F181" t="s">
        <v>313</v>
      </c>
      <c r="G181">
        <v>49012</v>
      </c>
      <c r="H181" t="s">
        <v>2513</v>
      </c>
      <c r="I181" t="s">
        <v>369</v>
      </c>
      <c r="J181">
        <v>2</v>
      </c>
      <c r="L181">
        <v>7</v>
      </c>
      <c r="M181">
        <v>45855</v>
      </c>
      <c r="N181">
        <v>45856</v>
      </c>
      <c r="O181" t="s">
        <v>12</v>
      </c>
      <c r="P181" t="s">
        <v>317</v>
      </c>
      <c r="Q181" t="s">
        <v>316</v>
      </c>
      <c r="R181" t="s">
        <v>317</v>
      </c>
      <c r="S181" t="s">
        <v>2514</v>
      </c>
      <c r="T181" t="s">
        <v>2515</v>
      </c>
      <c r="U181">
        <v>45856</v>
      </c>
      <c r="V181">
        <v>45856</v>
      </c>
      <c r="W181" t="s">
        <v>12</v>
      </c>
      <c r="X181" t="s">
        <v>316</v>
      </c>
      <c r="Y181" t="s">
        <v>319</v>
      </c>
      <c r="Z181" t="s">
        <v>320</v>
      </c>
      <c r="AA181" t="s">
        <v>320</v>
      </c>
      <c r="AB181" t="s">
        <v>2516</v>
      </c>
    </row>
    <row r="182" spans="1:28">
      <c r="A182">
        <v>16</v>
      </c>
      <c r="B182" t="s">
        <v>5</v>
      </c>
      <c r="C182">
        <v>45854</v>
      </c>
      <c r="D182">
        <v>45867</v>
      </c>
      <c r="E182" t="s">
        <v>2499</v>
      </c>
      <c r="F182" t="s">
        <v>313</v>
      </c>
      <c r="G182">
        <v>47284</v>
      </c>
      <c r="H182" t="s">
        <v>2362</v>
      </c>
      <c r="I182" t="s">
        <v>338</v>
      </c>
      <c r="J182">
        <v>5</v>
      </c>
      <c r="L182">
        <v>14</v>
      </c>
      <c r="M182">
        <v>45860</v>
      </c>
      <c r="N182">
        <v>45862</v>
      </c>
      <c r="O182" t="s">
        <v>12</v>
      </c>
      <c r="T182" t="s">
        <v>320</v>
      </c>
      <c r="U182" t="s">
        <v>320</v>
      </c>
      <c r="V182" t="s">
        <v>320</v>
      </c>
      <c r="W182" t="s">
        <v>320</v>
      </c>
      <c r="X182" t="s">
        <v>320</v>
      </c>
      <c r="Y182" t="s">
        <v>320</v>
      </c>
      <c r="Z182" t="s">
        <v>320</v>
      </c>
      <c r="AA182" t="s">
        <v>320</v>
      </c>
      <c r="AB182" t="s">
        <v>2516</v>
      </c>
    </row>
    <row r="183" spans="1:28">
      <c r="A183">
        <v>17</v>
      </c>
      <c r="B183" t="s">
        <v>5</v>
      </c>
      <c r="C183">
        <v>45854</v>
      </c>
      <c r="D183">
        <v>45867</v>
      </c>
      <c r="E183" t="s">
        <v>2499</v>
      </c>
      <c r="F183" t="s">
        <v>317</v>
      </c>
      <c r="G183">
        <v>49013</v>
      </c>
      <c r="H183" s="100" t="s">
        <v>2529</v>
      </c>
      <c r="I183" t="s">
        <v>553</v>
      </c>
      <c r="J183">
        <v>3</v>
      </c>
      <c r="M183">
        <v>45860</v>
      </c>
    </row>
    <row r="184" spans="1:28">
      <c r="A184">
        <v>1</v>
      </c>
      <c r="B184" t="s">
        <v>5</v>
      </c>
      <c r="C184">
        <v>45868</v>
      </c>
      <c r="D184">
        <v>45881</v>
      </c>
      <c r="E184" t="s">
        <v>2440</v>
      </c>
      <c r="F184" t="s">
        <v>1216</v>
      </c>
      <c r="G184">
        <v>49207</v>
      </c>
      <c r="H184" t="s">
        <v>1666</v>
      </c>
      <c r="I184" t="s">
        <v>306</v>
      </c>
      <c r="J184">
        <v>2</v>
      </c>
      <c r="K184">
        <v>2</v>
      </c>
      <c r="L184">
        <v>8</v>
      </c>
      <c r="M184" t="s">
        <v>320</v>
      </c>
      <c r="N184" t="s">
        <v>320</v>
      </c>
      <c r="O184" t="s">
        <v>320</v>
      </c>
      <c r="P184" t="s">
        <v>320</v>
      </c>
      <c r="Q184" t="s">
        <v>320</v>
      </c>
      <c r="R184" t="s">
        <v>320</v>
      </c>
      <c r="S184" t="s">
        <v>320</v>
      </c>
      <c r="T184" t="s">
        <v>320</v>
      </c>
      <c r="U184" t="s">
        <v>320</v>
      </c>
      <c r="V184" t="s">
        <v>320</v>
      </c>
      <c r="W184" t="s">
        <v>320</v>
      </c>
      <c r="X184" t="s">
        <v>320</v>
      </c>
      <c r="Y184" t="s">
        <v>320</v>
      </c>
      <c r="Z184" t="s">
        <v>320</v>
      </c>
      <c r="AA184" t="s">
        <v>320</v>
      </c>
      <c r="AB184" t="s">
        <v>320</v>
      </c>
    </row>
    <row r="185" spans="1:28">
      <c r="A185">
        <v>2</v>
      </c>
      <c r="B185" t="s">
        <v>5</v>
      </c>
      <c r="C185">
        <v>45868</v>
      </c>
      <c r="D185">
        <v>45881</v>
      </c>
      <c r="E185" t="s">
        <v>2440</v>
      </c>
      <c r="F185" t="s">
        <v>315</v>
      </c>
      <c r="G185">
        <v>25687</v>
      </c>
      <c r="H185" t="s">
        <v>2342</v>
      </c>
      <c r="I185" t="s">
        <v>376</v>
      </c>
      <c r="J185">
        <v>2</v>
      </c>
      <c r="K185">
        <v>1.5</v>
      </c>
      <c r="L185">
        <v>6</v>
      </c>
      <c r="M185">
        <v>45868</v>
      </c>
      <c r="N185">
        <v>45869</v>
      </c>
      <c r="O185" t="s">
        <v>12</v>
      </c>
      <c r="P185" t="s">
        <v>313</v>
      </c>
      <c r="Q185" t="s">
        <v>316</v>
      </c>
      <c r="R185" t="s">
        <v>317</v>
      </c>
      <c r="S185" t="s">
        <v>316</v>
      </c>
      <c r="T185" t="s">
        <v>2343</v>
      </c>
      <c r="U185">
        <v>45868</v>
      </c>
      <c r="V185">
        <v>45868</v>
      </c>
      <c r="W185" t="s">
        <v>12</v>
      </c>
      <c r="X185" t="s">
        <v>316</v>
      </c>
      <c r="Y185" t="s">
        <v>319</v>
      </c>
      <c r="Z185" t="s">
        <v>320</v>
      </c>
      <c r="AA185" t="s">
        <v>316</v>
      </c>
      <c r="AB185" t="s">
        <v>316</v>
      </c>
    </row>
    <row r="186" spans="1:28">
      <c r="A186">
        <v>3</v>
      </c>
      <c r="B186" t="s">
        <v>5</v>
      </c>
      <c r="C186">
        <v>45868</v>
      </c>
      <c r="D186">
        <v>45881</v>
      </c>
      <c r="E186" t="s">
        <v>2440</v>
      </c>
      <c r="F186" t="s">
        <v>315</v>
      </c>
      <c r="G186" t="s">
        <v>2348</v>
      </c>
      <c r="H186" t="s">
        <v>2349</v>
      </c>
      <c r="I186" t="s">
        <v>376</v>
      </c>
      <c r="J186">
        <v>1</v>
      </c>
      <c r="K186">
        <v>1</v>
      </c>
      <c r="L186">
        <v>4.5</v>
      </c>
      <c r="M186">
        <v>45868</v>
      </c>
      <c r="N186">
        <v>45868</v>
      </c>
      <c r="O186" t="s">
        <v>12</v>
      </c>
      <c r="P186" t="s">
        <v>313</v>
      </c>
      <c r="Q186" t="s">
        <v>316</v>
      </c>
      <c r="R186" t="s">
        <v>317</v>
      </c>
      <c r="S186" t="s">
        <v>316</v>
      </c>
      <c r="T186" t="s">
        <v>2350</v>
      </c>
      <c r="U186">
        <v>45868</v>
      </c>
      <c r="V186">
        <v>45868</v>
      </c>
      <c r="W186" t="s">
        <v>12</v>
      </c>
      <c r="X186" t="s">
        <v>316</v>
      </c>
      <c r="Y186" t="s">
        <v>319</v>
      </c>
      <c r="Z186" t="s">
        <v>320</v>
      </c>
      <c r="AA186" t="s">
        <v>316</v>
      </c>
      <c r="AB186" t="s">
        <v>316</v>
      </c>
    </row>
    <row r="187" spans="1:28">
      <c r="A187">
        <v>4</v>
      </c>
      <c r="B187" t="s">
        <v>5</v>
      </c>
      <c r="C187">
        <v>45868</v>
      </c>
      <c r="D187">
        <v>45881</v>
      </c>
      <c r="E187" t="s">
        <v>2440</v>
      </c>
      <c r="F187" t="s">
        <v>313</v>
      </c>
      <c r="G187">
        <v>49408</v>
      </c>
      <c r="H187" t="s">
        <v>2352</v>
      </c>
      <c r="I187" t="s">
        <v>306</v>
      </c>
      <c r="J187">
        <v>3</v>
      </c>
      <c r="K187">
        <v>4</v>
      </c>
      <c r="L187">
        <v>16.5</v>
      </c>
      <c r="M187">
        <v>45868</v>
      </c>
      <c r="N187">
        <v>45869</v>
      </c>
      <c r="O187" t="s">
        <v>12</v>
      </c>
      <c r="P187" t="s">
        <v>315</v>
      </c>
      <c r="Q187" t="s">
        <v>316</v>
      </c>
      <c r="R187" t="s">
        <v>317</v>
      </c>
      <c r="S187" t="s">
        <v>316</v>
      </c>
      <c r="T187" t="s">
        <v>320</v>
      </c>
      <c r="U187" t="s">
        <v>320</v>
      </c>
      <c r="V187" t="s">
        <v>320</v>
      </c>
      <c r="W187" t="s">
        <v>320</v>
      </c>
      <c r="X187" t="s">
        <v>320</v>
      </c>
      <c r="Y187" t="s">
        <v>320</v>
      </c>
      <c r="Z187" t="s">
        <v>320</v>
      </c>
      <c r="AA187" t="s">
        <v>320</v>
      </c>
      <c r="AB187" t="s">
        <v>316</v>
      </c>
    </row>
    <row r="188" spans="1:28">
      <c r="A188">
        <v>5</v>
      </c>
      <c r="B188" t="s">
        <v>5</v>
      </c>
      <c r="C188">
        <v>45868</v>
      </c>
      <c r="D188">
        <v>45881</v>
      </c>
      <c r="E188" t="s">
        <v>2440</v>
      </c>
      <c r="F188" t="s">
        <v>313</v>
      </c>
      <c r="G188">
        <v>47284</v>
      </c>
      <c r="H188" t="s">
        <v>2362</v>
      </c>
      <c r="I188" t="s">
        <v>306</v>
      </c>
      <c r="J188">
        <v>3</v>
      </c>
      <c r="K188">
        <v>0.5</v>
      </c>
      <c r="L188">
        <v>1.5</v>
      </c>
      <c r="M188" t="s">
        <v>320</v>
      </c>
      <c r="N188" t="s">
        <v>320</v>
      </c>
      <c r="O188" t="s">
        <v>12</v>
      </c>
      <c r="P188" t="s">
        <v>315</v>
      </c>
      <c r="Q188" t="s">
        <v>316</v>
      </c>
      <c r="R188" t="s">
        <v>317</v>
      </c>
      <c r="S188" t="s">
        <v>316</v>
      </c>
      <c r="T188" t="s">
        <v>320</v>
      </c>
      <c r="U188" t="s">
        <v>320</v>
      </c>
      <c r="V188" t="s">
        <v>320</v>
      </c>
      <c r="W188" t="s">
        <v>320</v>
      </c>
      <c r="X188" t="s">
        <v>320</v>
      </c>
      <c r="Y188" t="s">
        <v>320</v>
      </c>
      <c r="Z188" t="s">
        <v>320</v>
      </c>
      <c r="AA188" t="s">
        <v>320</v>
      </c>
      <c r="AB188" t="s">
        <v>316</v>
      </c>
    </row>
    <row r="189" spans="1:28">
      <c r="A189">
        <v>6</v>
      </c>
      <c r="B189" t="s">
        <v>5</v>
      </c>
      <c r="C189">
        <v>45868</v>
      </c>
      <c r="D189">
        <v>45881</v>
      </c>
      <c r="E189" t="s">
        <v>2440</v>
      </c>
      <c r="F189" t="s">
        <v>317</v>
      </c>
      <c r="G189">
        <v>25675</v>
      </c>
      <c r="H189" t="s">
        <v>2372</v>
      </c>
      <c r="I189" t="s">
        <v>306</v>
      </c>
      <c r="J189">
        <v>3</v>
      </c>
      <c r="K189">
        <v>3</v>
      </c>
      <c r="L189">
        <v>12</v>
      </c>
      <c r="M189">
        <v>45868</v>
      </c>
      <c r="N189">
        <v>45870</v>
      </c>
      <c r="O189" t="s">
        <v>12</v>
      </c>
      <c r="P189" t="s">
        <v>315</v>
      </c>
      <c r="Q189" t="s">
        <v>316</v>
      </c>
      <c r="R189" t="s">
        <v>320</v>
      </c>
      <c r="S189" t="s">
        <v>320</v>
      </c>
      <c r="T189" t="s">
        <v>320</v>
      </c>
      <c r="U189" t="s">
        <v>320</v>
      </c>
      <c r="V189" t="s">
        <v>320</v>
      </c>
      <c r="W189" t="s">
        <v>320</v>
      </c>
      <c r="X189" t="s">
        <v>320</v>
      </c>
      <c r="Y189" t="s">
        <v>320</v>
      </c>
      <c r="Z189" t="s">
        <v>320</v>
      </c>
      <c r="AA189" t="s">
        <v>320</v>
      </c>
      <c r="AB189" t="s">
        <v>320</v>
      </c>
    </row>
    <row r="190" spans="1:28">
      <c r="A190">
        <v>7</v>
      </c>
      <c r="B190" t="s">
        <v>5</v>
      </c>
      <c r="C190">
        <v>45868</v>
      </c>
      <c r="D190">
        <v>45881</v>
      </c>
      <c r="E190" t="s">
        <v>2440</v>
      </c>
      <c r="F190" t="s">
        <v>315</v>
      </c>
      <c r="G190" t="s">
        <v>2382</v>
      </c>
      <c r="H190" t="s">
        <v>2383</v>
      </c>
      <c r="I190" t="s">
        <v>306</v>
      </c>
      <c r="J190">
        <v>0</v>
      </c>
      <c r="K190">
        <v>0</v>
      </c>
      <c r="L190">
        <v>0</v>
      </c>
      <c r="M190" t="s">
        <v>320</v>
      </c>
      <c r="N190" t="s">
        <v>320</v>
      </c>
      <c r="O190" t="s">
        <v>320</v>
      </c>
      <c r="P190" t="s">
        <v>320</v>
      </c>
      <c r="Q190" t="s">
        <v>320</v>
      </c>
      <c r="R190" t="s">
        <v>320</v>
      </c>
      <c r="S190" t="s">
        <v>320</v>
      </c>
      <c r="T190" t="s">
        <v>320</v>
      </c>
      <c r="U190" t="s">
        <v>320</v>
      </c>
      <c r="V190" t="s">
        <v>320</v>
      </c>
      <c r="W190" t="s">
        <v>320</v>
      </c>
      <c r="X190" t="s">
        <v>320</v>
      </c>
      <c r="Y190" t="s">
        <v>320</v>
      </c>
      <c r="Z190" t="s">
        <v>320</v>
      </c>
      <c r="AA190" t="s">
        <v>320</v>
      </c>
      <c r="AB190" t="s">
        <v>320</v>
      </c>
    </row>
    <row r="191" spans="1:28">
      <c r="A191">
        <v>8</v>
      </c>
      <c r="B191" t="s">
        <v>5</v>
      </c>
      <c r="C191">
        <v>45868</v>
      </c>
      <c r="D191">
        <v>45881</v>
      </c>
      <c r="E191" t="s">
        <v>2391</v>
      </c>
      <c r="F191" t="s">
        <v>313</v>
      </c>
      <c r="G191">
        <v>49367</v>
      </c>
      <c r="H191" t="s">
        <v>2392</v>
      </c>
      <c r="I191" t="s">
        <v>306</v>
      </c>
      <c r="J191">
        <v>3</v>
      </c>
      <c r="K191">
        <v>6.5</v>
      </c>
      <c r="L191">
        <v>26</v>
      </c>
      <c r="M191">
        <v>45869</v>
      </c>
      <c r="N191">
        <v>45873</v>
      </c>
      <c r="O191" t="s">
        <v>12</v>
      </c>
      <c r="P191" t="s">
        <v>315</v>
      </c>
      <c r="Q191" t="s">
        <v>316</v>
      </c>
      <c r="R191" t="s">
        <v>317</v>
      </c>
      <c r="S191" t="s">
        <v>316</v>
      </c>
      <c r="T191" t="s">
        <v>320</v>
      </c>
      <c r="U191" t="s">
        <v>320</v>
      </c>
      <c r="V191" t="s">
        <v>320</v>
      </c>
      <c r="W191" t="s">
        <v>320</v>
      </c>
      <c r="X191" t="s">
        <v>320</v>
      </c>
      <c r="Y191" t="s">
        <v>320</v>
      </c>
      <c r="Z191" t="s">
        <v>320</v>
      </c>
      <c r="AA191" t="s">
        <v>320</v>
      </c>
      <c r="AB191" t="s">
        <v>316</v>
      </c>
    </row>
    <row r="192" spans="1:28">
      <c r="A192">
        <v>9</v>
      </c>
      <c r="B192" t="s">
        <v>5</v>
      </c>
      <c r="C192">
        <v>45868</v>
      </c>
      <c r="D192">
        <v>45881</v>
      </c>
      <c r="E192" t="s">
        <v>2440</v>
      </c>
      <c r="F192" t="s">
        <v>2251</v>
      </c>
      <c r="G192" t="s">
        <v>2402</v>
      </c>
      <c r="H192" t="s">
        <v>2257</v>
      </c>
      <c r="I192" t="s">
        <v>503</v>
      </c>
      <c r="J192">
        <v>3</v>
      </c>
      <c r="K192">
        <v>2</v>
      </c>
      <c r="L192">
        <v>8</v>
      </c>
    </row>
    <row r="193" spans="1:28">
      <c r="A193">
        <v>10</v>
      </c>
      <c r="B193" t="s">
        <v>5</v>
      </c>
      <c r="C193">
        <v>45868</v>
      </c>
      <c r="D193">
        <v>45881</v>
      </c>
      <c r="E193" t="s">
        <v>2391</v>
      </c>
      <c r="F193" t="s">
        <v>313</v>
      </c>
      <c r="G193">
        <v>49368</v>
      </c>
      <c r="H193" t="s">
        <v>2409</v>
      </c>
      <c r="I193" t="s">
        <v>306</v>
      </c>
      <c r="J193">
        <v>2</v>
      </c>
      <c r="K193">
        <v>2</v>
      </c>
      <c r="L193">
        <v>8</v>
      </c>
      <c r="M193">
        <v>45874</v>
      </c>
      <c r="N193">
        <v>45874</v>
      </c>
      <c r="O193" t="s">
        <v>12</v>
      </c>
      <c r="P193" t="s">
        <v>315</v>
      </c>
      <c r="Q193" t="s">
        <v>316</v>
      </c>
      <c r="R193" t="s">
        <v>317</v>
      </c>
      <c r="S193" t="s">
        <v>316</v>
      </c>
      <c r="T193" t="s">
        <v>320</v>
      </c>
      <c r="U193" t="s">
        <v>320</v>
      </c>
      <c r="V193" t="s">
        <v>320</v>
      </c>
      <c r="W193" t="s">
        <v>320</v>
      </c>
      <c r="X193" t="s">
        <v>320</v>
      </c>
      <c r="Y193" t="s">
        <v>320</v>
      </c>
      <c r="Z193" t="s">
        <v>320</v>
      </c>
      <c r="AA193" t="s">
        <v>320</v>
      </c>
      <c r="AB193" t="s">
        <v>316</v>
      </c>
    </row>
    <row r="194" spans="1:28">
      <c r="A194">
        <v>11</v>
      </c>
      <c r="B194" t="s">
        <v>5</v>
      </c>
      <c r="C194">
        <v>45868</v>
      </c>
      <c r="D194">
        <v>45881</v>
      </c>
      <c r="E194" t="s">
        <v>2391</v>
      </c>
      <c r="F194" t="s">
        <v>315</v>
      </c>
      <c r="G194" t="s">
        <v>2416</v>
      </c>
      <c r="H194" t="s">
        <v>2417</v>
      </c>
      <c r="I194" t="s">
        <v>399</v>
      </c>
      <c r="J194">
        <v>5</v>
      </c>
      <c r="K194">
        <v>4</v>
      </c>
      <c r="L194">
        <v>16</v>
      </c>
    </row>
    <row r="195" spans="1:28">
      <c r="A195">
        <v>12</v>
      </c>
      <c r="B195" t="s">
        <v>5</v>
      </c>
      <c r="C195">
        <v>45868</v>
      </c>
      <c r="D195">
        <v>45881</v>
      </c>
      <c r="E195" t="s">
        <v>2391</v>
      </c>
      <c r="F195" t="s">
        <v>317</v>
      </c>
      <c r="G195" t="s">
        <v>2271</v>
      </c>
      <c r="H195" t="s">
        <v>2421</v>
      </c>
      <c r="I195" t="s">
        <v>503</v>
      </c>
      <c r="J195">
        <v>0</v>
      </c>
      <c r="L195">
        <v>8</v>
      </c>
      <c r="M195">
        <v>45874</v>
      </c>
      <c r="N195">
        <v>45877</v>
      </c>
      <c r="O195" t="s">
        <v>12</v>
      </c>
      <c r="P195" t="s">
        <v>315</v>
      </c>
      <c r="Q195" t="s">
        <v>316</v>
      </c>
      <c r="R195" t="s">
        <v>320</v>
      </c>
      <c r="S195" t="s">
        <v>320</v>
      </c>
      <c r="T195" t="s">
        <v>2422</v>
      </c>
      <c r="U195">
        <v>45938</v>
      </c>
      <c r="V195">
        <v>45938</v>
      </c>
      <c r="W195" t="s">
        <v>2423</v>
      </c>
      <c r="X195" t="s">
        <v>316</v>
      </c>
      <c r="Y195" t="s">
        <v>319</v>
      </c>
      <c r="Z195" t="s">
        <v>320</v>
      </c>
      <c r="AA195" t="s">
        <v>320</v>
      </c>
      <c r="AB195" t="s">
        <v>316</v>
      </c>
    </row>
    <row r="196" spans="1:28">
      <c r="A196">
        <v>13</v>
      </c>
      <c r="B196" t="s">
        <v>5</v>
      </c>
      <c r="C196">
        <v>45868</v>
      </c>
      <c r="D196">
        <v>45881</v>
      </c>
      <c r="E196" t="s">
        <v>2440</v>
      </c>
      <c r="F196" t="s">
        <v>315</v>
      </c>
      <c r="G196">
        <v>49549</v>
      </c>
      <c r="H196" t="s">
        <v>2383</v>
      </c>
      <c r="I196" t="s">
        <v>306</v>
      </c>
      <c r="J196">
        <v>5</v>
      </c>
      <c r="K196">
        <v>10.5</v>
      </c>
      <c r="L196">
        <v>42</v>
      </c>
      <c r="M196">
        <v>45869</v>
      </c>
      <c r="N196">
        <v>45875</v>
      </c>
      <c r="T196" t="s">
        <v>2429</v>
      </c>
      <c r="U196">
        <v>45938</v>
      </c>
      <c r="V196">
        <v>45938</v>
      </c>
      <c r="W196" t="s">
        <v>2423</v>
      </c>
      <c r="X196" t="s">
        <v>316</v>
      </c>
      <c r="Y196" t="s">
        <v>319</v>
      </c>
      <c r="Z196" t="s">
        <v>320</v>
      </c>
      <c r="AA196" t="s">
        <v>320</v>
      </c>
      <c r="AB196" t="s">
        <v>316</v>
      </c>
    </row>
    <row r="197" spans="1:28">
      <c r="A197">
        <v>14</v>
      </c>
      <c r="B197" t="s">
        <v>5</v>
      </c>
      <c r="C197">
        <v>45868</v>
      </c>
      <c r="D197">
        <v>45881</v>
      </c>
      <c r="E197" t="s">
        <v>2440</v>
      </c>
      <c r="F197" t="s">
        <v>2432</v>
      </c>
      <c r="G197" t="s">
        <v>2235</v>
      </c>
      <c r="H197" t="s">
        <v>2236</v>
      </c>
      <c r="I197" t="s">
        <v>399</v>
      </c>
      <c r="J197">
        <v>0</v>
      </c>
      <c r="L197">
        <v>8</v>
      </c>
      <c r="M197">
        <v>45880</v>
      </c>
    </row>
    <row r="198" spans="1:28">
      <c r="A198">
        <v>15</v>
      </c>
      <c r="B198" t="s">
        <v>5</v>
      </c>
      <c r="C198">
        <v>45868</v>
      </c>
      <c r="D198">
        <v>45881</v>
      </c>
      <c r="E198" t="s">
        <v>2440</v>
      </c>
      <c r="F198" t="s">
        <v>2435</v>
      </c>
      <c r="G198" t="s">
        <v>2168</v>
      </c>
      <c r="H198" s="100" t="s">
        <v>2436</v>
      </c>
      <c r="I198" t="s">
        <v>399</v>
      </c>
      <c r="J198">
        <v>0</v>
      </c>
      <c r="L198">
        <v>7</v>
      </c>
    </row>
    <row r="199" spans="1:28">
      <c r="A199">
        <v>1</v>
      </c>
      <c r="B199" t="s">
        <v>5</v>
      </c>
      <c r="C199">
        <v>45882</v>
      </c>
      <c r="D199">
        <v>45895</v>
      </c>
      <c r="E199" t="s">
        <v>2244</v>
      </c>
      <c r="F199" t="s">
        <v>313</v>
      </c>
      <c r="G199">
        <v>49621</v>
      </c>
      <c r="H199" t="s">
        <v>2245</v>
      </c>
      <c r="I199" t="s">
        <v>306</v>
      </c>
      <c r="J199">
        <v>2</v>
      </c>
      <c r="K199">
        <v>2</v>
      </c>
      <c r="L199">
        <v>8</v>
      </c>
      <c r="M199" t="s">
        <v>320</v>
      </c>
      <c r="N199" t="s">
        <v>320</v>
      </c>
      <c r="O199" t="s">
        <v>12</v>
      </c>
      <c r="P199" t="s">
        <v>315</v>
      </c>
      <c r="Q199" t="s">
        <v>316</v>
      </c>
      <c r="R199" t="s">
        <v>317</v>
      </c>
      <c r="S199" t="s">
        <v>316</v>
      </c>
      <c r="T199" t="s">
        <v>320</v>
      </c>
      <c r="U199" t="s">
        <v>320</v>
      </c>
      <c r="V199" t="s">
        <v>320</v>
      </c>
      <c r="W199" t="s">
        <v>320</v>
      </c>
      <c r="X199" t="s">
        <v>320</v>
      </c>
      <c r="Y199" t="s">
        <v>320</v>
      </c>
      <c r="Z199" t="s">
        <v>320</v>
      </c>
      <c r="AA199" t="s">
        <v>320</v>
      </c>
      <c r="AB199" t="s">
        <v>316</v>
      </c>
    </row>
    <row r="200" spans="1:28">
      <c r="A200">
        <v>2</v>
      </c>
      <c r="B200" t="s">
        <v>5</v>
      </c>
      <c r="C200">
        <v>45882</v>
      </c>
      <c r="D200">
        <v>45895</v>
      </c>
      <c r="E200" t="s">
        <v>2244</v>
      </c>
      <c r="F200" t="s">
        <v>2251</v>
      </c>
      <c r="G200">
        <v>46802</v>
      </c>
      <c r="H200" t="s">
        <v>2252</v>
      </c>
      <c r="I200" t="s">
        <v>306</v>
      </c>
      <c r="J200">
        <v>3</v>
      </c>
      <c r="K200" t="s">
        <v>320</v>
      </c>
      <c r="L200" t="s">
        <v>320</v>
      </c>
      <c r="M200" t="s">
        <v>320</v>
      </c>
      <c r="N200" t="s">
        <v>320</v>
      </c>
      <c r="O200" t="s">
        <v>320</v>
      </c>
      <c r="P200" t="s">
        <v>320</v>
      </c>
      <c r="Q200" t="s">
        <v>320</v>
      </c>
      <c r="R200" t="s">
        <v>320</v>
      </c>
      <c r="S200" t="s">
        <v>320</v>
      </c>
      <c r="T200" t="s">
        <v>320</v>
      </c>
      <c r="U200" t="s">
        <v>320</v>
      </c>
      <c r="V200" t="s">
        <v>320</v>
      </c>
      <c r="W200" t="s">
        <v>320</v>
      </c>
      <c r="X200" t="s">
        <v>320</v>
      </c>
      <c r="Y200" t="s">
        <v>320</v>
      </c>
      <c r="Z200" t="s">
        <v>320</v>
      </c>
      <c r="AA200" t="s">
        <v>320</v>
      </c>
      <c r="AB200" t="s">
        <v>320</v>
      </c>
    </row>
    <row r="201" spans="1:28">
      <c r="A201">
        <v>3</v>
      </c>
      <c r="B201" t="s">
        <v>5</v>
      </c>
      <c r="C201">
        <v>45882</v>
      </c>
      <c r="D201">
        <v>45895</v>
      </c>
      <c r="E201" t="s">
        <v>2244</v>
      </c>
      <c r="F201" t="s">
        <v>2251</v>
      </c>
      <c r="G201">
        <v>48385</v>
      </c>
      <c r="H201" t="s">
        <v>2257</v>
      </c>
      <c r="I201" t="s">
        <v>306</v>
      </c>
      <c r="J201">
        <v>1</v>
      </c>
      <c r="K201" t="s">
        <v>320</v>
      </c>
      <c r="L201" t="s">
        <v>320</v>
      </c>
      <c r="M201" t="s">
        <v>320</v>
      </c>
      <c r="N201" t="s">
        <v>320</v>
      </c>
      <c r="O201" t="s">
        <v>320</v>
      </c>
      <c r="P201" t="s">
        <v>320</v>
      </c>
      <c r="Q201" t="s">
        <v>320</v>
      </c>
      <c r="R201" t="s">
        <v>320</v>
      </c>
      <c r="S201" t="s">
        <v>320</v>
      </c>
      <c r="T201" t="s">
        <v>320</v>
      </c>
      <c r="U201" t="s">
        <v>320</v>
      </c>
      <c r="V201" t="s">
        <v>320</v>
      </c>
      <c r="W201" t="s">
        <v>320</v>
      </c>
      <c r="X201" t="s">
        <v>320</v>
      </c>
      <c r="Y201" t="s">
        <v>320</v>
      </c>
      <c r="Z201" t="s">
        <v>320</v>
      </c>
      <c r="AA201" t="s">
        <v>320</v>
      </c>
      <c r="AB201" t="s">
        <v>320</v>
      </c>
    </row>
    <row r="202" spans="1:28">
      <c r="A202">
        <v>4</v>
      </c>
      <c r="B202" t="s">
        <v>5</v>
      </c>
      <c r="C202">
        <v>45882</v>
      </c>
      <c r="D202">
        <v>45895</v>
      </c>
      <c r="E202" t="s">
        <v>2244</v>
      </c>
      <c r="F202" t="s">
        <v>313</v>
      </c>
      <c r="G202">
        <v>25756</v>
      </c>
      <c r="H202" t="s">
        <v>2185</v>
      </c>
      <c r="I202" t="s">
        <v>348</v>
      </c>
      <c r="J202">
        <v>5</v>
      </c>
      <c r="L202">
        <v>24</v>
      </c>
      <c r="M202">
        <v>45883</v>
      </c>
      <c r="N202">
        <v>45888</v>
      </c>
      <c r="O202" t="s">
        <v>12</v>
      </c>
      <c r="P202" t="s">
        <v>315</v>
      </c>
      <c r="Q202" t="s">
        <v>316</v>
      </c>
      <c r="R202" t="s">
        <v>317</v>
      </c>
      <c r="S202" t="s">
        <v>316</v>
      </c>
      <c r="T202" t="s">
        <v>2263</v>
      </c>
      <c r="U202">
        <v>45890</v>
      </c>
      <c r="V202">
        <v>45890</v>
      </c>
      <c r="W202" t="s">
        <v>12</v>
      </c>
      <c r="X202" t="s">
        <v>316</v>
      </c>
      <c r="Y202" t="s">
        <v>319</v>
      </c>
      <c r="Z202" t="s">
        <v>320</v>
      </c>
      <c r="AA202" t="s">
        <v>316</v>
      </c>
      <c r="AB202" t="s">
        <v>316</v>
      </c>
    </row>
    <row r="203" spans="1:28">
      <c r="A203">
        <v>5</v>
      </c>
      <c r="B203" t="s">
        <v>5</v>
      </c>
      <c r="C203">
        <v>45882</v>
      </c>
      <c r="D203">
        <v>45895</v>
      </c>
      <c r="E203" t="s">
        <v>2244</v>
      </c>
      <c r="F203" t="s">
        <v>1892</v>
      </c>
      <c r="G203" t="s">
        <v>2271</v>
      </c>
      <c r="H203" t="s">
        <v>2176</v>
      </c>
      <c r="I203" t="s">
        <v>376</v>
      </c>
      <c r="J203">
        <v>0</v>
      </c>
      <c r="K203">
        <v>2.5499999999999998</v>
      </c>
      <c r="L203">
        <v>10.25</v>
      </c>
      <c r="M203">
        <v>45882</v>
      </c>
      <c r="N203">
        <v>45895</v>
      </c>
      <c r="O203" t="s">
        <v>12</v>
      </c>
      <c r="P203" t="s">
        <v>313</v>
      </c>
      <c r="Q203" t="s">
        <v>316</v>
      </c>
      <c r="R203" t="s">
        <v>317</v>
      </c>
      <c r="S203" t="s">
        <v>115</v>
      </c>
      <c r="T203" t="s">
        <v>2272</v>
      </c>
      <c r="U203">
        <v>45891</v>
      </c>
      <c r="V203">
        <v>45891</v>
      </c>
      <c r="W203" t="s">
        <v>316</v>
      </c>
      <c r="X203" t="s">
        <v>319</v>
      </c>
      <c r="Y203" t="s">
        <v>319</v>
      </c>
      <c r="Z203" t="s">
        <v>320</v>
      </c>
      <c r="AA203" t="s">
        <v>316</v>
      </c>
      <c r="AB203" t="s">
        <v>316</v>
      </c>
    </row>
    <row r="204" spans="1:28">
      <c r="A204">
        <v>6</v>
      </c>
      <c r="B204" t="s">
        <v>5</v>
      </c>
      <c r="C204">
        <v>45882</v>
      </c>
      <c r="D204">
        <v>45895</v>
      </c>
      <c r="E204" t="s">
        <v>2244</v>
      </c>
      <c r="F204" t="s">
        <v>2282</v>
      </c>
      <c r="G204" t="s">
        <v>2235</v>
      </c>
      <c r="H204" t="s">
        <v>2236</v>
      </c>
      <c r="I204" t="s">
        <v>348</v>
      </c>
      <c r="J204">
        <v>0</v>
      </c>
      <c r="L204">
        <v>10</v>
      </c>
    </row>
    <row r="205" spans="1:28">
      <c r="A205">
        <v>7</v>
      </c>
      <c r="B205" t="s">
        <v>5</v>
      </c>
      <c r="C205">
        <v>45882</v>
      </c>
      <c r="D205">
        <v>45895</v>
      </c>
      <c r="E205" t="s">
        <v>2244</v>
      </c>
      <c r="F205" t="s">
        <v>317</v>
      </c>
      <c r="G205" t="s">
        <v>2168</v>
      </c>
      <c r="H205" t="s">
        <v>2291</v>
      </c>
      <c r="I205" t="s">
        <v>348</v>
      </c>
      <c r="J205">
        <v>0</v>
      </c>
    </row>
    <row r="206" spans="1:28">
      <c r="A206">
        <v>8</v>
      </c>
      <c r="B206" t="s">
        <v>5</v>
      </c>
      <c r="C206">
        <v>45882</v>
      </c>
      <c r="D206">
        <v>45895</v>
      </c>
      <c r="E206" t="s">
        <v>2244</v>
      </c>
      <c r="F206" t="s">
        <v>315</v>
      </c>
      <c r="G206">
        <v>48122</v>
      </c>
      <c r="H206" s="100" t="s">
        <v>2301</v>
      </c>
      <c r="I206" t="s">
        <v>306</v>
      </c>
      <c r="J206">
        <v>2</v>
      </c>
      <c r="K206">
        <v>5.25</v>
      </c>
      <c r="L206">
        <v>21</v>
      </c>
      <c r="M206">
        <v>45883</v>
      </c>
      <c r="N206">
        <v>45891</v>
      </c>
      <c r="O206" t="s">
        <v>12</v>
      </c>
      <c r="P206" t="s">
        <v>313</v>
      </c>
      <c r="Q206" t="s">
        <v>316</v>
      </c>
      <c r="R206" t="s">
        <v>317</v>
      </c>
      <c r="S206" t="s">
        <v>2302</v>
      </c>
      <c r="T206" t="s">
        <v>2303</v>
      </c>
      <c r="U206">
        <v>45888</v>
      </c>
      <c r="V206">
        <v>45888</v>
      </c>
      <c r="W206" t="s">
        <v>316</v>
      </c>
      <c r="X206" t="s">
        <v>319</v>
      </c>
      <c r="Y206" t="s">
        <v>319</v>
      </c>
      <c r="Z206" t="s">
        <v>320</v>
      </c>
      <c r="AA206" t="s">
        <v>316</v>
      </c>
      <c r="AB206" t="s">
        <v>316</v>
      </c>
    </row>
    <row r="207" spans="1:28">
      <c r="A207">
        <v>9</v>
      </c>
      <c r="B207" t="s">
        <v>5</v>
      </c>
      <c r="C207">
        <v>45882</v>
      </c>
      <c r="D207">
        <v>45895</v>
      </c>
      <c r="E207" t="s">
        <v>2244</v>
      </c>
      <c r="F207" t="s">
        <v>315</v>
      </c>
      <c r="G207">
        <v>25757</v>
      </c>
      <c r="H207" t="s">
        <v>2232</v>
      </c>
      <c r="I207" t="s">
        <v>514</v>
      </c>
      <c r="J207">
        <v>3</v>
      </c>
      <c r="L207">
        <v>16</v>
      </c>
      <c r="M207">
        <v>45889</v>
      </c>
      <c r="N207">
        <v>45895</v>
      </c>
    </row>
    <row r="208" spans="1:28">
      <c r="A208">
        <v>10</v>
      </c>
      <c r="B208" t="s">
        <v>5</v>
      </c>
      <c r="C208">
        <v>45882</v>
      </c>
      <c r="D208">
        <v>45895</v>
      </c>
      <c r="E208" t="s">
        <v>2244</v>
      </c>
      <c r="F208" t="s">
        <v>2038</v>
      </c>
      <c r="G208">
        <v>49630</v>
      </c>
      <c r="H208" t="s">
        <v>2316</v>
      </c>
      <c r="I208" t="s">
        <v>306</v>
      </c>
      <c r="J208">
        <v>3</v>
      </c>
      <c r="K208">
        <v>2.25</v>
      </c>
      <c r="L208">
        <v>9</v>
      </c>
    </row>
    <row r="209" spans="1:28">
      <c r="A209">
        <v>11</v>
      </c>
      <c r="B209" t="s">
        <v>5</v>
      </c>
      <c r="C209">
        <v>45882</v>
      </c>
      <c r="D209">
        <v>45895</v>
      </c>
      <c r="E209" t="s">
        <v>2244</v>
      </c>
      <c r="F209" t="s">
        <v>313</v>
      </c>
      <c r="G209">
        <v>49013</v>
      </c>
      <c r="H209" t="s">
        <v>2320</v>
      </c>
      <c r="I209" t="s">
        <v>306</v>
      </c>
      <c r="J209">
        <v>3</v>
      </c>
      <c r="K209">
        <v>5.5</v>
      </c>
      <c r="L209">
        <v>22</v>
      </c>
      <c r="M209">
        <v>45890</v>
      </c>
      <c r="N209">
        <v>45891</v>
      </c>
      <c r="O209" t="s">
        <v>12</v>
      </c>
      <c r="P209" t="s">
        <v>315</v>
      </c>
      <c r="Q209" t="s">
        <v>316</v>
      </c>
      <c r="R209" t="s">
        <v>317</v>
      </c>
      <c r="S209" t="s">
        <v>316</v>
      </c>
      <c r="T209" t="s">
        <v>2321</v>
      </c>
      <c r="U209">
        <v>45894</v>
      </c>
      <c r="V209">
        <v>45894</v>
      </c>
      <c r="W209" t="s">
        <v>12</v>
      </c>
      <c r="X209" t="s">
        <v>316</v>
      </c>
      <c r="Y209" t="s">
        <v>319</v>
      </c>
      <c r="Z209" t="s">
        <v>320</v>
      </c>
      <c r="AA209" t="s">
        <v>316</v>
      </c>
      <c r="AB209" t="s">
        <v>316</v>
      </c>
    </row>
    <row r="210" spans="1:28">
      <c r="A210">
        <v>12</v>
      </c>
      <c r="B210" t="s">
        <v>5</v>
      </c>
      <c r="C210">
        <v>45882</v>
      </c>
      <c r="D210">
        <v>45895</v>
      </c>
      <c r="E210" t="s">
        <v>2327</v>
      </c>
      <c r="F210" t="s">
        <v>313</v>
      </c>
      <c r="G210">
        <v>49369</v>
      </c>
      <c r="H210" t="s">
        <v>2090</v>
      </c>
      <c r="I210" t="s">
        <v>338</v>
      </c>
      <c r="J210">
        <v>3</v>
      </c>
      <c r="L210">
        <v>6</v>
      </c>
      <c r="M210">
        <v>45894</v>
      </c>
      <c r="N210">
        <v>45894</v>
      </c>
      <c r="O210" t="s">
        <v>12</v>
      </c>
      <c r="T210" t="s">
        <v>320</v>
      </c>
      <c r="U210" t="s">
        <v>320</v>
      </c>
      <c r="V210" t="s">
        <v>320</v>
      </c>
      <c r="W210" t="s">
        <v>320</v>
      </c>
      <c r="X210" t="s">
        <v>320</v>
      </c>
      <c r="Y210" t="s">
        <v>320</v>
      </c>
      <c r="Z210" t="s">
        <v>320</v>
      </c>
      <c r="AA210" t="s">
        <v>320</v>
      </c>
      <c r="AB210" t="s">
        <v>316</v>
      </c>
    </row>
    <row r="211" spans="1:28">
      <c r="A211">
        <v>1</v>
      </c>
      <c r="B211" t="s">
        <v>5</v>
      </c>
      <c r="C211">
        <v>45896</v>
      </c>
      <c r="D211">
        <v>45909</v>
      </c>
      <c r="E211" t="s">
        <v>2159</v>
      </c>
      <c r="F211" t="s">
        <v>317</v>
      </c>
      <c r="G211" t="s">
        <v>2160</v>
      </c>
      <c r="H211" t="s">
        <v>2161</v>
      </c>
      <c r="I211" t="s">
        <v>376</v>
      </c>
      <c r="J211">
        <v>0</v>
      </c>
      <c r="K211">
        <v>2</v>
      </c>
      <c r="L211">
        <v>6.5</v>
      </c>
      <c r="M211">
        <v>45897</v>
      </c>
      <c r="N211">
        <v>45908</v>
      </c>
      <c r="O211" t="s">
        <v>320</v>
      </c>
      <c r="P211" t="s">
        <v>320</v>
      </c>
      <c r="Q211" t="s">
        <v>320</v>
      </c>
      <c r="R211" t="s">
        <v>320</v>
      </c>
      <c r="S211" t="s">
        <v>320</v>
      </c>
      <c r="T211" t="s">
        <v>320</v>
      </c>
      <c r="U211" t="s">
        <v>320</v>
      </c>
      <c r="V211" t="s">
        <v>320</v>
      </c>
      <c r="W211" t="s">
        <v>320</v>
      </c>
      <c r="X211" t="s">
        <v>320</v>
      </c>
      <c r="Y211" t="s">
        <v>320</v>
      </c>
      <c r="Z211" t="s">
        <v>320</v>
      </c>
      <c r="AA211" t="s">
        <v>320</v>
      </c>
      <c r="AB211" t="s">
        <v>320</v>
      </c>
    </row>
    <row r="212" spans="1:28">
      <c r="A212">
        <v>2</v>
      </c>
      <c r="B212" t="s">
        <v>5</v>
      </c>
      <c r="C212">
        <v>45896</v>
      </c>
      <c r="D212">
        <v>45909</v>
      </c>
      <c r="E212" t="s">
        <v>2159</v>
      </c>
      <c r="F212" t="s">
        <v>317</v>
      </c>
      <c r="G212" t="s">
        <v>2168</v>
      </c>
      <c r="H212" t="s">
        <v>2169</v>
      </c>
      <c r="I212" t="s">
        <v>376</v>
      </c>
      <c r="J212">
        <v>0</v>
      </c>
      <c r="K212">
        <v>1</v>
      </c>
      <c r="L212">
        <v>3.75</v>
      </c>
      <c r="M212">
        <v>45897</v>
      </c>
      <c r="N212">
        <v>45902</v>
      </c>
      <c r="O212" t="s">
        <v>320</v>
      </c>
      <c r="P212" t="s">
        <v>320</v>
      </c>
      <c r="Q212" t="s">
        <v>320</v>
      </c>
      <c r="R212" t="s">
        <v>320</v>
      </c>
      <c r="S212" t="s">
        <v>320</v>
      </c>
      <c r="T212" t="s">
        <v>320</v>
      </c>
      <c r="U212" t="s">
        <v>320</v>
      </c>
      <c r="V212" t="s">
        <v>320</v>
      </c>
      <c r="W212" t="s">
        <v>320</v>
      </c>
      <c r="X212" t="s">
        <v>320</v>
      </c>
      <c r="Y212" t="s">
        <v>320</v>
      </c>
      <c r="Z212" t="s">
        <v>320</v>
      </c>
      <c r="AA212" t="s">
        <v>320</v>
      </c>
      <c r="AB212" t="s">
        <v>320</v>
      </c>
    </row>
    <row r="213" spans="1:28">
      <c r="A213">
        <v>3</v>
      </c>
      <c r="B213" t="s">
        <v>5</v>
      </c>
      <c r="C213">
        <v>45896</v>
      </c>
      <c r="D213">
        <v>45909</v>
      </c>
      <c r="E213" t="s">
        <v>2159</v>
      </c>
      <c r="F213" t="s">
        <v>315</v>
      </c>
      <c r="G213" t="s">
        <v>2175</v>
      </c>
      <c r="H213" t="s">
        <v>2176</v>
      </c>
      <c r="I213" t="s">
        <v>376</v>
      </c>
      <c r="J213">
        <v>1</v>
      </c>
      <c r="K213">
        <v>0</v>
      </c>
      <c r="L213">
        <v>0</v>
      </c>
      <c r="M213">
        <v>45897</v>
      </c>
      <c r="N213">
        <v>45897</v>
      </c>
      <c r="O213" t="s">
        <v>320</v>
      </c>
      <c r="P213" t="s">
        <v>320</v>
      </c>
      <c r="Q213" t="s">
        <v>320</v>
      </c>
      <c r="R213" t="s">
        <v>320</v>
      </c>
      <c r="S213" t="s">
        <v>320</v>
      </c>
      <c r="T213" t="s">
        <v>320</v>
      </c>
      <c r="U213" t="s">
        <v>320</v>
      </c>
      <c r="V213" t="s">
        <v>320</v>
      </c>
      <c r="W213" t="s">
        <v>320</v>
      </c>
      <c r="X213" t="s">
        <v>320</v>
      </c>
      <c r="Y213" t="s">
        <v>320</v>
      </c>
      <c r="Z213" t="s">
        <v>320</v>
      </c>
      <c r="AA213" t="s">
        <v>320</v>
      </c>
      <c r="AB213" t="s">
        <v>320</v>
      </c>
    </row>
    <row r="214" spans="1:28">
      <c r="A214">
        <v>4</v>
      </c>
      <c r="B214" t="s">
        <v>5</v>
      </c>
      <c r="C214">
        <v>45896</v>
      </c>
      <c r="D214">
        <v>45909</v>
      </c>
      <c r="E214" t="s">
        <v>2159</v>
      </c>
      <c r="F214" t="s">
        <v>313</v>
      </c>
      <c r="G214">
        <v>49369</v>
      </c>
      <c r="H214" t="s">
        <v>2179</v>
      </c>
      <c r="I214" t="s">
        <v>399</v>
      </c>
      <c r="J214">
        <v>2</v>
      </c>
    </row>
    <row r="215" spans="1:28">
      <c r="A215">
        <v>5</v>
      </c>
      <c r="B215" t="s">
        <v>5</v>
      </c>
      <c r="C215">
        <v>45896</v>
      </c>
      <c r="D215">
        <v>45909</v>
      </c>
      <c r="E215" t="s">
        <v>4414</v>
      </c>
      <c r="F215" t="s">
        <v>313</v>
      </c>
      <c r="G215">
        <v>25756</v>
      </c>
      <c r="H215" t="s">
        <v>2185</v>
      </c>
      <c r="I215" t="s">
        <v>376</v>
      </c>
      <c r="J215">
        <v>5</v>
      </c>
      <c r="K215">
        <v>4.5</v>
      </c>
      <c r="L215">
        <v>18</v>
      </c>
      <c r="M215">
        <v>45896</v>
      </c>
      <c r="N215">
        <v>45904</v>
      </c>
      <c r="O215" t="s">
        <v>12</v>
      </c>
      <c r="P215" t="s">
        <v>315</v>
      </c>
      <c r="Q215" t="s">
        <v>316</v>
      </c>
      <c r="R215" t="s">
        <v>317</v>
      </c>
      <c r="S215" t="s">
        <v>316</v>
      </c>
      <c r="T215" t="s">
        <v>2186</v>
      </c>
      <c r="U215">
        <v>45908</v>
      </c>
      <c r="V215">
        <v>45908</v>
      </c>
      <c r="W215" t="s">
        <v>316</v>
      </c>
      <c r="X215" t="s">
        <v>319</v>
      </c>
      <c r="Y215" t="s">
        <v>319</v>
      </c>
      <c r="Z215" t="s">
        <v>320</v>
      </c>
      <c r="AA215" t="s">
        <v>316</v>
      </c>
      <c r="AB215" t="s">
        <v>316</v>
      </c>
    </row>
    <row r="216" spans="1:28">
      <c r="A216">
        <v>6</v>
      </c>
      <c r="B216" t="s">
        <v>5</v>
      </c>
      <c r="C216">
        <v>45896</v>
      </c>
      <c r="D216">
        <v>45909</v>
      </c>
      <c r="E216" t="s">
        <v>2159</v>
      </c>
      <c r="F216" t="s">
        <v>315</v>
      </c>
      <c r="G216">
        <v>25757</v>
      </c>
      <c r="H216" t="s">
        <v>2195</v>
      </c>
      <c r="I216" t="s">
        <v>376</v>
      </c>
      <c r="J216">
        <v>1</v>
      </c>
      <c r="K216">
        <v>1.25</v>
      </c>
      <c r="L216">
        <v>5</v>
      </c>
      <c r="M216">
        <v>45897</v>
      </c>
      <c r="N216">
        <v>45897</v>
      </c>
      <c r="O216" t="s">
        <v>12</v>
      </c>
      <c r="P216" t="s">
        <v>313</v>
      </c>
      <c r="Q216" t="s">
        <v>316</v>
      </c>
      <c r="R216" t="s">
        <v>317</v>
      </c>
      <c r="S216" t="s">
        <v>316</v>
      </c>
      <c r="T216" t="s">
        <v>2196</v>
      </c>
      <c r="U216">
        <v>45897</v>
      </c>
      <c r="V216">
        <v>45897</v>
      </c>
      <c r="W216" t="s">
        <v>316</v>
      </c>
      <c r="X216" t="s">
        <v>319</v>
      </c>
      <c r="Y216" t="s">
        <v>319</v>
      </c>
      <c r="Z216" t="s">
        <v>320</v>
      </c>
      <c r="AA216" t="s">
        <v>316</v>
      </c>
      <c r="AB216" t="s">
        <v>316</v>
      </c>
    </row>
    <row r="217" spans="1:28">
      <c r="A217">
        <v>7</v>
      </c>
      <c r="B217" t="s">
        <v>5</v>
      </c>
      <c r="C217">
        <v>45896</v>
      </c>
      <c r="D217">
        <v>45909</v>
      </c>
      <c r="E217" t="s">
        <v>4414</v>
      </c>
      <c r="F217" t="s">
        <v>315</v>
      </c>
      <c r="G217">
        <v>46798</v>
      </c>
      <c r="H217" t="s">
        <v>1975</v>
      </c>
      <c r="I217" t="s">
        <v>399</v>
      </c>
      <c r="J217">
        <v>5</v>
      </c>
      <c r="L217">
        <v>18</v>
      </c>
      <c r="M217">
        <v>45897</v>
      </c>
    </row>
    <row r="218" spans="1:28">
      <c r="A218">
        <v>8</v>
      </c>
      <c r="B218" t="s">
        <v>5</v>
      </c>
      <c r="C218">
        <v>45896</v>
      </c>
      <c r="D218">
        <v>45909</v>
      </c>
      <c r="E218" t="s">
        <v>2159</v>
      </c>
      <c r="F218" t="s">
        <v>315</v>
      </c>
      <c r="G218">
        <v>49788</v>
      </c>
      <c r="H218" t="s">
        <v>583</v>
      </c>
      <c r="I218" t="s">
        <v>306</v>
      </c>
      <c r="J218">
        <v>2</v>
      </c>
      <c r="K218">
        <v>1.62</v>
      </c>
      <c r="L218">
        <v>6.5</v>
      </c>
      <c r="M218" t="s">
        <v>320</v>
      </c>
      <c r="N218" t="s">
        <v>320</v>
      </c>
      <c r="O218" t="s">
        <v>320</v>
      </c>
      <c r="P218" t="s">
        <v>320</v>
      </c>
      <c r="Q218" t="s">
        <v>320</v>
      </c>
      <c r="R218" t="s">
        <v>320</v>
      </c>
      <c r="S218" t="s">
        <v>320</v>
      </c>
      <c r="T218" t="s">
        <v>320</v>
      </c>
      <c r="U218" t="s">
        <v>320</v>
      </c>
      <c r="V218" t="s">
        <v>320</v>
      </c>
      <c r="W218" t="s">
        <v>320</v>
      </c>
      <c r="X218" t="s">
        <v>320</v>
      </c>
      <c r="Y218" t="s">
        <v>320</v>
      </c>
      <c r="Z218" t="s">
        <v>320</v>
      </c>
      <c r="AA218" t="s">
        <v>320</v>
      </c>
      <c r="AB218" t="s">
        <v>320</v>
      </c>
    </row>
    <row r="219" spans="1:28">
      <c r="A219">
        <v>9</v>
      </c>
      <c r="B219" t="s">
        <v>5</v>
      </c>
      <c r="C219">
        <v>45896</v>
      </c>
      <c r="D219">
        <v>45909</v>
      </c>
      <c r="E219" t="s">
        <v>2159</v>
      </c>
      <c r="F219" t="s">
        <v>313</v>
      </c>
      <c r="G219">
        <v>49787</v>
      </c>
      <c r="H219" t="s">
        <v>588</v>
      </c>
      <c r="I219" t="s">
        <v>306</v>
      </c>
      <c r="J219">
        <v>1</v>
      </c>
      <c r="K219">
        <v>0.5</v>
      </c>
      <c r="L219">
        <v>2</v>
      </c>
      <c r="M219" t="s">
        <v>320</v>
      </c>
      <c r="N219" t="s">
        <v>320</v>
      </c>
      <c r="O219" t="s">
        <v>320</v>
      </c>
      <c r="P219" t="s">
        <v>320</v>
      </c>
      <c r="Q219" t="s">
        <v>320</v>
      </c>
      <c r="R219" t="s">
        <v>320</v>
      </c>
      <c r="S219" t="s">
        <v>320</v>
      </c>
      <c r="T219" t="s">
        <v>320</v>
      </c>
      <c r="U219" t="s">
        <v>320</v>
      </c>
      <c r="V219" t="s">
        <v>320</v>
      </c>
      <c r="W219" t="s">
        <v>320</v>
      </c>
      <c r="X219" t="s">
        <v>320</v>
      </c>
      <c r="Y219" t="s">
        <v>320</v>
      </c>
      <c r="Z219" t="s">
        <v>320</v>
      </c>
      <c r="AA219" t="s">
        <v>320</v>
      </c>
      <c r="AB219" t="s">
        <v>320</v>
      </c>
    </row>
    <row r="220" spans="1:28">
      <c r="A220">
        <v>10</v>
      </c>
      <c r="B220" t="s">
        <v>5</v>
      </c>
      <c r="C220">
        <v>45896</v>
      </c>
      <c r="D220">
        <v>45909</v>
      </c>
      <c r="E220" t="s">
        <v>2159</v>
      </c>
      <c r="F220" t="s">
        <v>2208</v>
      </c>
      <c r="G220">
        <v>49789</v>
      </c>
      <c r="H220" t="s">
        <v>596</v>
      </c>
      <c r="I220" t="s">
        <v>306</v>
      </c>
      <c r="J220">
        <v>5</v>
      </c>
      <c r="K220">
        <v>3.5</v>
      </c>
      <c r="L220">
        <v>14.5</v>
      </c>
      <c r="M220" t="s">
        <v>320</v>
      </c>
      <c r="N220" t="s">
        <v>320</v>
      </c>
      <c r="O220" t="s">
        <v>320</v>
      </c>
      <c r="P220" t="s">
        <v>320</v>
      </c>
      <c r="Q220" t="s">
        <v>320</v>
      </c>
      <c r="R220" t="s">
        <v>320</v>
      </c>
      <c r="S220" t="s">
        <v>320</v>
      </c>
      <c r="T220" t="s">
        <v>320</v>
      </c>
      <c r="U220" t="s">
        <v>320</v>
      </c>
      <c r="V220" t="s">
        <v>320</v>
      </c>
      <c r="W220" t="s">
        <v>320</v>
      </c>
      <c r="X220" t="s">
        <v>320</v>
      </c>
      <c r="Y220" t="s">
        <v>320</v>
      </c>
      <c r="Z220" t="s">
        <v>320</v>
      </c>
      <c r="AA220" t="s">
        <v>320</v>
      </c>
      <c r="AB220" t="s">
        <v>320</v>
      </c>
    </row>
    <row r="221" spans="1:28">
      <c r="A221">
        <v>11</v>
      </c>
      <c r="B221" t="s">
        <v>5</v>
      </c>
      <c r="C221">
        <v>45896</v>
      </c>
      <c r="D221">
        <v>45909</v>
      </c>
      <c r="E221" t="s">
        <v>2159</v>
      </c>
      <c r="F221" t="s">
        <v>2038</v>
      </c>
      <c r="G221">
        <v>49795</v>
      </c>
      <c r="H221" s="100" t="s">
        <v>2211</v>
      </c>
      <c r="I221" t="s">
        <v>306</v>
      </c>
      <c r="J221">
        <v>2</v>
      </c>
      <c r="K221">
        <v>2</v>
      </c>
      <c r="L221">
        <v>4</v>
      </c>
      <c r="M221" t="s">
        <v>320</v>
      </c>
      <c r="N221" t="s">
        <v>320</v>
      </c>
      <c r="O221" t="s">
        <v>320</v>
      </c>
      <c r="P221" t="s">
        <v>320</v>
      </c>
      <c r="Q221" t="s">
        <v>320</v>
      </c>
      <c r="R221" t="s">
        <v>320</v>
      </c>
      <c r="S221" t="s">
        <v>320</v>
      </c>
      <c r="T221" t="s">
        <v>320</v>
      </c>
      <c r="U221" t="s">
        <v>320</v>
      </c>
      <c r="V221" t="s">
        <v>320</v>
      </c>
      <c r="W221" t="s">
        <v>320</v>
      </c>
      <c r="X221" t="s">
        <v>320</v>
      </c>
      <c r="Y221" t="s">
        <v>320</v>
      </c>
      <c r="Z221" t="s">
        <v>320</v>
      </c>
      <c r="AA221" t="s">
        <v>320</v>
      </c>
      <c r="AB221" t="s">
        <v>320</v>
      </c>
    </row>
    <row r="222" spans="1:28">
      <c r="A222">
        <v>12</v>
      </c>
      <c r="B222" t="s">
        <v>5</v>
      </c>
      <c r="C222">
        <v>45896</v>
      </c>
      <c r="D222">
        <v>45909</v>
      </c>
      <c r="E222" t="s">
        <v>2159</v>
      </c>
      <c r="F222" t="s">
        <v>315</v>
      </c>
      <c r="G222">
        <v>49791</v>
      </c>
      <c r="H222" t="s">
        <v>2214</v>
      </c>
      <c r="I222" t="s">
        <v>306</v>
      </c>
      <c r="J222">
        <v>2</v>
      </c>
      <c r="K222">
        <v>1.63</v>
      </c>
      <c r="L222">
        <v>6.52</v>
      </c>
      <c r="M222" t="s">
        <v>320</v>
      </c>
      <c r="N222" t="s">
        <v>320</v>
      </c>
      <c r="O222" t="s">
        <v>320</v>
      </c>
      <c r="P222" t="s">
        <v>320</v>
      </c>
      <c r="Q222" t="s">
        <v>320</v>
      </c>
      <c r="R222" t="s">
        <v>320</v>
      </c>
      <c r="S222" t="s">
        <v>320</v>
      </c>
      <c r="T222" t="s">
        <v>320</v>
      </c>
      <c r="U222" t="s">
        <v>320</v>
      </c>
      <c r="V222" t="s">
        <v>320</v>
      </c>
      <c r="W222" t="s">
        <v>320</v>
      </c>
      <c r="X222" t="s">
        <v>320</v>
      </c>
      <c r="Y222" t="s">
        <v>320</v>
      </c>
      <c r="Z222" t="s">
        <v>320</v>
      </c>
      <c r="AA222" t="s">
        <v>320</v>
      </c>
      <c r="AB222" t="s">
        <v>320</v>
      </c>
    </row>
    <row r="223" spans="1:28">
      <c r="A223">
        <v>13</v>
      </c>
      <c r="B223" t="s">
        <v>5</v>
      </c>
      <c r="C223">
        <v>45896</v>
      </c>
      <c r="D223">
        <v>45909</v>
      </c>
      <c r="E223" t="s">
        <v>2159</v>
      </c>
      <c r="F223" t="s">
        <v>2038</v>
      </c>
      <c r="G223">
        <v>49794</v>
      </c>
      <c r="H223" t="s">
        <v>2218</v>
      </c>
      <c r="I223" t="s">
        <v>306</v>
      </c>
      <c r="J223">
        <v>3</v>
      </c>
      <c r="K223">
        <v>1.25</v>
      </c>
      <c r="L223">
        <v>5</v>
      </c>
      <c r="M223" t="s">
        <v>320</v>
      </c>
      <c r="N223" t="s">
        <v>320</v>
      </c>
      <c r="O223" t="s">
        <v>320</v>
      </c>
      <c r="P223" t="s">
        <v>320</v>
      </c>
      <c r="Q223" t="s">
        <v>320</v>
      </c>
      <c r="R223" t="s">
        <v>320</v>
      </c>
      <c r="S223" t="s">
        <v>320</v>
      </c>
      <c r="T223" t="s">
        <v>320</v>
      </c>
      <c r="U223" t="s">
        <v>320</v>
      </c>
      <c r="V223" t="s">
        <v>320</v>
      </c>
      <c r="W223" t="s">
        <v>320</v>
      </c>
      <c r="X223" t="s">
        <v>320</v>
      </c>
      <c r="Y223" t="s">
        <v>320</v>
      </c>
      <c r="Z223" t="s">
        <v>320</v>
      </c>
      <c r="AA223" t="s">
        <v>320</v>
      </c>
      <c r="AB223" t="s">
        <v>320</v>
      </c>
    </row>
    <row r="224" spans="1:28">
      <c r="A224">
        <v>14</v>
      </c>
      <c r="B224" t="s">
        <v>5</v>
      </c>
      <c r="C224">
        <v>45896</v>
      </c>
      <c r="D224">
        <v>45909</v>
      </c>
      <c r="E224" t="s">
        <v>2159</v>
      </c>
      <c r="F224" t="s">
        <v>313</v>
      </c>
      <c r="G224">
        <v>49790</v>
      </c>
      <c r="H224" t="s">
        <v>1149</v>
      </c>
      <c r="I224" t="s">
        <v>306</v>
      </c>
      <c r="J224">
        <v>3</v>
      </c>
      <c r="K224">
        <v>1.5</v>
      </c>
      <c r="L224">
        <v>6</v>
      </c>
      <c r="M224" t="s">
        <v>320</v>
      </c>
      <c r="N224" t="s">
        <v>320</v>
      </c>
      <c r="O224" t="s">
        <v>320</v>
      </c>
      <c r="P224" t="s">
        <v>320</v>
      </c>
      <c r="Q224" t="s">
        <v>320</v>
      </c>
      <c r="R224" t="s">
        <v>320</v>
      </c>
      <c r="S224" t="s">
        <v>320</v>
      </c>
      <c r="T224" t="s">
        <v>320</v>
      </c>
      <c r="U224" t="s">
        <v>320</v>
      </c>
      <c r="V224" t="s">
        <v>320</v>
      </c>
      <c r="W224" t="s">
        <v>320</v>
      </c>
      <c r="X224" t="s">
        <v>320</v>
      </c>
      <c r="Y224" t="s">
        <v>320</v>
      </c>
      <c r="Z224" t="s">
        <v>320</v>
      </c>
      <c r="AA224" t="s">
        <v>320</v>
      </c>
      <c r="AB224" t="s">
        <v>320</v>
      </c>
    </row>
    <row r="225" spans="1:28">
      <c r="A225">
        <v>15</v>
      </c>
      <c r="B225" t="s">
        <v>5</v>
      </c>
      <c r="C225">
        <v>45896</v>
      </c>
      <c r="D225">
        <v>45909</v>
      </c>
      <c r="E225" t="s">
        <v>2159</v>
      </c>
      <c r="F225" t="s">
        <v>315</v>
      </c>
      <c r="G225">
        <v>49793</v>
      </c>
      <c r="H225" t="s">
        <v>1840</v>
      </c>
      <c r="I225" t="s">
        <v>306</v>
      </c>
      <c r="J225">
        <v>3</v>
      </c>
      <c r="K225">
        <v>1.38</v>
      </c>
      <c r="L225">
        <v>5.52</v>
      </c>
      <c r="M225" t="s">
        <v>320</v>
      </c>
      <c r="N225" t="s">
        <v>320</v>
      </c>
      <c r="O225" t="s">
        <v>320</v>
      </c>
      <c r="P225" t="s">
        <v>320</v>
      </c>
      <c r="Q225" t="s">
        <v>320</v>
      </c>
      <c r="R225" t="s">
        <v>320</v>
      </c>
      <c r="S225" t="s">
        <v>320</v>
      </c>
      <c r="T225" t="s">
        <v>320</v>
      </c>
      <c r="U225" t="s">
        <v>320</v>
      </c>
      <c r="V225" t="s">
        <v>320</v>
      </c>
      <c r="W225" t="s">
        <v>320</v>
      </c>
      <c r="X225" t="s">
        <v>320</v>
      </c>
      <c r="Y225" t="s">
        <v>320</v>
      </c>
      <c r="Z225" t="s">
        <v>320</v>
      </c>
      <c r="AA225" t="s">
        <v>320</v>
      </c>
      <c r="AB225" t="s">
        <v>320</v>
      </c>
    </row>
    <row r="226" spans="1:28">
      <c r="A226">
        <v>16</v>
      </c>
      <c r="B226" t="s">
        <v>5</v>
      </c>
      <c r="C226">
        <v>45896</v>
      </c>
      <c r="D226">
        <v>45909</v>
      </c>
      <c r="E226" t="s">
        <v>4414</v>
      </c>
      <c r="F226" t="s">
        <v>313</v>
      </c>
      <c r="G226">
        <v>25774</v>
      </c>
      <c r="H226" t="s">
        <v>2114</v>
      </c>
      <c r="I226" t="s">
        <v>348</v>
      </c>
      <c r="J226">
        <v>2</v>
      </c>
      <c r="L226">
        <v>4</v>
      </c>
      <c r="M226">
        <v>45908</v>
      </c>
      <c r="AB226" t="s">
        <v>316</v>
      </c>
    </row>
    <row r="227" spans="1:28">
      <c r="A227">
        <v>17</v>
      </c>
      <c r="B227" t="s">
        <v>5</v>
      </c>
      <c r="C227">
        <v>45896</v>
      </c>
      <c r="D227">
        <v>45909</v>
      </c>
      <c r="E227" t="s">
        <v>4414</v>
      </c>
      <c r="F227" t="s">
        <v>2038</v>
      </c>
      <c r="G227">
        <v>49074</v>
      </c>
      <c r="H227" t="s">
        <v>2079</v>
      </c>
      <c r="I227" t="s">
        <v>399</v>
      </c>
      <c r="J227">
        <v>3</v>
      </c>
    </row>
    <row r="228" spans="1:28">
      <c r="A228">
        <v>1</v>
      </c>
      <c r="B228" t="s">
        <v>5</v>
      </c>
      <c r="C228">
        <v>45910</v>
      </c>
      <c r="D228">
        <v>45923</v>
      </c>
      <c r="E228" t="s">
        <v>2066</v>
      </c>
      <c r="F228" t="s">
        <v>315</v>
      </c>
      <c r="G228">
        <v>46798</v>
      </c>
      <c r="H228" t="s">
        <v>1975</v>
      </c>
      <c r="I228" t="s">
        <v>399</v>
      </c>
      <c r="J228">
        <v>3</v>
      </c>
      <c r="L228">
        <v>39</v>
      </c>
      <c r="M228">
        <v>45910</v>
      </c>
    </row>
    <row r="229" spans="1:28">
      <c r="A229">
        <v>2</v>
      </c>
      <c r="B229" t="s">
        <v>5</v>
      </c>
      <c r="C229">
        <v>45910</v>
      </c>
      <c r="D229">
        <v>45923</v>
      </c>
      <c r="E229" t="s">
        <v>2066</v>
      </c>
      <c r="F229" t="s">
        <v>1216</v>
      </c>
      <c r="G229">
        <v>49074</v>
      </c>
      <c r="H229" t="s">
        <v>2079</v>
      </c>
      <c r="I229" t="s">
        <v>306</v>
      </c>
      <c r="J229">
        <v>3</v>
      </c>
      <c r="K229">
        <v>3.25</v>
      </c>
      <c r="L229">
        <v>13</v>
      </c>
      <c r="M229">
        <v>45910</v>
      </c>
      <c r="N229">
        <v>45916</v>
      </c>
      <c r="O229" t="s">
        <v>320</v>
      </c>
      <c r="P229" t="s">
        <v>313</v>
      </c>
      <c r="Q229" t="s">
        <v>316</v>
      </c>
      <c r="R229" t="s">
        <v>317</v>
      </c>
      <c r="S229" t="s">
        <v>316</v>
      </c>
      <c r="T229" t="s">
        <v>2080</v>
      </c>
      <c r="U229">
        <v>45917</v>
      </c>
      <c r="V229">
        <v>45920</v>
      </c>
      <c r="W229" t="s">
        <v>320</v>
      </c>
      <c r="X229" t="s">
        <v>320</v>
      </c>
      <c r="Y229" t="s">
        <v>320</v>
      </c>
    </row>
    <row r="230" spans="1:28">
      <c r="A230">
        <v>3</v>
      </c>
      <c r="B230" t="s">
        <v>5</v>
      </c>
      <c r="C230">
        <v>45910</v>
      </c>
      <c r="D230">
        <v>45923</v>
      </c>
      <c r="E230" t="s">
        <v>2066</v>
      </c>
      <c r="F230" t="s">
        <v>313</v>
      </c>
      <c r="G230">
        <v>49369</v>
      </c>
      <c r="H230" t="s">
        <v>2090</v>
      </c>
      <c r="I230" t="s">
        <v>306</v>
      </c>
      <c r="J230">
        <v>2</v>
      </c>
      <c r="K230">
        <v>2</v>
      </c>
      <c r="L230">
        <v>8</v>
      </c>
      <c r="M230">
        <v>45894</v>
      </c>
      <c r="N230">
        <v>45894</v>
      </c>
      <c r="O230" t="s">
        <v>12</v>
      </c>
      <c r="P230" t="s">
        <v>315</v>
      </c>
      <c r="Q230" t="s">
        <v>316</v>
      </c>
      <c r="R230" t="s">
        <v>317</v>
      </c>
      <c r="S230" t="s">
        <v>316</v>
      </c>
      <c r="T230" t="s">
        <v>320</v>
      </c>
      <c r="U230" t="s">
        <v>320</v>
      </c>
      <c r="V230" t="s">
        <v>320</v>
      </c>
      <c r="W230" t="s">
        <v>320</v>
      </c>
      <c r="X230" t="s">
        <v>320</v>
      </c>
      <c r="Y230" t="s">
        <v>320</v>
      </c>
      <c r="Z230" t="s">
        <v>320</v>
      </c>
      <c r="AA230" t="s">
        <v>320</v>
      </c>
      <c r="AB230" t="s">
        <v>316</v>
      </c>
    </row>
    <row r="231" spans="1:28">
      <c r="A231">
        <v>4</v>
      </c>
      <c r="B231" t="s">
        <v>5</v>
      </c>
      <c r="C231">
        <v>45910</v>
      </c>
      <c r="D231">
        <v>45923</v>
      </c>
      <c r="E231" t="s">
        <v>2066</v>
      </c>
      <c r="F231" t="s">
        <v>317</v>
      </c>
      <c r="G231">
        <v>49950</v>
      </c>
      <c r="H231" t="s">
        <v>1599</v>
      </c>
      <c r="I231" t="s">
        <v>399</v>
      </c>
      <c r="J231">
        <v>2</v>
      </c>
    </row>
    <row r="232" spans="1:28">
      <c r="A232">
        <v>5</v>
      </c>
      <c r="B232" t="s">
        <v>5</v>
      </c>
      <c r="C232">
        <v>45910</v>
      </c>
      <c r="D232">
        <v>45923</v>
      </c>
      <c r="E232" t="s">
        <v>2066</v>
      </c>
      <c r="F232" t="s">
        <v>313</v>
      </c>
      <c r="G232">
        <v>43612</v>
      </c>
      <c r="H232" t="s">
        <v>2101</v>
      </c>
      <c r="I232" t="s">
        <v>306</v>
      </c>
      <c r="J232">
        <v>5</v>
      </c>
      <c r="K232">
        <v>9</v>
      </c>
      <c r="L232">
        <v>36</v>
      </c>
      <c r="M232">
        <v>45911</v>
      </c>
      <c r="N232">
        <v>45918</v>
      </c>
      <c r="O232" t="s">
        <v>12</v>
      </c>
      <c r="P232" t="s">
        <v>315</v>
      </c>
      <c r="Q232" t="s">
        <v>316</v>
      </c>
      <c r="R232" t="s">
        <v>317</v>
      </c>
      <c r="S232" t="s">
        <v>316</v>
      </c>
      <c r="T232" t="s">
        <v>2102</v>
      </c>
      <c r="U232">
        <v>45922</v>
      </c>
      <c r="V232">
        <v>45922</v>
      </c>
      <c r="W232" t="s">
        <v>316</v>
      </c>
      <c r="X232" t="s">
        <v>319</v>
      </c>
      <c r="Y232" t="s">
        <v>319</v>
      </c>
      <c r="Z232" t="s">
        <v>320</v>
      </c>
      <c r="AA232" t="s">
        <v>316</v>
      </c>
      <c r="AB232" t="s">
        <v>2103</v>
      </c>
    </row>
    <row r="233" spans="1:28">
      <c r="A233">
        <v>6</v>
      </c>
      <c r="B233" t="s">
        <v>5</v>
      </c>
      <c r="C233">
        <v>45910</v>
      </c>
      <c r="D233">
        <v>45923</v>
      </c>
      <c r="E233" t="s">
        <v>2066</v>
      </c>
      <c r="F233" t="s">
        <v>313</v>
      </c>
      <c r="G233">
        <v>25774</v>
      </c>
      <c r="H233" t="s">
        <v>2114</v>
      </c>
      <c r="I233" t="s">
        <v>306</v>
      </c>
      <c r="J233">
        <v>1</v>
      </c>
      <c r="K233">
        <v>0.75</v>
      </c>
      <c r="L233">
        <v>3</v>
      </c>
      <c r="M233">
        <v>45908</v>
      </c>
      <c r="N233">
        <v>45908</v>
      </c>
      <c r="O233" t="s">
        <v>12</v>
      </c>
      <c r="P233" t="s">
        <v>315</v>
      </c>
      <c r="Q233" t="s">
        <v>316</v>
      </c>
      <c r="R233" t="s">
        <v>317</v>
      </c>
      <c r="S233" t="s">
        <v>316</v>
      </c>
      <c r="T233" t="s">
        <v>320</v>
      </c>
      <c r="U233" t="s">
        <v>320</v>
      </c>
      <c r="V233" t="s">
        <v>320</v>
      </c>
      <c r="W233" t="s">
        <v>320</v>
      </c>
      <c r="X233" t="s">
        <v>320</v>
      </c>
      <c r="Y233" t="s">
        <v>320</v>
      </c>
      <c r="Z233" t="s">
        <v>320</v>
      </c>
      <c r="AA233" t="s">
        <v>320</v>
      </c>
      <c r="AB233" t="s">
        <v>316</v>
      </c>
    </row>
    <row r="234" spans="1:28">
      <c r="A234">
        <v>7</v>
      </c>
      <c r="B234" t="s">
        <v>5</v>
      </c>
      <c r="C234">
        <v>45910</v>
      </c>
      <c r="D234">
        <v>45923</v>
      </c>
      <c r="E234" t="s">
        <v>2066</v>
      </c>
      <c r="F234" t="s">
        <v>313</v>
      </c>
      <c r="G234" t="s">
        <v>2117</v>
      </c>
      <c r="H234" t="s">
        <v>2118</v>
      </c>
      <c r="I234" t="s">
        <v>376</v>
      </c>
      <c r="L234">
        <v>7</v>
      </c>
      <c r="M234">
        <v>45912</v>
      </c>
      <c r="N234">
        <v>45912</v>
      </c>
      <c r="O234" t="s">
        <v>12</v>
      </c>
      <c r="P234" t="s">
        <v>315</v>
      </c>
      <c r="Q234" t="s">
        <v>316</v>
      </c>
      <c r="R234" t="s">
        <v>317</v>
      </c>
      <c r="S234" t="s">
        <v>316</v>
      </c>
      <c r="T234" t="s">
        <v>320</v>
      </c>
      <c r="U234" t="s">
        <v>320</v>
      </c>
      <c r="V234" t="s">
        <v>320</v>
      </c>
      <c r="W234" t="s">
        <v>320</v>
      </c>
      <c r="X234" t="s">
        <v>320</v>
      </c>
      <c r="Y234" t="s">
        <v>320</v>
      </c>
      <c r="Z234" t="s">
        <v>320</v>
      </c>
      <c r="AA234" t="s">
        <v>320</v>
      </c>
      <c r="AB234" t="s">
        <v>316</v>
      </c>
    </row>
    <row r="235" spans="1:28">
      <c r="A235">
        <v>8</v>
      </c>
      <c r="B235" t="s">
        <v>5</v>
      </c>
      <c r="C235">
        <v>45910</v>
      </c>
      <c r="D235">
        <v>45923</v>
      </c>
      <c r="E235" t="s">
        <v>2066</v>
      </c>
      <c r="F235" t="s">
        <v>313</v>
      </c>
      <c r="G235" t="s">
        <v>2122</v>
      </c>
      <c r="H235" t="s">
        <v>2123</v>
      </c>
      <c r="I235" t="s">
        <v>376</v>
      </c>
      <c r="L235">
        <v>5.5</v>
      </c>
      <c r="M235">
        <v>45912</v>
      </c>
      <c r="N235">
        <v>45915</v>
      </c>
      <c r="O235" t="s">
        <v>12</v>
      </c>
      <c r="P235" t="s">
        <v>315</v>
      </c>
      <c r="Q235" t="s">
        <v>316</v>
      </c>
      <c r="R235" t="s">
        <v>317</v>
      </c>
      <c r="S235" t="s">
        <v>316</v>
      </c>
      <c r="T235" t="s">
        <v>320</v>
      </c>
      <c r="U235" t="s">
        <v>320</v>
      </c>
      <c r="V235" t="s">
        <v>320</v>
      </c>
      <c r="W235" t="s">
        <v>320</v>
      </c>
      <c r="X235" t="s">
        <v>320</v>
      </c>
      <c r="Y235" t="s">
        <v>320</v>
      </c>
      <c r="Z235" t="s">
        <v>320</v>
      </c>
      <c r="AA235" t="s">
        <v>320</v>
      </c>
      <c r="AB235" t="s">
        <v>316</v>
      </c>
    </row>
    <row r="236" spans="1:28">
      <c r="A236">
        <v>9</v>
      </c>
      <c r="B236" t="s">
        <v>5</v>
      </c>
      <c r="C236">
        <v>45910</v>
      </c>
      <c r="D236">
        <v>45923</v>
      </c>
      <c r="E236" t="s">
        <v>2066</v>
      </c>
      <c r="F236" t="s">
        <v>317</v>
      </c>
      <c r="G236" t="s">
        <v>2127</v>
      </c>
      <c r="H236" t="s">
        <v>2128</v>
      </c>
      <c r="I236" t="s">
        <v>376</v>
      </c>
      <c r="L236">
        <v>5</v>
      </c>
      <c r="M236">
        <v>45912</v>
      </c>
      <c r="N236" s="100" t="s">
        <v>2129</v>
      </c>
      <c r="O236" t="s">
        <v>12</v>
      </c>
      <c r="T236" t="s">
        <v>320</v>
      </c>
      <c r="U236" t="s">
        <v>320</v>
      </c>
      <c r="V236" t="s">
        <v>320</v>
      </c>
      <c r="W236" t="s">
        <v>320</v>
      </c>
      <c r="X236" t="s">
        <v>320</v>
      </c>
      <c r="Y236" t="s">
        <v>320</v>
      </c>
      <c r="Z236" t="s">
        <v>320</v>
      </c>
      <c r="AA236" t="s">
        <v>320</v>
      </c>
      <c r="AB236" t="s">
        <v>316</v>
      </c>
    </row>
    <row r="237" spans="1:28">
      <c r="A237">
        <v>10</v>
      </c>
      <c r="B237" t="s">
        <v>5</v>
      </c>
      <c r="C237">
        <v>45910</v>
      </c>
      <c r="D237">
        <v>45923</v>
      </c>
      <c r="E237" t="s">
        <v>2066</v>
      </c>
      <c r="F237" t="s">
        <v>317</v>
      </c>
      <c r="G237">
        <v>25952</v>
      </c>
      <c r="H237" s="100" t="s">
        <v>2130</v>
      </c>
      <c r="I237" t="s">
        <v>348</v>
      </c>
      <c r="M237">
        <v>45915</v>
      </c>
    </row>
    <row r="238" spans="1:28">
      <c r="A238">
        <v>11</v>
      </c>
      <c r="B238" t="s">
        <v>5</v>
      </c>
      <c r="C238">
        <v>45910</v>
      </c>
      <c r="D238">
        <v>45923</v>
      </c>
      <c r="E238" t="s">
        <v>4415</v>
      </c>
      <c r="F238" t="s">
        <v>1216</v>
      </c>
      <c r="G238">
        <v>50101</v>
      </c>
      <c r="H238" t="s">
        <v>2135</v>
      </c>
      <c r="I238" t="s">
        <v>306</v>
      </c>
      <c r="J238">
        <v>3</v>
      </c>
      <c r="K238">
        <v>4.25</v>
      </c>
      <c r="L238">
        <v>17</v>
      </c>
      <c r="M238">
        <v>45917</v>
      </c>
      <c r="N238">
        <v>45922</v>
      </c>
      <c r="O238" t="s">
        <v>320</v>
      </c>
      <c r="P238" t="s">
        <v>313</v>
      </c>
      <c r="Q238" t="s">
        <v>316</v>
      </c>
      <c r="R238" t="s">
        <v>313</v>
      </c>
      <c r="S238" t="s">
        <v>316</v>
      </c>
      <c r="T238" t="s">
        <v>2136</v>
      </c>
      <c r="U238">
        <v>45922</v>
      </c>
      <c r="V238">
        <v>45922</v>
      </c>
      <c r="W238" t="s">
        <v>320</v>
      </c>
      <c r="X238" t="s">
        <v>320</v>
      </c>
      <c r="Y238" t="s">
        <v>320</v>
      </c>
    </row>
    <row r="239" spans="1:28">
      <c r="A239">
        <v>12</v>
      </c>
      <c r="B239" t="s">
        <v>5</v>
      </c>
      <c r="C239">
        <v>45910</v>
      </c>
      <c r="D239">
        <v>45923</v>
      </c>
      <c r="E239" t="s">
        <v>4415</v>
      </c>
      <c r="F239" t="s">
        <v>317</v>
      </c>
      <c r="G239" t="s">
        <v>2143</v>
      </c>
      <c r="H239" t="s">
        <v>2144</v>
      </c>
      <c r="I239" t="s">
        <v>348</v>
      </c>
      <c r="J239">
        <v>0</v>
      </c>
      <c r="M239">
        <v>45918</v>
      </c>
    </row>
    <row r="240" spans="1:28">
      <c r="A240">
        <v>13</v>
      </c>
      <c r="B240" t="s">
        <v>5</v>
      </c>
      <c r="C240">
        <v>45910</v>
      </c>
      <c r="D240">
        <v>45923</v>
      </c>
      <c r="E240" t="s">
        <v>2066</v>
      </c>
      <c r="F240" t="s">
        <v>313</v>
      </c>
      <c r="G240">
        <v>44479</v>
      </c>
      <c r="H240" t="s">
        <v>1986</v>
      </c>
      <c r="I240" t="s">
        <v>399</v>
      </c>
      <c r="J240">
        <v>3</v>
      </c>
      <c r="L240">
        <v>4</v>
      </c>
      <c r="M240">
        <v>45923</v>
      </c>
    </row>
    <row r="241" spans="1:28">
      <c r="A241">
        <v>1</v>
      </c>
      <c r="B241" t="s">
        <v>5</v>
      </c>
      <c r="C241">
        <v>45924</v>
      </c>
      <c r="D241">
        <v>45937</v>
      </c>
      <c r="E241" t="s">
        <v>1974</v>
      </c>
      <c r="F241" t="s">
        <v>315</v>
      </c>
      <c r="G241">
        <v>46798</v>
      </c>
      <c r="H241" t="s">
        <v>1975</v>
      </c>
      <c r="I241" t="s">
        <v>306</v>
      </c>
      <c r="J241">
        <v>3</v>
      </c>
      <c r="K241">
        <v>7.6875</v>
      </c>
      <c r="L241">
        <v>30.75</v>
      </c>
      <c r="M241">
        <v>45924</v>
      </c>
      <c r="N241">
        <v>45925</v>
      </c>
      <c r="O241" t="s">
        <v>12</v>
      </c>
      <c r="P241" t="s">
        <v>1976</v>
      </c>
      <c r="Q241" t="s">
        <v>316</v>
      </c>
      <c r="R241" t="s">
        <v>317</v>
      </c>
      <c r="S241" t="s">
        <v>1977</v>
      </c>
      <c r="T241" t="s">
        <v>1978</v>
      </c>
      <c r="U241">
        <v>45926</v>
      </c>
      <c r="V241">
        <v>45926</v>
      </c>
      <c r="W241" t="s">
        <v>316</v>
      </c>
      <c r="X241" t="s">
        <v>319</v>
      </c>
      <c r="Y241" t="s">
        <v>319</v>
      </c>
      <c r="Z241" t="s">
        <v>320</v>
      </c>
      <c r="AA241" t="s">
        <v>316</v>
      </c>
      <c r="AB241" t="s">
        <v>316</v>
      </c>
    </row>
    <row r="242" spans="1:28">
      <c r="A242">
        <v>2</v>
      </c>
      <c r="B242" t="s">
        <v>5</v>
      </c>
      <c r="C242">
        <v>45924</v>
      </c>
      <c r="D242">
        <v>45937</v>
      </c>
      <c r="E242" t="s">
        <v>1974</v>
      </c>
      <c r="F242" t="s">
        <v>313</v>
      </c>
      <c r="G242">
        <v>44479</v>
      </c>
      <c r="H242" t="s">
        <v>1986</v>
      </c>
      <c r="I242" t="s">
        <v>306</v>
      </c>
      <c r="J242">
        <v>2</v>
      </c>
      <c r="K242">
        <v>2.5</v>
      </c>
      <c r="L242">
        <v>10</v>
      </c>
      <c r="M242">
        <v>45923</v>
      </c>
      <c r="N242">
        <v>45923</v>
      </c>
      <c r="O242" t="s">
        <v>12</v>
      </c>
      <c r="P242" t="s">
        <v>315</v>
      </c>
      <c r="Q242" t="s">
        <v>316</v>
      </c>
      <c r="R242" t="s">
        <v>317</v>
      </c>
      <c r="S242" t="s">
        <v>316</v>
      </c>
      <c r="T242" t="s">
        <v>1987</v>
      </c>
      <c r="U242">
        <v>45925</v>
      </c>
      <c r="V242">
        <v>45925</v>
      </c>
      <c r="W242" t="s">
        <v>316</v>
      </c>
      <c r="X242" t="s">
        <v>319</v>
      </c>
      <c r="Y242" t="s">
        <v>319</v>
      </c>
      <c r="Z242" t="s">
        <v>320</v>
      </c>
      <c r="AA242" t="s">
        <v>316</v>
      </c>
      <c r="AB242" t="s">
        <v>316</v>
      </c>
    </row>
    <row r="243" spans="1:28">
      <c r="A243">
        <v>3</v>
      </c>
      <c r="B243" t="s">
        <v>5</v>
      </c>
      <c r="C243">
        <v>45924</v>
      </c>
      <c r="D243">
        <v>45937</v>
      </c>
      <c r="E243" t="s">
        <v>1974</v>
      </c>
      <c r="F243" t="s">
        <v>313</v>
      </c>
      <c r="G243">
        <v>43613</v>
      </c>
      <c r="H243" t="s">
        <v>1990</v>
      </c>
      <c r="I243" t="s">
        <v>306</v>
      </c>
      <c r="J243">
        <v>5</v>
      </c>
      <c r="K243">
        <v>6.75</v>
      </c>
      <c r="L243">
        <v>27</v>
      </c>
      <c r="M243">
        <v>45924</v>
      </c>
      <c r="N243">
        <v>45929</v>
      </c>
      <c r="O243" t="s">
        <v>12</v>
      </c>
      <c r="P243" t="s">
        <v>315</v>
      </c>
      <c r="Q243" t="s">
        <v>316</v>
      </c>
      <c r="R243" t="s">
        <v>317</v>
      </c>
      <c r="S243" t="s">
        <v>316</v>
      </c>
      <c r="T243" t="s">
        <v>1991</v>
      </c>
      <c r="U243">
        <v>45930</v>
      </c>
      <c r="V243">
        <v>45930</v>
      </c>
      <c r="W243" t="s">
        <v>316</v>
      </c>
      <c r="X243" t="s">
        <v>319</v>
      </c>
      <c r="Y243" t="s">
        <v>319</v>
      </c>
      <c r="Z243" t="s">
        <v>320</v>
      </c>
      <c r="AA243" t="s">
        <v>316</v>
      </c>
      <c r="AB243" t="s">
        <v>1992</v>
      </c>
    </row>
    <row r="244" spans="1:28">
      <c r="A244">
        <v>4</v>
      </c>
      <c r="B244" t="s">
        <v>5</v>
      </c>
      <c r="C244">
        <v>45924</v>
      </c>
      <c r="D244">
        <v>45937</v>
      </c>
      <c r="E244" t="s">
        <v>1974</v>
      </c>
      <c r="F244" t="s">
        <v>315</v>
      </c>
      <c r="G244">
        <v>49370</v>
      </c>
      <c r="H244" t="s">
        <v>1683</v>
      </c>
      <c r="I244" t="s">
        <v>1303</v>
      </c>
      <c r="J244">
        <v>3</v>
      </c>
      <c r="L244">
        <v>19</v>
      </c>
      <c r="M244">
        <v>45926</v>
      </c>
      <c r="N244">
        <v>45933</v>
      </c>
    </row>
    <row r="245" spans="1:28">
      <c r="A245">
        <v>5</v>
      </c>
      <c r="B245" t="s">
        <v>5</v>
      </c>
      <c r="C245">
        <v>45924</v>
      </c>
      <c r="D245">
        <v>45937</v>
      </c>
      <c r="E245" t="s">
        <v>1974</v>
      </c>
      <c r="F245" t="s">
        <v>317</v>
      </c>
      <c r="G245">
        <v>49950</v>
      </c>
      <c r="H245" t="s">
        <v>1599</v>
      </c>
      <c r="I245" t="s">
        <v>399</v>
      </c>
      <c r="J245">
        <v>2</v>
      </c>
      <c r="L245">
        <v>0</v>
      </c>
    </row>
    <row r="246" spans="1:28">
      <c r="A246">
        <v>6</v>
      </c>
      <c r="B246" t="s">
        <v>5</v>
      </c>
      <c r="C246">
        <v>45924</v>
      </c>
      <c r="D246">
        <v>45937</v>
      </c>
      <c r="E246" t="s">
        <v>1974</v>
      </c>
      <c r="F246" t="s">
        <v>2014</v>
      </c>
      <c r="G246" t="s">
        <v>1619</v>
      </c>
      <c r="H246" t="s">
        <v>1542</v>
      </c>
      <c r="I246" t="s">
        <v>348</v>
      </c>
      <c r="J246">
        <v>0</v>
      </c>
      <c r="L246">
        <v>15.25</v>
      </c>
    </row>
    <row r="247" spans="1:28">
      <c r="A247">
        <v>7</v>
      </c>
      <c r="B247" t="s">
        <v>5</v>
      </c>
      <c r="C247">
        <v>45924</v>
      </c>
      <c r="D247">
        <v>45937</v>
      </c>
      <c r="E247" t="s">
        <v>1974</v>
      </c>
      <c r="F247" t="s">
        <v>317</v>
      </c>
      <c r="G247" t="s">
        <v>2022</v>
      </c>
      <c r="H247" t="s">
        <v>1953</v>
      </c>
      <c r="I247" t="s">
        <v>399</v>
      </c>
      <c r="J247">
        <v>0</v>
      </c>
      <c r="L247">
        <v>13.75</v>
      </c>
    </row>
    <row r="248" spans="1:28">
      <c r="A248">
        <v>8</v>
      </c>
      <c r="B248" t="s">
        <v>5</v>
      </c>
      <c r="C248">
        <v>45924</v>
      </c>
      <c r="D248">
        <v>45937</v>
      </c>
      <c r="E248" t="s">
        <v>1974</v>
      </c>
      <c r="F248" t="s">
        <v>1892</v>
      </c>
      <c r="G248" t="s">
        <v>1893</v>
      </c>
      <c r="H248" t="s">
        <v>1894</v>
      </c>
      <c r="I248" t="s">
        <v>399</v>
      </c>
      <c r="J248">
        <v>0</v>
      </c>
      <c r="L248">
        <v>28.5</v>
      </c>
    </row>
    <row r="249" spans="1:28">
      <c r="A249">
        <v>9</v>
      </c>
      <c r="B249" t="s">
        <v>5</v>
      </c>
      <c r="C249">
        <v>45924</v>
      </c>
      <c r="D249">
        <v>45937</v>
      </c>
      <c r="E249" t="s">
        <v>2029</v>
      </c>
      <c r="F249" t="s">
        <v>313</v>
      </c>
      <c r="G249">
        <v>49371</v>
      </c>
      <c r="H249" t="s">
        <v>2030</v>
      </c>
      <c r="I249" t="s">
        <v>306</v>
      </c>
      <c r="J249">
        <v>2</v>
      </c>
      <c r="K249">
        <v>2.25</v>
      </c>
      <c r="L249">
        <v>9</v>
      </c>
      <c r="M249">
        <v>45929</v>
      </c>
      <c r="N249">
        <v>45930</v>
      </c>
      <c r="O249" t="s">
        <v>320</v>
      </c>
      <c r="P249" t="s">
        <v>320</v>
      </c>
      <c r="Q249" t="s">
        <v>320</v>
      </c>
      <c r="R249" t="s">
        <v>320</v>
      </c>
      <c r="S249" t="s">
        <v>320</v>
      </c>
      <c r="T249" t="s">
        <v>320</v>
      </c>
      <c r="U249" t="s">
        <v>320</v>
      </c>
      <c r="V249" t="s">
        <v>320</v>
      </c>
      <c r="W249" t="s">
        <v>320</v>
      </c>
      <c r="X249" t="s">
        <v>320</v>
      </c>
      <c r="Y249" t="s">
        <v>320</v>
      </c>
      <c r="Z249" t="s">
        <v>320</v>
      </c>
      <c r="AA249" t="s">
        <v>320</v>
      </c>
      <c r="AB249" t="s">
        <v>320</v>
      </c>
    </row>
    <row r="250" spans="1:28">
      <c r="A250">
        <v>10</v>
      </c>
      <c r="B250" t="s">
        <v>5</v>
      </c>
      <c r="C250">
        <v>45924</v>
      </c>
      <c r="D250">
        <v>45937</v>
      </c>
      <c r="E250" t="s">
        <v>2029</v>
      </c>
      <c r="F250" t="s">
        <v>2038</v>
      </c>
      <c r="G250">
        <v>50198</v>
      </c>
      <c r="H250" t="s">
        <v>2039</v>
      </c>
      <c r="I250" t="s">
        <v>306</v>
      </c>
      <c r="J250">
        <v>3</v>
      </c>
      <c r="K250">
        <v>3.5</v>
      </c>
      <c r="L250">
        <v>14</v>
      </c>
      <c r="M250">
        <v>45924</v>
      </c>
      <c r="N250">
        <v>45926</v>
      </c>
      <c r="O250" t="s">
        <v>320</v>
      </c>
      <c r="P250" t="s">
        <v>1976</v>
      </c>
      <c r="Q250" t="s">
        <v>316</v>
      </c>
      <c r="R250" t="s">
        <v>317</v>
      </c>
      <c r="S250" t="s">
        <v>316</v>
      </c>
      <c r="T250" t="s">
        <v>2040</v>
      </c>
      <c r="U250">
        <v>45929</v>
      </c>
      <c r="V250" t="s">
        <v>2041</v>
      </c>
      <c r="W250" t="s">
        <v>316</v>
      </c>
      <c r="X250" t="s">
        <v>319</v>
      </c>
      <c r="Y250" t="s">
        <v>319</v>
      </c>
      <c r="Z250" t="s">
        <v>320</v>
      </c>
      <c r="AA250" t="s">
        <v>320</v>
      </c>
      <c r="AB250" t="s">
        <v>320</v>
      </c>
    </row>
    <row r="251" spans="1:28">
      <c r="A251">
        <v>11</v>
      </c>
      <c r="B251" t="s">
        <v>5</v>
      </c>
      <c r="C251">
        <v>45924</v>
      </c>
      <c r="D251">
        <v>45937</v>
      </c>
      <c r="E251" t="s">
        <v>2029</v>
      </c>
      <c r="F251" t="s">
        <v>313</v>
      </c>
      <c r="G251">
        <v>49372</v>
      </c>
      <c r="H251" t="s">
        <v>2045</v>
      </c>
      <c r="I251" t="s">
        <v>1303</v>
      </c>
      <c r="J251">
        <v>2</v>
      </c>
      <c r="L251">
        <v>6</v>
      </c>
      <c r="M251">
        <v>45933</v>
      </c>
    </row>
    <row r="252" spans="1:28">
      <c r="A252">
        <v>12</v>
      </c>
      <c r="B252" t="s">
        <v>5</v>
      </c>
      <c r="C252">
        <v>45924</v>
      </c>
      <c r="D252">
        <v>45937</v>
      </c>
      <c r="E252" t="s">
        <v>2029</v>
      </c>
      <c r="F252" t="s">
        <v>313</v>
      </c>
      <c r="G252">
        <v>50303</v>
      </c>
      <c r="H252" t="s">
        <v>2049</v>
      </c>
      <c r="I252" t="s">
        <v>1303</v>
      </c>
      <c r="J252">
        <v>0</v>
      </c>
      <c r="L252">
        <v>4</v>
      </c>
      <c r="M252">
        <v>45936</v>
      </c>
    </row>
    <row r="253" spans="1:28">
      <c r="A253">
        <v>1</v>
      </c>
      <c r="B253" t="s">
        <v>5</v>
      </c>
      <c r="C253">
        <v>45938</v>
      </c>
      <c r="D253">
        <v>45951</v>
      </c>
      <c r="E253" t="s">
        <v>2051</v>
      </c>
      <c r="F253" t="s">
        <v>1892</v>
      </c>
      <c r="G253" t="s">
        <v>1893</v>
      </c>
      <c r="H253" t="s">
        <v>1894</v>
      </c>
      <c r="I253" t="s">
        <v>376</v>
      </c>
      <c r="J253">
        <v>0</v>
      </c>
      <c r="K253">
        <v>11.561999999999999</v>
      </c>
      <c r="L253">
        <v>46.25</v>
      </c>
      <c r="M253">
        <v>45938</v>
      </c>
      <c r="N253">
        <v>45944</v>
      </c>
      <c r="O253" t="s">
        <v>12</v>
      </c>
      <c r="P253" t="s">
        <v>313</v>
      </c>
      <c r="Q253" t="s">
        <v>316</v>
      </c>
      <c r="R253" t="s">
        <v>317</v>
      </c>
      <c r="S253" t="s">
        <v>316</v>
      </c>
      <c r="T253" t="s">
        <v>1895</v>
      </c>
      <c r="U253">
        <v>45944</v>
      </c>
      <c r="V253">
        <v>45944</v>
      </c>
      <c r="W253" t="s">
        <v>316</v>
      </c>
      <c r="X253" t="s">
        <v>319</v>
      </c>
      <c r="Y253" t="s">
        <v>319</v>
      </c>
      <c r="Z253" t="s">
        <v>320</v>
      </c>
      <c r="AA253" t="s">
        <v>316</v>
      </c>
      <c r="AB253" t="s">
        <v>316</v>
      </c>
    </row>
    <row r="254" spans="1:28">
      <c r="A254">
        <v>2</v>
      </c>
      <c r="B254" t="s">
        <v>5</v>
      </c>
      <c r="C254">
        <v>45938</v>
      </c>
      <c r="D254">
        <v>45951</v>
      </c>
      <c r="E254" t="s">
        <v>2051</v>
      </c>
      <c r="F254" t="s">
        <v>313</v>
      </c>
      <c r="G254">
        <v>26102</v>
      </c>
      <c r="H254" t="s">
        <v>1906</v>
      </c>
      <c r="I254" t="s">
        <v>306</v>
      </c>
      <c r="J254">
        <v>2</v>
      </c>
      <c r="K254">
        <v>2</v>
      </c>
      <c r="L254">
        <v>8</v>
      </c>
      <c r="M254">
        <v>45938</v>
      </c>
      <c r="N254">
        <v>45938</v>
      </c>
      <c r="O254" t="s">
        <v>12</v>
      </c>
      <c r="P254" t="s">
        <v>315</v>
      </c>
      <c r="Q254" t="s">
        <v>316</v>
      </c>
      <c r="R254" t="s">
        <v>317</v>
      </c>
      <c r="S254" t="s">
        <v>316</v>
      </c>
      <c r="T254" t="s">
        <v>1907</v>
      </c>
      <c r="U254">
        <v>45938</v>
      </c>
      <c r="V254">
        <v>45938</v>
      </c>
      <c r="W254" t="s">
        <v>316</v>
      </c>
      <c r="X254" t="s">
        <v>319</v>
      </c>
      <c r="Y254" t="s">
        <v>319</v>
      </c>
      <c r="Z254" t="s">
        <v>320</v>
      </c>
      <c r="AA254" t="s">
        <v>316</v>
      </c>
      <c r="AB254" t="s">
        <v>316</v>
      </c>
    </row>
    <row r="255" spans="1:28">
      <c r="A255">
        <v>3</v>
      </c>
      <c r="B255" t="s">
        <v>5</v>
      </c>
      <c r="C255">
        <v>45938</v>
      </c>
      <c r="D255">
        <v>45951</v>
      </c>
      <c r="E255" t="s">
        <v>2051</v>
      </c>
      <c r="F255" t="s">
        <v>1912</v>
      </c>
      <c r="G255" t="s">
        <v>1619</v>
      </c>
      <c r="H255" t="s">
        <v>1620</v>
      </c>
      <c r="I255" t="s">
        <v>348</v>
      </c>
      <c r="J255">
        <v>0</v>
      </c>
      <c r="M255">
        <v>45926</v>
      </c>
    </row>
    <row r="256" spans="1:28">
      <c r="A256">
        <v>4</v>
      </c>
      <c r="B256" t="s">
        <v>5</v>
      </c>
      <c r="C256">
        <v>45938</v>
      </c>
      <c r="D256">
        <v>45951</v>
      </c>
      <c r="E256" t="s">
        <v>2051</v>
      </c>
      <c r="F256" t="s">
        <v>313</v>
      </c>
      <c r="G256" t="s">
        <v>1787</v>
      </c>
      <c r="H256" t="s">
        <v>1788</v>
      </c>
      <c r="I256" t="s">
        <v>348</v>
      </c>
      <c r="J256">
        <v>0</v>
      </c>
      <c r="L256">
        <v>21</v>
      </c>
      <c r="M256">
        <v>45943</v>
      </c>
    </row>
    <row r="257" spans="1:28">
      <c r="A257">
        <v>5</v>
      </c>
      <c r="B257" t="s">
        <v>5</v>
      </c>
      <c r="C257">
        <v>45938</v>
      </c>
      <c r="D257">
        <v>45951</v>
      </c>
      <c r="E257" t="s">
        <v>2051</v>
      </c>
      <c r="F257" t="s">
        <v>313</v>
      </c>
      <c r="G257" t="s">
        <v>1856</v>
      </c>
      <c r="H257" t="s">
        <v>1880</v>
      </c>
      <c r="I257" t="s">
        <v>348</v>
      </c>
      <c r="J257">
        <v>0</v>
      </c>
      <c r="L257">
        <v>10</v>
      </c>
      <c r="M257">
        <v>45939</v>
      </c>
    </row>
    <row r="258" spans="1:28">
      <c r="A258">
        <v>6</v>
      </c>
      <c r="B258" t="s">
        <v>5</v>
      </c>
      <c r="C258">
        <v>45938</v>
      </c>
      <c r="D258">
        <v>45951</v>
      </c>
      <c r="E258" t="s">
        <v>2051</v>
      </c>
      <c r="F258" t="s">
        <v>315</v>
      </c>
      <c r="G258" t="s">
        <v>1935</v>
      </c>
      <c r="H258" t="s">
        <v>1936</v>
      </c>
      <c r="I258" t="s">
        <v>306</v>
      </c>
      <c r="J258">
        <v>0.5</v>
      </c>
      <c r="K258">
        <v>2</v>
      </c>
      <c r="L258">
        <v>8</v>
      </c>
      <c r="M258">
        <v>45939</v>
      </c>
      <c r="N258">
        <v>45939</v>
      </c>
      <c r="O258" t="s">
        <v>12</v>
      </c>
      <c r="P258" t="s">
        <v>313</v>
      </c>
      <c r="Q258" t="s">
        <v>316</v>
      </c>
      <c r="R258" t="s">
        <v>317</v>
      </c>
      <c r="S258" t="s">
        <v>316</v>
      </c>
      <c r="T258" t="s">
        <v>320</v>
      </c>
      <c r="U258" t="s">
        <v>320</v>
      </c>
      <c r="V258" t="s">
        <v>320</v>
      </c>
      <c r="W258" t="s">
        <v>320</v>
      </c>
      <c r="X258" t="s">
        <v>320</v>
      </c>
      <c r="Y258" t="s">
        <v>320</v>
      </c>
      <c r="Z258" t="s">
        <v>320</v>
      </c>
      <c r="AA258" t="s">
        <v>320</v>
      </c>
      <c r="AB258" t="s">
        <v>316</v>
      </c>
    </row>
    <row r="259" spans="1:28">
      <c r="A259">
        <v>7</v>
      </c>
      <c r="B259" t="s">
        <v>5</v>
      </c>
      <c r="C259">
        <v>45938</v>
      </c>
      <c r="D259">
        <v>45951</v>
      </c>
      <c r="E259" t="s">
        <v>2051</v>
      </c>
      <c r="F259" t="s">
        <v>313</v>
      </c>
      <c r="G259">
        <v>50376</v>
      </c>
      <c r="H259" t="s">
        <v>1940</v>
      </c>
      <c r="I259" t="s">
        <v>306</v>
      </c>
      <c r="J259">
        <v>0.5</v>
      </c>
      <c r="K259">
        <v>0.75</v>
      </c>
      <c r="L259">
        <v>3</v>
      </c>
      <c r="M259">
        <v>45939</v>
      </c>
      <c r="N259">
        <v>45939</v>
      </c>
      <c r="O259" t="s">
        <v>12</v>
      </c>
      <c r="P259" t="s">
        <v>315</v>
      </c>
      <c r="Q259" t="s">
        <v>316</v>
      </c>
      <c r="R259" t="s">
        <v>317</v>
      </c>
      <c r="S259" t="s">
        <v>316</v>
      </c>
      <c r="T259" t="s">
        <v>320</v>
      </c>
      <c r="U259" t="s">
        <v>320</v>
      </c>
      <c r="V259" t="s">
        <v>320</v>
      </c>
      <c r="W259" t="s">
        <v>320</v>
      </c>
      <c r="X259" t="s">
        <v>320</v>
      </c>
      <c r="Y259" t="s">
        <v>320</v>
      </c>
      <c r="Z259" t="s">
        <v>320</v>
      </c>
      <c r="AA259" t="s">
        <v>320</v>
      </c>
      <c r="AB259" t="s">
        <v>316</v>
      </c>
    </row>
    <row r="260" spans="1:28">
      <c r="A260">
        <v>8</v>
      </c>
      <c r="B260" t="s">
        <v>5</v>
      </c>
      <c r="C260">
        <v>45938</v>
      </c>
      <c r="D260">
        <v>45951</v>
      </c>
      <c r="E260" t="s">
        <v>2051</v>
      </c>
      <c r="F260" t="s">
        <v>313</v>
      </c>
      <c r="G260">
        <v>50377</v>
      </c>
      <c r="H260" t="s">
        <v>1941</v>
      </c>
      <c r="I260" t="s">
        <v>306</v>
      </c>
      <c r="J260">
        <v>0.5</v>
      </c>
      <c r="K260">
        <v>0.5</v>
      </c>
      <c r="L260">
        <v>2</v>
      </c>
      <c r="M260">
        <v>45939</v>
      </c>
      <c r="N260">
        <v>45939</v>
      </c>
      <c r="O260" t="s">
        <v>12</v>
      </c>
      <c r="P260" t="s">
        <v>315</v>
      </c>
      <c r="Q260" t="s">
        <v>316</v>
      </c>
      <c r="R260" t="s">
        <v>317</v>
      </c>
      <c r="S260" t="s">
        <v>316</v>
      </c>
      <c r="T260" t="s">
        <v>320</v>
      </c>
      <c r="U260" t="s">
        <v>320</v>
      </c>
      <c r="V260" t="s">
        <v>320</v>
      </c>
      <c r="W260" t="s">
        <v>320</v>
      </c>
      <c r="X260" t="s">
        <v>320</v>
      </c>
      <c r="Y260" t="s">
        <v>320</v>
      </c>
      <c r="Z260" t="s">
        <v>320</v>
      </c>
      <c r="AA260" t="s">
        <v>320</v>
      </c>
      <c r="AB260" t="s">
        <v>316</v>
      </c>
    </row>
    <row r="261" spans="1:28">
      <c r="A261">
        <v>9</v>
      </c>
      <c r="B261" t="s">
        <v>5</v>
      </c>
      <c r="C261">
        <v>45938</v>
      </c>
      <c r="D261">
        <v>45951</v>
      </c>
      <c r="E261" t="s">
        <v>2051</v>
      </c>
      <c r="F261" t="s">
        <v>313</v>
      </c>
      <c r="G261">
        <v>50378</v>
      </c>
      <c r="H261" t="s">
        <v>1943</v>
      </c>
      <c r="I261" t="s">
        <v>306</v>
      </c>
      <c r="J261">
        <v>0.5</v>
      </c>
      <c r="K261">
        <v>0.75</v>
      </c>
      <c r="L261">
        <v>3</v>
      </c>
      <c r="M261">
        <v>45939</v>
      </c>
      <c r="N261">
        <v>45939</v>
      </c>
      <c r="O261" t="s">
        <v>12</v>
      </c>
      <c r="P261" t="s">
        <v>315</v>
      </c>
      <c r="Q261" t="s">
        <v>316</v>
      </c>
      <c r="R261" t="s">
        <v>317</v>
      </c>
      <c r="S261" t="s">
        <v>316</v>
      </c>
      <c r="T261" t="s">
        <v>320</v>
      </c>
      <c r="U261" t="s">
        <v>320</v>
      </c>
      <c r="V261" t="s">
        <v>320</v>
      </c>
      <c r="W261" t="s">
        <v>320</v>
      </c>
      <c r="X261" t="s">
        <v>320</v>
      </c>
      <c r="Y261" t="s">
        <v>320</v>
      </c>
      <c r="Z261" t="s">
        <v>320</v>
      </c>
      <c r="AA261" t="s">
        <v>320</v>
      </c>
      <c r="AB261" t="s">
        <v>316</v>
      </c>
    </row>
    <row r="262" spans="1:28">
      <c r="A262">
        <v>10</v>
      </c>
      <c r="B262" t="s">
        <v>5</v>
      </c>
      <c r="C262">
        <v>45938</v>
      </c>
      <c r="D262">
        <v>45951</v>
      </c>
      <c r="E262" t="s">
        <v>2051</v>
      </c>
      <c r="F262" t="s">
        <v>313</v>
      </c>
      <c r="G262">
        <v>50379</v>
      </c>
      <c r="H262" t="s">
        <v>1944</v>
      </c>
      <c r="I262" t="s">
        <v>306</v>
      </c>
      <c r="J262">
        <v>0.5</v>
      </c>
      <c r="K262">
        <v>0.75</v>
      </c>
      <c r="L262">
        <v>3</v>
      </c>
      <c r="M262">
        <v>45939</v>
      </c>
      <c r="N262">
        <v>45939</v>
      </c>
      <c r="O262" t="s">
        <v>12</v>
      </c>
      <c r="P262" t="s">
        <v>315</v>
      </c>
      <c r="Q262" t="s">
        <v>316</v>
      </c>
      <c r="R262" t="s">
        <v>317</v>
      </c>
      <c r="S262" t="s">
        <v>316</v>
      </c>
      <c r="T262" t="s">
        <v>320</v>
      </c>
      <c r="U262" t="s">
        <v>320</v>
      </c>
      <c r="V262" t="s">
        <v>320</v>
      </c>
      <c r="W262" t="s">
        <v>320</v>
      </c>
      <c r="X262" t="s">
        <v>320</v>
      </c>
      <c r="Y262" t="s">
        <v>320</v>
      </c>
      <c r="Z262" t="s">
        <v>320</v>
      </c>
      <c r="AA262" t="s">
        <v>320</v>
      </c>
      <c r="AB262" t="s">
        <v>316</v>
      </c>
    </row>
    <row r="263" spans="1:28">
      <c r="A263">
        <v>11</v>
      </c>
      <c r="B263" t="s">
        <v>5</v>
      </c>
      <c r="C263">
        <v>45938</v>
      </c>
      <c r="D263">
        <v>45951</v>
      </c>
      <c r="E263" t="s">
        <v>2051</v>
      </c>
      <c r="F263" t="s">
        <v>313</v>
      </c>
      <c r="G263">
        <v>50380</v>
      </c>
      <c r="H263" t="s">
        <v>1945</v>
      </c>
      <c r="I263" t="s">
        <v>306</v>
      </c>
      <c r="J263">
        <v>0.5</v>
      </c>
      <c r="K263">
        <v>0.75</v>
      </c>
      <c r="L263">
        <v>3</v>
      </c>
      <c r="M263">
        <v>45939</v>
      </c>
      <c r="N263">
        <v>45939</v>
      </c>
      <c r="O263" t="s">
        <v>12</v>
      </c>
      <c r="P263" t="s">
        <v>315</v>
      </c>
      <c r="Q263" t="s">
        <v>316</v>
      </c>
      <c r="R263" t="s">
        <v>317</v>
      </c>
      <c r="S263" t="s">
        <v>316</v>
      </c>
      <c r="T263" t="s">
        <v>320</v>
      </c>
      <c r="U263" t="s">
        <v>320</v>
      </c>
      <c r="V263" t="s">
        <v>320</v>
      </c>
      <c r="W263" t="s">
        <v>320</v>
      </c>
      <c r="X263" t="s">
        <v>320</v>
      </c>
      <c r="Y263" t="s">
        <v>320</v>
      </c>
      <c r="Z263" t="s">
        <v>320</v>
      </c>
      <c r="AA263" t="s">
        <v>320</v>
      </c>
      <c r="AB263" t="s">
        <v>316</v>
      </c>
    </row>
    <row r="264" spans="1:28">
      <c r="A264">
        <v>12</v>
      </c>
      <c r="B264" t="s">
        <v>5</v>
      </c>
      <c r="C264">
        <v>45938</v>
      </c>
      <c r="D264">
        <v>45951</v>
      </c>
      <c r="E264" t="s">
        <v>2051</v>
      </c>
      <c r="F264" t="s">
        <v>315</v>
      </c>
      <c r="G264">
        <v>50412</v>
      </c>
      <c r="H264" t="s">
        <v>1946</v>
      </c>
      <c r="I264" t="s">
        <v>306</v>
      </c>
      <c r="J264">
        <v>1</v>
      </c>
      <c r="K264">
        <v>5.3120000000000003</v>
      </c>
      <c r="L264">
        <v>21.25</v>
      </c>
      <c r="M264">
        <v>45940</v>
      </c>
      <c r="N264">
        <v>45943</v>
      </c>
      <c r="O264" t="s">
        <v>12</v>
      </c>
      <c r="P264" t="s">
        <v>313</v>
      </c>
      <c r="Q264" t="s">
        <v>316</v>
      </c>
      <c r="R264" t="s">
        <v>317</v>
      </c>
      <c r="S264" t="s">
        <v>316</v>
      </c>
      <c r="T264" t="s">
        <v>1947</v>
      </c>
      <c r="U264">
        <v>45944</v>
      </c>
      <c r="V264">
        <v>45944</v>
      </c>
      <c r="W264" t="s">
        <v>316</v>
      </c>
      <c r="X264" t="s">
        <v>319</v>
      </c>
      <c r="Y264" t="s">
        <v>319</v>
      </c>
      <c r="Z264" t="s">
        <v>320</v>
      </c>
      <c r="AA264" t="s">
        <v>316</v>
      </c>
      <c r="AB264" t="s">
        <v>316</v>
      </c>
    </row>
    <row r="265" spans="1:28">
      <c r="A265">
        <v>13</v>
      </c>
      <c r="B265" t="s">
        <v>5</v>
      </c>
      <c r="C265">
        <v>45938</v>
      </c>
      <c r="D265">
        <v>45951</v>
      </c>
      <c r="E265" t="s">
        <v>2051</v>
      </c>
      <c r="F265" t="s">
        <v>313</v>
      </c>
      <c r="G265">
        <v>49373</v>
      </c>
      <c r="H265" t="s">
        <v>1951</v>
      </c>
      <c r="I265" t="s">
        <v>306</v>
      </c>
      <c r="J265">
        <v>1</v>
      </c>
      <c r="K265">
        <v>1</v>
      </c>
      <c r="L265">
        <v>4</v>
      </c>
      <c r="M265">
        <v>45940</v>
      </c>
      <c r="N265">
        <v>45940</v>
      </c>
      <c r="O265" t="s">
        <v>12</v>
      </c>
      <c r="P265" t="s">
        <v>315</v>
      </c>
      <c r="Q265" t="s">
        <v>316</v>
      </c>
      <c r="R265" t="s">
        <v>317</v>
      </c>
      <c r="S265" t="s">
        <v>316</v>
      </c>
      <c r="T265" t="s">
        <v>320</v>
      </c>
      <c r="U265" t="s">
        <v>320</v>
      </c>
      <c r="V265" t="s">
        <v>320</v>
      </c>
      <c r="W265" t="s">
        <v>320</v>
      </c>
      <c r="X265" t="s">
        <v>320</v>
      </c>
      <c r="Y265" t="s">
        <v>320</v>
      </c>
      <c r="Z265" t="s">
        <v>320</v>
      </c>
      <c r="AA265" t="s">
        <v>320</v>
      </c>
      <c r="AB265" t="s">
        <v>316</v>
      </c>
    </row>
    <row r="266" spans="1:28">
      <c r="A266">
        <v>14</v>
      </c>
      <c r="B266" t="s">
        <v>5</v>
      </c>
      <c r="C266">
        <v>45938</v>
      </c>
      <c r="D266">
        <v>45951</v>
      </c>
      <c r="E266" t="s">
        <v>2051</v>
      </c>
      <c r="F266" t="s">
        <v>317</v>
      </c>
      <c r="G266" t="s">
        <v>1952</v>
      </c>
      <c r="H266" t="s">
        <v>1953</v>
      </c>
      <c r="I266" t="s">
        <v>306</v>
      </c>
    </row>
    <row r="267" spans="1:28">
      <c r="A267">
        <v>15</v>
      </c>
      <c r="B267" t="s">
        <v>5</v>
      </c>
      <c r="C267">
        <v>45938</v>
      </c>
      <c r="D267">
        <v>45951</v>
      </c>
      <c r="E267" t="s">
        <v>2051</v>
      </c>
      <c r="F267" t="s">
        <v>317</v>
      </c>
      <c r="G267" t="s">
        <v>1955</v>
      </c>
      <c r="H267" t="s">
        <v>1956</v>
      </c>
      <c r="I267" t="s">
        <v>306</v>
      </c>
      <c r="J267">
        <v>0</v>
      </c>
    </row>
    <row r="268" spans="1:28">
      <c r="A268">
        <v>16</v>
      </c>
      <c r="B268" t="s">
        <v>5</v>
      </c>
      <c r="C268">
        <v>45938</v>
      </c>
      <c r="D268">
        <v>45951</v>
      </c>
      <c r="E268" t="s">
        <v>2051</v>
      </c>
      <c r="F268" t="s">
        <v>1962</v>
      </c>
      <c r="G268">
        <v>49370</v>
      </c>
      <c r="H268" t="s">
        <v>1683</v>
      </c>
      <c r="I268" t="s">
        <v>399</v>
      </c>
      <c r="J268">
        <v>1</v>
      </c>
      <c r="L268">
        <v>9</v>
      </c>
    </row>
    <row r="269" spans="1:28">
      <c r="A269">
        <v>17</v>
      </c>
      <c r="B269" t="s">
        <v>5</v>
      </c>
      <c r="C269">
        <v>45938</v>
      </c>
      <c r="D269">
        <v>45951</v>
      </c>
      <c r="E269" t="s">
        <v>1968</v>
      </c>
      <c r="F269" t="s">
        <v>315</v>
      </c>
      <c r="G269" t="s">
        <v>1969</v>
      </c>
      <c r="H269" t="s">
        <v>1794</v>
      </c>
      <c r="I269" t="s">
        <v>380</v>
      </c>
      <c r="J269">
        <v>0</v>
      </c>
      <c r="L269">
        <v>15</v>
      </c>
      <c r="M269">
        <v>45946</v>
      </c>
      <c r="N269">
        <v>45951</v>
      </c>
      <c r="O269" t="s">
        <v>12</v>
      </c>
      <c r="P269" t="s">
        <v>313</v>
      </c>
      <c r="Q269" t="s">
        <v>316</v>
      </c>
      <c r="R269" t="s">
        <v>317</v>
      </c>
      <c r="S269" t="s">
        <v>316</v>
      </c>
      <c r="T269" t="s">
        <v>320</v>
      </c>
      <c r="U269" t="s">
        <v>320</v>
      </c>
      <c r="V269" t="s">
        <v>320</v>
      </c>
      <c r="W269" t="s">
        <v>320</v>
      </c>
      <c r="X269" t="s">
        <v>320</v>
      </c>
      <c r="Y269" t="s">
        <v>320</v>
      </c>
      <c r="Z269" t="s">
        <v>320</v>
      </c>
      <c r="AA269" t="s">
        <v>320</v>
      </c>
      <c r="AB269" t="s">
        <v>316</v>
      </c>
    </row>
    <row r="270" spans="1:28">
      <c r="A270">
        <v>18</v>
      </c>
      <c r="B270" t="s">
        <v>5</v>
      </c>
      <c r="C270">
        <v>45938</v>
      </c>
      <c r="D270">
        <v>45951</v>
      </c>
      <c r="E270" t="s">
        <v>2051</v>
      </c>
      <c r="F270" t="s">
        <v>317</v>
      </c>
      <c r="G270" t="s">
        <v>1972</v>
      </c>
      <c r="H270" t="s">
        <v>1882</v>
      </c>
      <c r="I270" t="s">
        <v>399</v>
      </c>
    </row>
    <row r="271" spans="1:28">
      <c r="A271">
        <v>19</v>
      </c>
      <c r="B271" t="s">
        <v>5</v>
      </c>
      <c r="C271">
        <v>45938</v>
      </c>
      <c r="D271">
        <v>45951</v>
      </c>
      <c r="E271" t="s">
        <v>2051</v>
      </c>
      <c r="F271" t="s">
        <v>317</v>
      </c>
      <c r="G271" t="s">
        <v>1972</v>
      </c>
      <c r="H271" t="s">
        <v>1882</v>
      </c>
      <c r="I271" t="s">
        <v>553</v>
      </c>
      <c r="J271">
        <v>2</v>
      </c>
      <c r="K271">
        <v>0</v>
      </c>
    </row>
    <row r="272" spans="1:28">
      <c r="A272">
        <v>1</v>
      </c>
      <c r="B272" t="s">
        <v>5</v>
      </c>
      <c r="C272">
        <v>45952</v>
      </c>
      <c r="D272">
        <v>45965</v>
      </c>
      <c r="E272" t="s">
        <v>1876</v>
      </c>
      <c r="F272" t="s">
        <v>313</v>
      </c>
      <c r="G272" t="s">
        <v>1787</v>
      </c>
      <c r="H272" t="s">
        <v>1788</v>
      </c>
      <c r="I272" t="s">
        <v>376</v>
      </c>
      <c r="J272">
        <v>0</v>
      </c>
      <c r="K272">
        <v>1.5</v>
      </c>
      <c r="L272">
        <v>6</v>
      </c>
      <c r="M272">
        <v>45952</v>
      </c>
      <c r="N272">
        <v>45952</v>
      </c>
      <c r="O272" t="s">
        <v>320</v>
      </c>
      <c r="P272" t="s">
        <v>320</v>
      </c>
      <c r="Q272" t="s">
        <v>320</v>
      </c>
      <c r="R272" t="s">
        <v>320</v>
      </c>
      <c r="S272" t="s">
        <v>320</v>
      </c>
      <c r="T272" t="s">
        <v>320</v>
      </c>
      <c r="U272" t="s">
        <v>320</v>
      </c>
      <c r="V272" t="s">
        <v>320</v>
      </c>
      <c r="W272" t="s">
        <v>320</v>
      </c>
      <c r="X272" t="s">
        <v>320</v>
      </c>
      <c r="Y272" t="s">
        <v>320</v>
      </c>
      <c r="Z272" t="s">
        <v>320</v>
      </c>
      <c r="AA272" t="s">
        <v>320</v>
      </c>
      <c r="AB272" t="s">
        <v>320</v>
      </c>
    </row>
    <row r="273" spans="1:28">
      <c r="A273">
        <v>2</v>
      </c>
      <c r="B273" t="s">
        <v>5</v>
      </c>
      <c r="C273">
        <v>45952</v>
      </c>
      <c r="D273">
        <v>45965</v>
      </c>
      <c r="E273" t="s">
        <v>1876</v>
      </c>
      <c r="F273" t="s">
        <v>315</v>
      </c>
      <c r="G273">
        <v>25786</v>
      </c>
      <c r="H273" t="s">
        <v>1794</v>
      </c>
      <c r="I273" t="s">
        <v>376</v>
      </c>
      <c r="J273">
        <v>1</v>
      </c>
      <c r="K273">
        <v>1.5</v>
      </c>
      <c r="L273">
        <v>6</v>
      </c>
      <c r="M273" t="s">
        <v>320</v>
      </c>
      <c r="N273" t="s">
        <v>320</v>
      </c>
      <c r="O273" t="s">
        <v>320</v>
      </c>
      <c r="P273" t="s">
        <v>320</v>
      </c>
      <c r="Q273" t="s">
        <v>320</v>
      </c>
      <c r="R273" t="s">
        <v>320</v>
      </c>
      <c r="S273" t="s">
        <v>320</v>
      </c>
      <c r="T273" t="s">
        <v>320</v>
      </c>
      <c r="U273" t="s">
        <v>320</v>
      </c>
      <c r="V273" t="s">
        <v>320</v>
      </c>
      <c r="W273" t="s">
        <v>320</v>
      </c>
      <c r="X273" t="s">
        <v>320</v>
      </c>
      <c r="Y273" t="s">
        <v>320</v>
      </c>
      <c r="Z273" t="s">
        <v>320</v>
      </c>
      <c r="AA273" t="s">
        <v>320</v>
      </c>
      <c r="AB273" t="s">
        <v>320</v>
      </c>
    </row>
    <row r="274" spans="1:28">
      <c r="A274">
        <v>3</v>
      </c>
      <c r="B274" t="s">
        <v>5</v>
      </c>
      <c r="C274" t="s">
        <v>1797</v>
      </c>
      <c r="D274">
        <v>45965</v>
      </c>
      <c r="E274" t="s">
        <v>1876</v>
      </c>
      <c r="F274" t="s">
        <v>315</v>
      </c>
      <c r="G274" t="s">
        <v>1798</v>
      </c>
      <c r="H274" t="s">
        <v>1799</v>
      </c>
      <c r="I274" t="s">
        <v>376</v>
      </c>
      <c r="J274">
        <v>0</v>
      </c>
      <c r="K274">
        <v>11.06</v>
      </c>
      <c r="L274">
        <v>44.25</v>
      </c>
      <c r="M274">
        <v>45952</v>
      </c>
      <c r="N274">
        <v>45954</v>
      </c>
      <c r="O274" t="s">
        <v>12</v>
      </c>
      <c r="P274" t="s">
        <v>313</v>
      </c>
      <c r="Q274" t="s">
        <v>316</v>
      </c>
      <c r="R274" t="s">
        <v>317</v>
      </c>
      <c r="S274" t="s">
        <v>316</v>
      </c>
      <c r="T274" t="s">
        <v>1800</v>
      </c>
      <c r="U274">
        <v>45953</v>
      </c>
      <c r="V274">
        <v>45954</v>
      </c>
      <c r="W274" t="s">
        <v>316</v>
      </c>
      <c r="X274" t="s">
        <v>319</v>
      </c>
      <c r="Y274" t="s">
        <v>319</v>
      </c>
      <c r="Z274" t="s">
        <v>320</v>
      </c>
      <c r="AA274" t="s">
        <v>316</v>
      </c>
      <c r="AB274" t="s">
        <v>316</v>
      </c>
    </row>
    <row r="275" spans="1:28">
      <c r="A275">
        <v>4</v>
      </c>
      <c r="B275" t="s">
        <v>5</v>
      </c>
      <c r="C275">
        <v>45952</v>
      </c>
      <c r="D275">
        <v>45965</v>
      </c>
      <c r="E275" t="s">
        <v>1876</v>
      </c>
      <c r="F275" t="s">
        <v>317</v>
      </c>
      <c r="G275">
        <v>49370</v>
      </c>
      <c r="H275" t="s">
        <v>1683</v>
      </c>
      <c r="I275" t="s">
        <v>306</v>
      </c>
      <c r="J275">
        <v>1</v>
      </c>
      <c r="L275">
        <v>4.91</v>
      </c>
      <c r="M275" t="s">
        <v>320</v>
      </c>
      <c r="N275" t="s">
        <v>320</v>
      </c>
      <c r="O275" t="s">
        <v>320</v>
      </c>
      <c r="P275" t="s">
        <v>320</v>
      </c>
      <c r="Q275" t="s">
        <v>320</v>
      </c>
      <c r="R275" t="s">
        <v>320</v>
      </c>
      <c r="S275" t="s">
        <v>320</v>
      </c>
      <c r="T275" t="s">
        <v>320</v>
      </c>
      <c r="U275" t="s">
        <v>320</v>
      </c>
      <c r="V275" t="s">
        <v>320</v>
      </c>
      <c r="W275" t="s">
        <v>320</v>
      </c>
      <c r="X275" t="s">
        <v>320</v>
      </c>
      <c r="Y275" t="s">
        <v>320</v>
      </c>
      <c r="Z275" t="s">
        <v>320</v>
      </c>
      <c r="AA275" t="s">
        <v>320</v>
      </c>
      <c r="AB275" t="s">
        <v>320</v>
      </c>
    </row>
    <row r="276" spans="1:28">
      <c r="A276">
        <v>5</v>
      </c>
      <c r="B276" t="s">
        <v>5</v>
      </c>
      <c r="C276">
        <v>45952</v>
      </c>
      <c r="D276">
        <v>45965</v>
      </c>
      <c r="E276" t="s">
        <v>1876</v>
      </c>
      <c r="F276" t="s">
        <v>317</v>
      </c>
      <c r="G276" t="s">
        <v>1822</v>
      </c>
      <c r="H276" t="s">
        <v>1823</v>
      </c>
      <c r="I276" t="s">
        <v>306</v>
      </c>
      <c r="J276">
        <v>0</v>
      </c>
      <c r="L276">
        <v>0.5</v>
      </c>
      <c r="M276" t="s">
        <v>320</v>
      </c>
      <c r="N276" t="s">
        <v>320</v>
      </c>
      <c r="O276" t="s">
        <v>320</v>
      </c>
      <c r="P276" t="s">
        <v>320</v>
      </c>
      <c r="Q276" t="s">
        <v>320</v>
      </c>
      <c r="R276" t="s">
        <v>320</v>
      </c>
      <c r="S276" t="s">
        <v>320</v>
      </c>
      <c r="T276" t="s">
        <v>320</v>
      </c>
      <c r="U276" t="s">
        <v>320</v>
      </c>
      <c r="V276" t="s">
        <v>320</v>
      </c>
      <c r="W276" t="s">
        <v>320</v>
      </c>
      <c r="X276" t="s">
        <v>320</v>
      </c>
      <c r="Y276" t="s">
        <v>320</v>
      </c>
      <c r="Z276" t="s">
        <v>320</v>
      </c>
      <c r="AA276" t="s">
        <v>320</v>
      </c>
      <c r="AB276" t="s">
        <v>320</v>
      </c>
    </row>
    <row r="277" spans="1:28">
      <c r="A277">
        <v>6</v>
      </c>
      <c r="B277" t="s">
        <v>5</v>
      </c>
      <c r="C277">
        <v>45952</v>
      </c>
      <c r="D277">
        <v>45965</v>
      </c>
      <c r="E277" t="s">
        <v>1876</v>
      </c>
      <c r="F277" t="s">
        <v>1828</v>
      </c>
      <c r="G277">
        <v>50504</v>
      </c>
      <c r="H277" t="s">
        <v>1829</v>
      </c>
      <c r="I277" t="s">
        <v>306</v>
      </c>
      <c r="J277">
        <v>1</v>
      </c>
      <c r="K277">
        <v>0</v>
      </c>
      <c r="L277">
        <v>0</v>
      </c>
    </row>
    <row r="278" spans="1:28">
      <c r="A278">
        <v>7</v>
      </c>
      <c r="B278" t="s">
        <v>5</v>
      </c>
      <c r="C278">
        <v>45952</v>
      </c>
      <c r="D278">
        <v>45965</v>
      </c>
      <c r="E278" t="s">
        <v>1876</v>
      </c>
      <c r="F278" t="s">
        <v>313</v>
      </c>
      <c r="G278">
        <v>50505</v>
      </c>
      <c r="H278" t="s">
        <v>588</v>
      </c>
      <c r="I278" t="s">
        <v>306</v>
      </c>
      <c r="J278">
        <v>1</v>
      </c>
      <c r="K278">
        <v>0.5</v>
      </c>
      <c r="L278">
        <v>2</v>
      </c>
      <c r="M278" t="s">
        <v>320</v>
      </c>
      <c r="N278" t="s">
        <v>320</v>
      </c>
      <c r="O278" t="s">
        <v>320</v>
      </c>
      <c r="P278" t="s">
        <v>320</v>
      </c>
      <c r="Q278" t="s">
        <v>320</v>
      </c>
      <c r="R278" t="s">
        <v>320</v>
      </c>
      <c r="S278" t="s">
        <v>320</v>
      </c>
      <c r="T278" t="s">
        <v>320</v>
      </c>
      <c r="U278" t="s">
        <v>320</v>
      </c>
      <c r="V278" t="s">
        <v>320</v>
      </c>
      <c r="W278" t="s">
        <v>320</v>
      </c>
      <c r="X278" t="s">
        <v>320</v>
      </c>
      <c r="Y278" t="s">
        <v>320</v>
      </c>
      <c r="Z278" t="s">
        <v>320</v>
      </c>
      <c r="AA278" t="s">
        <v>320</v>
      </c>
      <c r="AB278" t="s">
        <v>320</v>
      </c>
    </row>
    <row r="279" spans="1:28">
      <c r="A279">
        <v>8</v>
      </c>
      <c r="B279" t="s">
        <v>5</v>
      </c>
      <c r="C279">
        <v>45952</v>
      </c>
      <c r="D279">
        <v>45965</v>
      </c>
      <c r="E279" t="s">
        <v>1876</v>
      </c>
      <c r="F279" t="s">
        <v>313</v>
      </c>
      <c r="G279">
        <v>50506</v>
      </c>
      <c r="H279" t="s">
        <v>583</v>
      </c>
      <c r="I279" t="s">
        <v>306</v>
      </c>
      <c r="J279">
        <v>2</v>
      </c>
      <c r="K279">
        <v>2.5</v>
      </c>
      <c r="L279">
        <v>10</v>
      </c>
      <c r="M279" t="s">
        <v>320</v>
      </c>
      <c r="N279" t="s">
        <v>320</v>
      </c>
      <c r="O279" t="s">
        <v>320</v>
      </c>
      <c r="P279" t="s">
        <v>320</v>
      </c>
      <c r="Q279" t="s">
        <v>320</v>
      </c>
      <c r="R279" t="s">
        <v>320</v>
      </c>
      <c r="S279" t="s">
        <v>320</v>
      </c>
      <c r="T279" t="s">
        <v>320</v>
      </c>
      <c r="U279" t="s">
        <v>320</v>
      </c>
      <c r="V279" t="s">
        <v>320</v>
      </c>
      <c r="W279" t="s">
        <v>320</v>
      </c>
      <c r="X279" t="s">
        <v>320</v>
      </c>
      <c r="Y279" t="s">
        <v>320</v>
      </c>
      <c r="Z279" t="s">
        <v>320</v>
      </c>
      <c r="AA279" t="s">
        <v>320</v>
      </c>
      <c r="AB279" t="s">
        <v>320</v>
      </c>
    </row>
    <row r="280" spans="1:28">
      <c r="A280">
        <v>9</v>
      </c>
      <c r="B280" t="s">
        <v>5</v>
      </c>
      <c r="C280">
        <v>45952</v>
      </c>
      <c r="D280">
        <v>45965</v>
      </c>
      <c r="E280" t="s">
        <v>1876</v>
      </c>
      <c r="F280" t="s">
        <v>1833</v>
      </c>
      <c r="G280">
        <v>50507</v>
      </c>
      <c r="H280" t="s">
        <v>596</v>
      </c>
      <c r="I280" t="s">
        <v>306</v>
      </c>
      <c r="J280">
        <v>5</v>
      </c>
      <c r="K280">
        <v>6.37</v>
      </c>
      <c r="L280">
        <v>25.5</v>
      </c>
      <c r="M280" t="s">
        <v>320</v>
      </c>
      <c r="N280" t="s">
        <v>320</v>
      </c>
      <c r="O280" t="s">
        <v>320</v>
      </c>
      <c r="P280" t="s">
        <v>320</v>
      </c>
      <c r="Q280" t="s">
        <v>320</v>
      </c>
      <c r="R280" t="s">
        <v>320</v>
      </c>
      <c r="S280" t="s">
        <v>320</v>
      </c>
      <c r="T280" t="s">
        <v>320</v>
      </c>
      <c r="U280" t="s">
        <v>320</v>
      </c>
      <c r="V280" t="s">
        <v>320</v>
      </c>
      <c r="W280" t="s">
        <v>320</v>
      </c>
      <c r="X280" t="s">
        <v>320</v>
      </c>
      <c r="Y280" t="s">
        <v>320</v>
      </c>
      <c r="Z280" t="s">
        <v>320</v>
      </c>
      <c r="AA280" t="s">
        <v>320</v>
      </c>
      <c r="AB280" t="s">
        <v>320</v>
      </c>
    </row>
    <row r="281" spans="1:28">
      <c r="A281">
        <v>10</v>
      </c>
      <c r="B281" t="s">
        <v>5</v>
      </c>
      <c r="C281">
        <v>45952</v>
      </c>
      <c r="D281">
        <v>45965</v>
      </c>
      <c r="E281" t="s">
        <v>1876</v>
      </c>
      <c r="F281" t="s">
        <v>313</v>
      </c>
      <c r="G281">
        <v>50508</v>
      </c>
      <c r="H281" t="s">
        <v>1149</v>
      </c>
      <c r="I281" t="s">
        <v>306</v>
      </c>
      <c r="J281">
        <v>3</v>
      </c>
      <c r="K281">
        <v>2.5</v>
      </c>
      <c r="L281">
        <v>10</v>
      </c>
      <c r="M281" t="s">
        <v>320</v>
      </c>
      <c r="N281" t="s">
        <v>320</v>
      </c>
      <c r="O281" t="s">
        <v>320</v>
      </c>
      <c r="P281" t="s">
        <v>320</v>
      </c>
      <c r="Q281" t="s">
        <v>320</v>
      </c>
      <c r="R281" t="s">
        <v>320</v>
      </c>
      <c r="S281" t="s">
        <v>320</v>
      </c>
      <c r="T281" t="s">
        <v>320</v>
      </c>
      <c r="U281" t="s">
        <v>320</v>
      </c>
      <c r="V281" t="s">
        <v>320</v>
      </c>
      <c r="W281" t="s">
        <v>320</v>
      </c>
      <c r="X281" t="s">
        <v>320</v>
      </c>
      <c r="Y281" t="s">
        <v>320</v>
      </c>
      <c r="Z281" t="s">
        <v>320</v>
      </c>
      <c r="AA281" t="s">
        <v>320</v>
      </c>
      <c r="AB281" t="s">
        <v>320</v>
      </c>
    </row>
    <row r="282" spans="1:28">
      <c r="A282">
        <v>11</v>
      </c>
      <c r="B282" t="s">
        <v>5</v>
      </c>
      <c r="C282">
        <v>45952</v>
      </c>
      <c r="D282">
        <v>45965</v>
      </c>
      <c r="E282" t="s">
        <v>1876</v>
      </c>
      <c r="F282" t="s">
        <v>1833</v>
      </c>
      <c r="G282">
        <v>50509</v>
      </c>
      <c r="H282" t="s">
        <v>668</v>
      </c>
      <c r="I282" t="s">
        <v>306</v>
      </c>
      <c r="J282">
        <v>2</v>
      </c>
      <c r="K282">
        <v>2.87</v>
      </c>
      <c r="L282">
        <v>11.5</v>
      </c>
      <c r="M282" t="s">
        <v>320</v>
      </c>
      <c r="N282" t="s">
        <v>320</v>
      </c>
      <c r="O282" t="s">
        <v>320</v>
      </c>
      <c r="P282" t="s">
        <v>320</v>
      </c>
      <c r="Q282" t="s">
        <v>320</v>
      </c>
      <c r="R282" t="s">
        <v>320</v>
      </c>
      <c r="S282" t="s">
        <v>320</v>
      </c>
      <c r="T282" t="s">
        <v>320</v>
      </c>
      <c r="U282" t="s">
        <v>320</v>
      </c>
      <c r="V282" t="s">
        <v>320</v>
      </c>
      <c r="W282" t="s">
        <v>320</v>
      </c>
      <c r="X282" t="s">
        <v>320</v>
      </c>
      <c r="Y282" t="s">
        <v>320</v>
      </c>
      <c r="Z282" t="s">
        <v>320</v>
      </c>
      <c r="AA282" t="s">
        <v>320</v>
      </c>
      <c r="AB282" t="s">
        <v>320</v>
      </c>
    </row>
    <row r="283" spans="1:28">
      <c r="A283">
        <v>12</v>
      </c>
      <c r="B283" t="s">
        <v>5</v>
      </c>
      <c r="C283">
        <v>45952</v>
      </c>
      <c r="D283">
        <v>45965</v>
      </c>
      <c r="E283" t="s">
        <v>1876</v>
      </c>
      <c r="F283" t="s">
        <v>1828</v>
      </c>
      <c r="G283">
        <v>50510</v>
      </c>
      <c r="H283" t="s">
        <v>627</v>
      </c>
      <c r="I283" t="s">
        <v>306</v>
      </c>
      <c r="J283">
        <v>2</v>
      </c>
      <c r="K283">
        <v>2</v>
      </c>
      <c r="L283">
        <v>8</v>
      </c>
      <c r="M283" t="s">
        <v>320</v>
      </c>
      <c r="N283" t="s">
        <v>320</v>
      </c>
      <c r="O283" t="s">
        <v>320</v>
      </c>
      <c r="P283" t="s">
        <v>320</v>
      </c>
      <c r="Q283" t="s">
        <v>320</v>
      </c>
      <c r="R283" t="s">
        <v>320</v>
      </c>
      <c r="S283" t="s">
        <v>320</v>
      </c>
      <c r="T283" t="s">
        <v>320</v>
      </c>
      <c r="U283" t="s">
        <v>320</v>
      </c>
      <c r="V283" t="s">
        <v>320</v>
      </c>
      <c r="W283" t="s">
        <v>320</v>
      </c>
      <c r="X283" t="s">
        <v>320</v>
      </c>
      <c r="Y283" t="s">
        <v>320</v>
      </c>
      <c r="Z283" t="s">
        <v>320</v>
      </c>
      <c r="AA283" t="s">
        <v>320</v>
      </c>
      <c r="AB283" t="s">
        <v>320</v>
      </c>
    </row>
    <row r="284" spans="1:28">
      <c r="A284">
        <v>13</v>
      </c>
      <c r="B284" t="s">
        <v>5</v>
      </c>
      <c r="C284">
        <v>45952</v>
      </c>
      <c r="D284">
        <v>45965</v>
      </c>
      <c r="E284" t="s">
        <v>1876</v>
      </c>
      <c r="F284" t="s">
        <v>315</v>
      </c>
      <c r="G284">
        <v>50511</v>
      </c>
      <c r="H284" t="s">
        <v>1840</v>
      </c>
      <c r="I284" t="s">
        <v>306</v>
      </c>
      <c r="J284">
        <v>3</v>
      </c>
      <c r="K284">
        <v>2.5</v>
      </c>
      <c r="L284">
        <v>10</v>
      </c>
      <c r="M284" t="s">
        <v>320</v>
      </c>
      <c r="N284" t="s">
        <v>320</v>
      </c>
      <c r="O284" t="s">
        <v>320</v>
      </c>
      <c r="P284" t="s">
        <v>320</v>
      </c>
      <c r="Q284" t="s">
        <v>320</v>
      </c>
      <c r="R284" t="s">
        <v>320</v>
      </c>
      <c r="S284" t="s">
        <v>320</v>
      </c>
      <c r="T284" t="s">
        <v>320</v>
      </c>
      <c r="U284" t="s">
        <v>320</v>
      </c>
      <c r="V284" t="s">
        <v>320</v>
      </c>
      <c r="W284" t="s">
        <v>320</v>
      </c>
      <c r="X284" t="s">
        <v>320</v>
      </c>
      <c r="Y284" t="s">
        <v>320</v>
      </c>
      <c r="Z284" t="s">
        <v>320</v>
      </c>
      <c r="AA284" t="s">
        <v>320</v>
      </c>
      <c r="AB284" t="s">
        <v>320</v>
      </c>
    </row>
    <row r="285" spans="1:28">
      <c r="A285">
        <v>14</v>
      </c>
      <c r="B285" t="s">
        <v>5</v>
      </c>
      <c r="C285">
        <v>45952</v>
      </c>
      <c r="D285">
        <v>45965</v>
      </c>
      <c r="E285" t="s">
        <v>1876</v>
      </c>
      <c r="F285" t="s">
        <v>1216</v>
      </c>
      <c r="G285">
        <v>50512</v>
      </c>
      <c r="H285" t="s">
        <v>1842</v>
      </c>
      <c r="I285" t="s">
        <v>306</v>
      </c>
      <c r="J285">
        <v>3</v>
      </c>
      <c r="K285">
        <v>2</v>
      </c>
      <c r="L285">
        <v>8</v>
      </c>
      <c r="M285" t="s">
        <v>320</v>
      </c>
      <c r="N285" t="s">
        <v>320</v>
      </c>
      <c r="O285" t="s">
        <v>320</v>
      </c>
      <c r="P285" t="s">
        <v>320</v>
      </c>
      <c r="Q285" t="s">
        <v>320</v>
      </c>
      <c r="R285" t="s">
        <v>320</v>
      </c>
      <c r="S285" t="s">
        <v>320</v>
      </c>
      <c r="T285" t="s">
        <v>320</v>
      </c>
      <c r="U285" t="s">
        <v>320</v>
      </c>
      <c r="V285" t="s">
        <v>320</v>
      </c>
      <c r="W285" t="s">
        <v>320</v>
      </c>
      <c r="X285" t="s">
        <v>320</v>
      </c>
      <c r="Y285" t="s">
        <v>320</v>
      </c>
      <c r="Z285" t="s">
        <v>320</v>
      </c>
      <c r="AA285" t="s">
        <v>320</v>
      </c>
      <c r="AB285" t="s">
        <v>320</v>
      </c>
    </row>
    <row r="286" spans="1:28">
      <c r="A286">
        <v>15</v>
      </c>
      <c r="B286" t="s">
        <v>5</v>
      </c>
      <c r="C286">
        <v>45952</v>
      </c>
      <c r="D286">
        <v>45965</v>
      </c>
      <c r="E286" t="s">
        <v>1876</v>
      </c>
      <c r="F286" t="s">
        <v>1216</v>
      </c>
      <c r="G286">
        <v>50513</v>
      </c>
      <c r="H286" t="s">
        <v>1666</v>
      </c>
      <c r="I286" t="s">
        <v>306</v>
      </c>
      <c r="J286">
        <v>2</v>
      </c>
      <c r="K286">
        <v>3</v>
      </c>
      <c r="L286">
        <v>12</v>
      </c>
      <c r="M286" t="s">
        <v>320</v>
      </c>
      <c r="N286" t="s">
        <v>320</v>
      </c>
      <c r="O286" t="s">
        <v>320</v>
      </c>
      <c r="P286" t="s">
        <v>320</v>
      </c>
      <c r="Q286" t="s">
        <v>320</v>
      </c>
      <c r="R286" t="s">
        <v>320</v>
      </c>
      <c r="S286" t="s">
        <v>320</v>
      </c>
      <c r="T286" t="s">
        <v>320</v>
      </c>
      <c r="U286" t="s">
        <v>320</v>
      </c>
      <c r="V286" t="s">
        <v>320</v>
      </c>
      <c r="W286" t="s">
        <v>320</v>
      </c>
      <c r="X286" t="s">
        <v>320</v>
      </c>
      <c r="Y286" t="s">
        <v>320</v>
      </c>
      <c r="Z286" t="s">
        <v>320</v>
      </c>
      <c r="AA286" t="s">
        <v>320</v>
      </c>
      <c r="AB286" t="s">
        <v>320</v>
      </c>
    </row>
    <row r="287" spans="1:28">
      <c r="A287">
        <v>16</v>
      </c>
      <c r="B287" t="s">
        <v>5</v>
      </c>
      <c r="C287">
        <v>45952</v>
      </c>
      <c r="D287">
        <v>45965</v>
      </c>
      <c r="E287" t="s">
        <v>1846</v>
      </c>
      <c r="F287" t="s">
        <v>313</v>
      </c>
      <c r="G287">
        <v>50514</v>
      </c>
      <c r="H287" t="s">
        <v>1703</v>
      </c>
      <c r="I287" t="s">
        <v>338</v>
      </c>
      <c r="J287">
        <v>5</v>
      </c>
      <c r="L287">
        <v>10</v>
      </c>
      <c r="M287">
        <v>45953</v>
      </c>
      <c r="N287">
        <v>45961</v>
      </c>
      <c r="O287" t="s">
        <v>12</v>
      </c>
      <c r="P287" t="s">
        <v>315</v>
      </c>
      <c r="Q287" t="s">
        <v>316</v>
      </c>
      <c r="R287" t="s">
        <v>317</v>
      </c>
      <c r="S287" t="s">
        <v>316</v>
      </c>
      <c r="T287" t="s">
        <v>1704</v>
      </c>
      <c r="U287">
        <v>45964</v>
      </c>
      <c r="V287">
        <v>45964</v>
      </c>
      <c r="W287" t="s">
        <v>316</v>
      </c>
      <c r="X287" t="s">
        <v>319</v>
      </c>
      <c r="Y287" t="s">
        <v>319</v>
      </c>
      <c r="Z287" t="s">
        <v>320</v>
      </c>
      <c r="AA287" t="s">
        <v>316</v>
      </c>
      <c r="AB287" t="s">
        <v>316</v>
      </c>
    </row>
    <row r="288" spans="1:28">
      <c r="A288">
        <v>17</v>
      </c>
      <c r="B288" t="s">
        <v>5</v>
      </c>
      <c r="C288">
        <v>45952</v>
      </c>
      <c r="D288">
        <v>45965</v>
      </c>
      <c r="E288" t="s">
        <v>1876</v>
      </c>
      <c r="F288" t="s">
        <v>1618</v>
      </c>
      <c r="G288" t="s">
        <v>1852</v>
      </c>
      <c r="H288" t="s">
        <v>1542</v>
      </c>
      <c r="I288" t="s">
        <v>503</v>
      </c>
      <c r="J288">
        <v>0</v>
      </c>
      <c r="L288">
        <v>8</v>
      </c>
      <c r="M288" t="s">
        <v>320</v>
      </c>
      <c r="N288" t="s">
        <v>320</v>
      </c>
      <c r="O288" t="s">
        <v>320</v>
      </c>
      <c r="P288" t="s">
        <v>320</v>
      </c>
      <c r="Q288" t="s">
        <v>320</v>
      </c>
      <c r="R288" t="s">
        <v>320</v>
      </c>
      <c r="S288" t="s">
        <v>320</v>
      </c>
      <c r="T288" t="s">
        <v>320</v>
      </c>
      <c r="U288" t="s">
        <v>320</v>
      </c>
      <c r="V288" t="s">
        <v>320</v>
      </c>
      <c r="W288" t="s">
        <v>320</v>
      </c>
      <c r="X288" t="s">
        <v>320</v>
      </c>
      <c r="Y288" t="s">
        <v>320</v>
      </c>
      <c r="Z288" t="s">
        <v>320</v>
      </c>
      <c r="AA288" t="s">
        <v>320</v>
      </c>
      <c r="AB288" t="s">
        <v>320</v>
      </c>
    </row>
    <row r="289" spans="1:28">
      <c r="A289">
        <v>18</v>
      </c>
      <c r="B289" t="s">
        <v>5</v>
      </c>
      <c r="C289">
        <v>45952</v>
      </c>
      <c r="D289">
        <v>45965</v>
      </c>
      <c r="E289" t="s">
        <v>1876</v>
      </c>
      <c r="F289" t="s">
        <v>317</v>
      </c>
      <c r="G289" t="s">
        <v>1856</v>
      </c>
      <c r="H289" t="s">
        <v>1857</v>
      </c>
      <c r="I289" t="s">
        <v>376</v>
      </c>
      <c r="J289">
        <v>0</v>
      </c>
      <c r="K289">
        <v>0.187</v>
      </c>
      <c r="L289">
        <v>0.75</v>
      </c>
      <c r="M289" t="s">
        <v>320</v>
      </c>
      <c r="N289" t="s">
        <v>320</v>
      </c>
      <c r="O289" t="s">
        <v>320</v>
      </c>
      <c r="P289" t="s">
        <v>320</v>
      </c>
      <c r="Q289" t="s">
        <v>320</v>
      </c>
      <c r="R289" t="s">
        <v>320</v>
      </c>
      <c r="S289" t="s">
        <v>320</v>
      </c>
      <c r="T289" t="s">
        <v>320</v>
      </c>
      <c r="U289" t="s">
        <v>320</v>
      </c>
      <c r="V289" t="s">
        <v>320</v>
      </c>
      <c r="W289" t="s">
        <v>320</v>
      </c>
      <c r="X289" t="s">
        <v>320</v>
      </c>
      <c r="Y289" t="s">
        <v>320</v>
      </c>
      <c r="Z289" t="s">
        <v>320</v>
      </c>
      <c r="AA289" t="s">
        <v>320</v>
      </c>
      <c r="AB289" t="s">
        <v>320</v>
      </c>
    </row>
    <row r="290" spans="1:28">
      <c r="A290">
        <v>19</v>
      </c>
      <c r="B290" t="s">
        <v>5</v>
      </c>
      <c r="C290">
        <v>45952</v>
      </c>
      <c r="D290">
        <v>45965</v>
      </c>
      <c r="E290" t="s">
        <v>1876</v>
      </c>
      <c r="F290" t="s">
        <v>317</v>
      </c>
      <c r="G290" t="s">
        <v>1860</v>
      </c>
      <c r="H290" t="s">
        <v>1861</v>
      </c>
      <c r="I290" t="s">
        <v>376</v>
      </c>
      <c r="J290">
        <v>0</v>
      </c>
      <c r="K290">
        <v>0.47699999999999998</v>
      </c>
      <c r="L290">
        <v>1.91</v>
      </c>
      <c r="M290" t="s">
        <v>320</v>
      </c>
      <c r="N290" t="s">
        <v>320</v>
      </c>
      <c r="O290" t="s">
        <v>320</v>
      </c>
      <c r="P290" t="s">
        <v>320</v>
      </c>
      <c r="Q290" t="s">
        <v>320</v>
      </c>
      <c r="R290" t="s">
        <v>320</v>
      </c>
      <c r="S290" t="s">
        <v>320</v>
      </c>
      <c r="T290" t="s">
        <v>320</v>
      </c>
      <c r="U290" t="s">
        <v>320</v>
      </c>
      <c r="V290" t="s">
        <v>320</v>
      </c>
      <c r="W290" t="s">
        <v>320</v>
      </c>
      <c r="X290" t="s">
        <v>320</v>
      </c>
      <c r="Y290" t="s">
        <v>320</v>
      </c>
      <c r="Z290" t="s">
        <v>320</v>
      </c>
      <c r="AA290" t="s">
        <v>320</v>
      </c>
      <c r="AB290" t="s">
        <v>320</v>
      </c>
    </row>
    <row r="291" spans="1:28">
      <c r="A291">
        <v>20</v>
      </c>
      <c r="B291" t="s">
        <v>5</v>
      </c>
      <c r="C291">
        <v>45952</v>
      </c>
      <c r="D291">
        <v>45965</v>
      </c>
      <c r="E291" t="s">
        <v>1876</v>
      </c>
      <c r="F291" t="s">
        <v>317</v>
      </c>
      <c r="G291" t="s">
        <v>1757</v>
      </c>
      <c r="H291" t="s">
        <v>1758</v>
      </c>
      <c r="I291" t="s">
        <v>348</v>
      </c>
      <c r="J291">
        <v>0</v>
      </c>
      <c r="L291">
        <v>13</v>
      </c>
      <c r="M291">
        <v>45958</v>
      </c>
      <c r="N291">
        <v>45958</v>
      </c>
      <c r="O291" t="s">
        <v>320</v>
      </c>
      <c r="P291" t="s">
        <v>320</v>
      </c>
      <c r="Q291" t="s">
        <v>320</v>
      </c>
      <c r="R291" t="s">
        <v>320</v>
      </c>
      <c r="S291" t="s">
        <v>320</v>
      </c>
      <c r="T291" t="s">
        <v>320</v>
      </c>
      <c r="U291" t="s">
        <v>320</v>
      </c>
      <c r="V291" t="s">
        <v>320</v>
      </c>
      <c r="W291" t="s">
        <v>320</v>
      </c>
      <c r="X291" t="s">
        <v>320</v>
      </c>
      <c r="Y291" t="s">
        <v>320</v>
      </c>
      <c r="Z291" t="s">
        <v>320</v>
      </c>
      <c r="AA291" t="s">
        <v>320</v>
      </c>
      <c r="AB291" t="s">
        <v>320</v>
      </c>
    </row>
    <row r="292" spans="1:28">
      <c r="A292">
        <v>21</v>
      </c>
      <c r="B292" t="s">
        <v>5</v>
      </c>
      <c r="C292">
        <v>45952</v>
      </c>
      <c r="D292">
        <v>45965</v>
      </c>
      <c r="E292" t="s">
        <v>1876</v>
      </c>
      <c r="F292" t="s">
        <v>313</v>
      </c>
      <c r="G292">
        <v>26241</v>
      </c>
      <c r="H292" t="s">
        <v>1686</v>
      </c>
      <c r="I292" t="s">
        <v>369</v>
      </c>
      <c r="J292">
        <v>0</v>
      </c>
      <c r="L292">
        <v>4</v>
      </c>
      <c r="M292">
        <v>45961</v>
      </c>
      <c r="N292">
        <v>45964</v>
      </c>
      <c r="O292" t="s">
        <v>12</v>
      </c>
      <c r="P292" t="s">
        <v>315</v>
      </c>
      <c r="Q292" t="s">
        <v>316</v>
      </c>
      <c r="R292" t="s">
        <v>317</v>
      </c>
      <c r="S292" t="s">
        <v>1687</v>
      </c>
      <c r="T292" t="s">
        <v>1688</v>
      </c>
      <c r="U292">
        <v>45965</v>
      </c>
      <c r="V292">
        <v>45965</v>
      </c>
      <c r="W292" t="s">
        <v>316</v>
      </c>
      <c r="X292" t="s">
        <v>319</v>
      </c>
      <c r="Y292" t="s">
        <v>319</v>
      </c>
      <c r="Z292" t="s">
        <v>320</v>
      </c>
      <c r="AA292" t="s">
        <v>316</v>
      </c>
      <c r="AB292" t="s">
        <v>316</v>
      </c>
    </row>
    <row r="293" spans="1:28">
      <c r="A293">
        <v>22</v>
      </c>
      <c r="B293" t="s">
        <v>5</v>
      </c>
      <c r="C293">
        <v>45952</v>
      </c>
      <c r="D293">
        <v>45965</v>
      </c>
      <c r="E293" t="s">
        <v>1846</v>
      </c>
      <c r="F293" t="s">
        <v>313</v>
      </c>
      <c r="G293">
        <v>50515</v>
      </c>
      <c r="H293" t="s">
        <v>1712</v>
      </c>
      <c r="I293" t="s">
        <v>399</v>
      </c>
      <c r="J293">
        <v>5</v>
      </c>
      <c r="L293">
        <v>8</v>
      </c>
      <c r="M293">
        <v>45964</v>
      </c>
      <c r="N293">
        <v>45965</v>
      </c>
      <c r="O293" t="s">
        <v>12</v>
      </c>
      <c r="P293" t="s">
        <v>315</v>
      </c>
      <c r="Q293" t="s">
        <v>316</v>
      </c>
      <c r="R293" t="s">
        <v>317</v>
      </c>
      <c r="S293" t="s">
        <v>316</v>
      </c>
      <c r="T293" t="s">
        <v>320</v>
      </c>
      <c r="U293" t="s">
        <v>320</v>
      </c>
      <c r="V293" t="s">
        <v>320</v>
      </c>
      <c r="W293" t="s">
        <v>320</v>
      </c>
      <c r="X293" t="s">
        <v>320</v>
      </c>
      <c r="Y293" t="s">
        <v>320</v>
      </c>
      <c r="Z293" t="s">
        <v>320</v>
      </c>
      <c r="AA293" t="s">
        <v>320</v>
      </c>
      <c r="AB293" t="s">
        <v>320</v>
      </c>
    </row>
    <row r="294" spans="1:28">
      <c r="A294">
        <v>23</v>
      </c>
      <c r="B294" t="s">
        <v>5</v>
      </c>
      <c r="C294">
        <v>45952</v>
      </c>
      <c r="D294">
        <v>45965</v>
      </c>
      <c r="E294" t="s">
        <v>1876</v>
      </c>
      <c r="F294" t="s">
        <v>317</v>
      </c>
      <c r="G294">
        <v>49950</v>
      </c>
      <c r="H294" t="s">
        <v>1519</v>
      </c>
      <c r="I294" t="s">
        <v>399</v>
      </c>
      <c r="J294">
        <v>1</v>
      </c>
      <c r="L294">
        <v>10.5</v>
      </c>
      <c r="M294">
        <v>45954</v>
      </c>
      <c r="N294" t="s">
        <v>320</v>
      </c>
      <c r="O294" t="s">
        <v>320</v>
      </c>
      <c r="P294" t="s">
        <v>320</v>
      </c>
      <c r="Q294" t="s">
        <v>320</v>
      </c>
      <c r="R294" t="s">
        <v>320</v>
      </c>
      <c r="S294" t="s">
        <v>320</v>
      </c>
      <c r="T294" t="s">
        <v>320</v>
      </c>
      <c r="U294" t="s">
        <v>320</v>
      </c>
      <c r="V294" t="s">
        <v>320</v>
      </c>
      <c r="W294" t="s">
        <v>320</v>
      </c>
      <c r="X294" t="s">
        <v>320</v>
      </c>
      <c r="Y294" t="s">
        <v>320</v>
      </c>
      <c r="Z294" t="s">
        <v>320</v>
      </c>
      <c r="AA294" t="s">
        <v>320</v>
      </c>
      <c r="AB294" t="s">
        <v>320</v>
      </c>
    </row>
    <row r="295" spans="1:28">
      <c r="A295">
        <v>24</v>
      </c>
      <c r="B295" t="s">
        <v>5</v>
      </c>
      <c r="C295">
        <v>45952</v>
      </c>
      <c r="D295">
        <v>45965</v>
      </c>
      <c r="E295" t="s">
        <v>1846</v>
      </c>
      <c r="F295" t="s">
        <v>315</v>
      </c>
      <c r="G295">
        <v>50651</v>
      </c>
      <c r="H295" t="s">
        <v>1875</v>
      </c>
      <c r="I295" t="s">
        <v>306</v>
      </c>
      <c r="J295">
        <v>2</v>
      </c>
      <c r="K295">
        <v>1</v>
      </c>
      <c r="L295">
        <v>4</v>
      </c>
      <c r="M295" t="s">
        <v>320</v>
      </c>
      <c r="N295" t="s">
        <v>320</v>
      </c>
      <c r="O295" t="s">
        <v>320</v>
      </c>
      <c r="P295" t="s">
        <v>320</v>
      </c>
      <c r="Q295" t="s">
        <v>320</v>
      </c>
      <c r="R295" t="s">
        <v>320</v>
      </c>
      <c r="S295" t="s">
        <v>320</v>
      </c>
      <c r="T295" t="s">
        <v>320</v>
      </c>
      <c r="U295" t="s">
        <v>320</v>
      </c>
      <c r="V295" t="s">
        <v>320</v>
      </c>
      <c r="W295" t="s">
        <v>320</v>
      </c>
      <c r="X295" t="s">
        <v>320</v>
      </c>
      <c r="Y295" t="s">
        <v>320</v>
      </c>
      <c r="Z295" t="s">
        <v>320</v>
      </c>
      <c r="AA295" t="s">
        <v>320</v>
      </c>
      <c r="AB295" t="s">
        <v>320</v>
      </c>
    </row>
    <row r="296" spans="1:28">
      <c r="A296">
        <v>1</v>
      </c>
      <c r="B296" t="s">
        <v>5</v>
      </c>
      <c r="C296">
        <v>45966</v>
      </c>
      <c r="D296">
        <v>45979</v>
      </c>
      <c r="E296" t="s">
        <v>1691</v>
      </c>
      <c r="F296" t="s">
        <v>317</v>
      </c>
      <c r="G296">
        <v>49370</v>
      </c>
      <c r="H296" t="s">
        <v>1683</v>
      </c>
      <c r="I296" t="s">
        <v>306</v>
      </c>
      <c r="J296">
        <v>1</v>
      </c>
      <c r="K296">
        <v>1.75</v>
      </c>
      <c r="L296">
        <v>7</v>
      </c>
      <c r="M296">
        <v>45926</v>
      </c>
      <c r="N296">
        <v>45966</v>
      </c>
      <c r="O296" t="s">
        <v>320</v>
      </c>
      <c r="P296" t="s">
        <v>320</v>
      </c>
      <c r="Q296" t="s">
        <v>320</v>
      </c>
      <c r="R296" t="s">
        <v>320</v>
      </c>
      <c r="S296" t="s">
        <v>320</v>
      </c>
      <c r="T296" t="s">
        <v>320</v>
      </c>
      <c r="U296" t="s">
        <v>320</v>
      </c>
      <c r="V296" t="s">
        <v>320</v>
      </c>
      <c r="W296" t="s">
        <v>320</v>
      </c>
      <c r="X296" t="s">
        <v>320</v>
      </c>
      <c r="Y296" t="s">
        <v>320</v>
      </c>
      <c r="Z296" t="s">
        <v>320</v>
      </c>
      <c r="AA296" t="s">
        <v>320</v>
      </c>
      <c r="AB296" t="s">
        <v>320</v>
      </c>
    </row>
    <row r="297" spans="1:28">
      <c r="A297">
        <v>2</v>
      </c>
      <c r="B297" t="s">
        <v>5</v>
      </c>
      <c r="C297">
        <v>45966</v>
      </c>
      <c r="D297">
        <v>45979</v>
      </c>
      <c r="E297" t="s">
        <v>1691</v>
      </c>
      <c r="F297" t="s">
        <v>313</v>
      </c>
      <c r="G297">
        <v>26241</v>
      </c>
      <c r="H297" t="s">
        <v>1686</v>
      </c>
      <c r="I297" t="s">
        <v>306</v>
      </c>
      <c r="J297">
        <v>1</v>
      </c>
      <c r="K297">
        <v>1</v>
      </c>
      <c r="L297">
        <v>4</v>
      </c>
      <c r="M297">
        <v>45961</v>
      </c>
      <c r="N297">
        <v>45964</v>
      </c>
      <c r="O297" t="s">
        <v>12</v>
      </c>
      <c r="P297" t="s">
        <v>315</v>
      </c>
      <c r="Q297" t="s">
        <v>316</v>
      </c>
      <c r="R297" t="s">
        <v>317</v>
      </c>
      <c r="S297" t="s">
        <v>1687</v>
      </c>
      <c r="T297" t="s">
        <v>1688</v>
      </c>
      <c r="U297">
        <v>45965</v>
      </c>
      <c r="V297">
        <v>45965</v>
      </c>
      <c r="W297" t="s">
        <v>316</v>
      </c>
      <c r="X297" t="s">
        <v>319</v>
      </c>
      <c r="Y297" t="s">
        <v>319</v>
      </c>
      <c r="Z297" t="s">
        <v>320</v>
      </c>
      <c r="AA297" t="s">
        <v>316</v>
      </c>
      <c r="AB297" t="s">
        <v>316</v>
      </c>
    </row>
    <row r="298" spans="1:28">
      <c r="A298">
        <v>3</v>
      </c>
      <c r="B298" t="s">
        <v>5</v>
      </c>
      <c r="C298">
        <v>45966</v>
      </c>
      <c r="D298">
        <v>45979</v>
      </c>
      <c r="E298" t="s">
        <v>1691</v>
      </c>
      <c r="F298" t="s">
        <v>1692</v>
      </c>
      <c r="G298" t="s">
        <v>1693</v>
      </c>
      <c r="H298" t="s">
        <v>1694</v>
      </c>
      <c r="I298" t="s">
        <v>306</v>
      </c>
      <c r="J298">
        <v>8</v>
      </c>
      <c r="K298">
        <v>19.75</v>
      </c>
      <c r="L298">
        <v>79</v>
      </c>
      <c r="M298">
        <v>45966</v>
      </c>
      <c r="N298">
        <v>45979</v>
      </c>
      <c r="O298" t="s">
        <v>12</v>
      </c>
      <c r="P298" t="s">
        <v>320</v>
      </c>
      <c r="Q298" t="s">
        <v>320</v>
      </c>
      <c r="R298" t="s">
        <v>320</v>
      </c>
      <c r="S298" t="s">
        <v>320</v>
      </c>
      <c r="T298" t="s">
        <v>320</v>
      </c>
      <c r="U298" t="s">
        <v>320</v>
      </c>
      <c r="V298" t="s">
        <v>320</v>
      </c>
      <c r="W298" t="s">
        <v>320</v>
      </c>
      <c r="X298" t="s">
        <v>320</v>
      </c>
      <c r="Y298" t="s">
        <v>320</v>
      </c>
      <c r="Z298" t="s">
        <v>320</v>
      </c>
      <c r="AA298" t="s">
        <v>320</v>
      </c>
      <c r="AB298" t="s">
        <v>320</v>
      </c>
    </row>
    <row r="299" spans="1:28">
      <c r="A299">
        <v>4</v>
      </c>
      <c r="B299" t="s">
        <v>5</v>
      </c>
      <c r="C299">
        <v>45966</v>
      </c>
      <c r="D299">
        <v>45979</v>
      </c>
      <c r="E299" t="s">
        <v>1691</v>
      </c>
      <c r="F299" t="s">
        <v>313</v>
      </c>
      <c r="G299">
        <v>50514</v>
      </c>
      <c r="H299" t="s">
        <v>1703</v>
      </c>
      <c r="I299" t="s">
        <v>306</v>
      </c>
      <c r="J299">
        <v>2</v>
      </c>
      <c r="K299">
        <v>3.25</v>
      </c>
      <c r="L299">
        <v>13</v>
      </c>
      <c r="M299">
        <v>45953</v>
      </c>
      <c r="N299">
        <v>45961</v>
      </c>
      <c r="O299" t="s">
        <v>12</v>
      </c>
      <c r="P299" t="s">
        <v>315</v>
      </c>
      <c r="Q299" t="s">
        <v>316</v>
      </c>
      <c r="R299" t="s">
        <v>317</v>
      </c>
      <c r="S299" t="s">
        <v>316</v>
      </c>
      <c r="T299" t="s">
        <v>1704</v>
      </c>
      <c r="U299">
        <v>45964</v>
      </c>
      <c r="V299">
        <v>45964</v>
      </c>
      <c r="W299" t="s">
        <v>316</v>
      </c>
      <c r="X299" t="s">
        <v>319</v>
      </c>
      <c r="Y299" t="s">
        <v>319</v>
      </c>
      <c r="Z299" t="s">
        <v>320</v>
      </c>
      <c r="AA299" t="s">
        <v>316</v>
      </c>
      <c r="AB299" t="s">
        <v>316</v>
      </c>
    </row>
    <row r="300" spans="1:28">
      <c r="A300">
        <v>5</v>
      </c>
      <c r="B300" t="s">
        <v>5</v>
      </c>
      <c r="C300">
        <v>45966</v>
      </c>
      <c r="D300">
        <v>45979</v>
      </c>
      <c r="E300" t="s">
        <v>1691</v>
      </c>
      <c r="F300" t="s">
        <v>313</v>
      </c>
      <c r="G300">
        <v>50515</v>
      </c>
      <c r="H300" t="s">
        <v>1712</v>
      </c>
      <c r="I300" t="s">
        <v>306</v>
      </c>
      <c r="J300">
        <v>3</v>
      </c>
      <c r="K300">
        <v>4.4400000000000004</v>
      </c>
      <c r="L300">
        <v>17.75</v>
      </c>
      <c r="M300">
        <v>45964</v>
      </c>
      <c r="N300">
        <v>45966</v>
      </c>
      <c r="O300" t="s">
        <v>12</v>
      </c>
      <c r="P300" t="s">
        <v>315</v>
      </c>
      <c r="Q300" t="s">
        <v>316</v>
      </c>
      <c r="R300" t="s">
        <v>317</v>
      </c>
      <c r="S300" t="s">
        <v>316</v>
      </c>
      <c r="T300" t="s">
        <v>1713</v>
      </c>
      <c r="U300">
        <v>45971</v>
      </c>
      <c r="V300">
        <v>45971</v>
      </c>
      <c r="W300" t="s">
        <v>316</v>
      </c>
      <c r="X300" t="s">
        <v>319</v>
      </c>
      <c r="Y300" t="s">
        <v>319</v>
      </c>
      <c r="Z300" t="s">
        <v>320</v>
      </c>
      <c r="AA300" t="s">
        <v>316</v>
      </c>
      <c r="AB300" t="s">
        <v>316</v>
      </c>
    </row>
    <row r="301" spans="1:28">
      <c r="A301">
        <v>6</v>
      </c>
      <c r="B301" t="s">
        <v>5</v>
      </c>
      <c r="C301">
        <v>45966</v>
      </c>
      <c r="D301">
        <v>45979</v>
      </c>
      <c r="E301" s="100" t="s">
        <v>1719</v>
      </c>
      <c r="F301" t="s">
        <v>313</v>
      </c>
      <c r="G301">
        <v>50516</v>
      </c>
      <c r="H301" t="s">
        <v>1720</v>
      </c>
      <c r="I301" t="s">
        <v>306</v>
      </c>
      <c r="J301">
        <v>5</v>
      </c>
      <c r="K301">
        <v>3.75</v>
      </c>
      <c r="L301">
        <v>15</v>
      </c>
      <c r="M301">
        <v>45966</v>
      </c>
      <c r="N301">
        <v>45967</v>
      </c>
      <c r="O301" t="s">
        <v>12</v>
      </c>
      <c r="P301" t="s">
        <v>315</v>
      </c>
      <c r="Q301" t="s">
        <v>316</v>
      </c>
      <c r="R301" t="s">
        <v>317</v>
      </c>
      <c r="S301" t="s">
        <v>316</v>
      </c>
      <c r="T301" t="s">
        <v>1721</v>
      </c>
      <c r="U301">
        <v>45971</v>
      </c>
      <c r="V301">
        <v>45971</v>
      </c>
      <c r="W301" t="s">
        <v>316</v>
      </c>
      <c r="X301" t="s">
        <v>319</v>
      </c>
      <c r="Y301" t="s">
        <v>319</v>
      </c>
      <c r="Z301" t="s">
        <v>320</v>
      </c>
      <c r="AA301" t="s">
        <v>316</v>
      </c>
      <c r="AB301" t="s">
        <v>316</v>
      </c>
    </row>
    <row r="302" spans="1:28">
      <c r="A302">
        <v>7</v>
      </c>
      <c r="B302" t="s">
        <v>5</v>
      </c>
      <c r="C302">
        <v>45966</v>
      </c>
      <c r="D302">
        <v>45979</v>
      </c>
      <c r="E302" t="s">
        <v>4416</v>
      </c>
      <c r="F302" t="s">
        <v>1728</v>
      </c>
      <c r="G302">
        <v>50711</v>
      </c>
      <c r="H302" t="s">
        <v>1632</v>
      </c>
      <c r="I302" t="s">
        <v>338</v>
      </c>
      <c r="J302">
        <v>3</v>
      </c>
      <c r="K302">
        <v>5.5</v>
      </c>
      <c r="L302">
        <v>22</v>
      </c>
      <c r="M302">
        <v>45967</v>
      </c>
      <c r="N302">
        <v>45972</v>
      </c>
      <c r="O302" t="s">
        <v>320</v>
      </c>
      <c r="P302" t="s">
        <v>313</v>
      </c>
      <c r="Q302" t="s">
        <v>316</v>
      </c>
      <c r="R302" t="s">
        <v>317</v>
      </c>
      <c r="S302" t="s">
        <v>316</v>
      </c>
      <c r="T302" t="s">
        <v>1633</v>
      </c>
      <c r="U302">
        <v>45974</v>
      </c>
      <c r="V302" t="s">
        <v>320</v>
      </c>
      <c r="W302" t="s">
        <v>320</v>
      </c>
      <c r="X302" t="s">
        <v>320</v>
      </c>
      <c r="Y302" t="s">
        <v>320</v>
      </c>
      <c r="Z302" t="s">
        <v>320</v>
      </c>
      <c r="AA302" t="s">
        <v>320</v>
      </c>
      <c r="AB302" t="s">
        <v>320</v>
      </c>
    </row>
    <row r="303" spans="1:28">
      <c r="A303">
        <v>8</v>
      </c>
      <c r="B303" t="s">
        <v>5</v>
      </c>
      <c r="C303">
        <v>45966</v>
      </c>
      <c r="D303">
        <v>45979</v>
      </c>
      <c r="E303" t="s">
        <v>1691</v>
      </c>
      <c r="F303" t="s">
        <v>313</v>
      </c>
      <c r="G303" t="s">
        <v>1738</v>
      </c>
      <c r="H303" t="s">
        <v>1739</v>
      </c>
      <c r="I303" t="s">
        <v>376</v>
      </c>
      <c r="J303">
        <v>0</v>
      </c>
      <c r="K303">
        <v>0.5</v>
      </c>
      <c r="L303">
        <v>2</v>
      </c>
      <c r="M303">
        <v>45972</v>
      </c>
      <c r="N303">
        <v>45972</v>
      </c>
      <c r="O303" t="s">
        <v>320</v>
      </c>
      <c r="P303" t="s">
        <v>320</v>
      </c>
      <c r="Q303" t="s">
        <v>320</v>
      </c>
      <c r="R303" t="s">
        <v>320</v>
      </c>
      <c r="S303" t="s">
        <v>320</v>
      </c>
      <c r="T303" t="s">
        <v>320</v>
      </c>
      <c r="U303" t="s">
        <v>320</v>
      </c>
      <c r="V303" t="s">
        <v>320</v>
      </c>
      <c r="W303" t="s">
        <v>320</v>
      </c>
      <c r="X303" t="s">
        <v>320</v>
      </c>
      <c r="Y303" t="s">
        <v>320</v>
      </c>
      <c r="Z303" t="s">
        <v>320</v>
      </c>
      <c r="AA303" t="s">
        <v>320</v>
      </c>
      <c r="AB303" t="s">
        <v>320</v>
      </c>
    </row>
    <row r="304" spans="1:28">
      <c r="A304">
        <v>9</v>
      </c>
      <c r="B304" t="s">
        <v>5</v>
      </c>
      <c r="C304">
        <v>45966</v>
      </c>
      <c r="D304">
        <v>45979</v>
      </c>
      <c r="E304" t="s">
        <v>1691</v>
      </c>
      <c r="F304" t="s">
        <v>313</v>
      </c>
      <c r="G304" t="s">
        <v>1742</v>
      </c>
      <c r="H304" t="s">
        <v>1743</v>
      </c>
      <c r="I304" t="s">
        <v>376</v>
      </c>
      <c r="J304">
        <v>0</v>
      </c>
      <c r="K304">
        <v>1.5</v>
      </c>
      <c r="L304">
        <v>6</v>
      </c>
      <c r="M304">
        <v>45972</v>
      </c>
      <c r="N304">
        <v>45973</v>
      </c>
      <c r="O304" t="s">
        <v>320</v>
      </c>
      <c r="P304" t="s">
        <v>320</v>
      </c>
      <c r="Q304" t="s">
        <v>320</v>
      </c>
      <c r="R304" t="s">
        <v>320</v>
      </c>
      <c r="S304" t="s">
        <v>320</v>
      </c>
      <c r="T304" t="s">
        <v>320</v>
      </c>
      <c r="U304" t="s">
        <v>320</v>
      </c>
      <c r="V304" t="s">
        <v>320</v>
      </c>
      <c r="W304" t="s">
        <v>320</v>
      </c>
      <c r="X304" t="s">
        <v>320</v>
      </c>
      <c r="Y304" t="s">
        <v>320</v>
      </c>
      <c r="Z304" t="s">
        <v>320</v>
      </c>
      <c r="AA304" t="s">
        <v>320</v>
      </c>
      <c r="AB304" t="s">
        <v>320</v>
      </c>
    </row>
    <row r="305" spans="1:28">
      <c r="A305">
        <v>10</v>
      </c>
      <c r="B305" t="s">
        <v>5</v>
      </c>
      <c r="C305">
        <v>45966</v>
      </c>
      <c r="D305">
        <v>45979</v>
      </c>
      <c r="E305" t="s">
        <v>1691</v>
      </c>
      <c r="F305" t="s">
        <v>313</v>
      </c>
      <c r="G305">
        <v>26312</v>
      </c>
      <c r="H305" t="s">
        <v>1747</v>
      </c>
      <c r="I305" t="s">
        <v>376</v>
      </c>
      <c r="J305">
        <v>2</v>
      </c>
      <c r="K305">
        <v>2</v>
      </c>
      <c r="L305">
        <v>7.5</v>
      </c>
      <c r="M305">
        <v>45974</v>
      </c>
      <c r="N305">
        <v>45974</v>
      </c>
      <c r="O305" t="s">
        <v>12</v>
      </c>
      <c r="P305" t="s">
        <v>315</v>
      </c>
      <c r="Q305" t="s">
        <v>316</v>
      </c>
      <c r="R305" t="s">
        <v>317</v>
      </c>
      <c r="S305" t="s">
        <v>316</v>
      </c>
      <c r="T305" t="s">
        <v>1748</v>
      </c>
      <c r="U305">
        <v>45974</v>
      </c>
      <c r="V305">
        <v>45974</v>
      </c>
      <c r="W305" t="s">
        <v>316</v>
      </c>
      <c r="X305" t="s">
        <v>319</v>
      </c>
      <c r="Y305" t="s">
        <v>319</v>
      </c>
      <c r="Z305" t="s">
        <v>320</v>
      </c>
      <c r="AA305" t="s">
        <v>316</v>
      </c>
      <c r="AB305" t="s">
        <v>316</v>
      </c>
    </row>
    <row r="306" spans="1:28">
      <c r="A306">
        <v>11</v>
      </c>
      <c r="B306" t="s">
        <v>5</v>
      </c>
      <c r="C306">
        <v>45966</v>
      </c>
      <c r="D306">
        <v>45979</v>
      </c>
      <c r="E306" t="s">
        <v>1691</v>
      </c>
      <c r="F306" t="s">
        <v>317</v>
      </c>
      <c r="G306" t="s">
        <v>1676</v>
      </c>
      <c r="H306" t="s">
        <v>1751</v>
      </c>
      <c r="I306" t="s">
        <v>348</v>
      </c>
      <c r="J306">
        <v>0</v>
      </c>
      <c r="K306">
        <v>1.68</v>
      </c>
      <c r="L306">
        <v>6.75</v>
      </c>
      <c r="M306">
        <v>45975</v>
      </c>
      <c r="N306" t="s">
        <v>320</v>
      </c>
      <c r="O306" t="s">
        <v>320</v>
      </c>
      <c r="P306" t="s">
        <v>320</v>
      </c>
      <c r="Q306" t="s">
        <v>320</v>
      </c>
      <c r="R306" t="s">
        <v>320</v>
      </c>
      <c r="S306" t="s">
        <v>320</v>
      </c>
      <c r="T306" t="s">
        <v>320</v>
      </c>
      <c r="U306" t="s">
        <v>320</v>
      </c>
      <c r="V306" t="s">
        <v>320</v>
      </c>
      <c r="W306" t="s">
        <v>320</v>
      </c>
      <c r="X306" t="s">
        <v>320</v>
      </c>
      <c r="Y306" t="s">
        <v>320</v>
      </c>
      <c r="Z306" t="s">
        <v>320</v>
      </c>
      <c r="AA306" t="s">
        <v>320</v>
      </c>
      <c r="AB306" t="s">
        <v>320</v>
      </c>
    </row>
    <row r="307" spans="1:28">
      <c r="A307">
        <v>12</v>
      </c>
      <c r="B307" t="s">
        <v>5</v>
      </c>
      <c r="C307">
        <v>45966</v>
      </c>
      <c r="D307">
        <v>45979</v>
      </c>
      <c r="E307" t="s">
        <v>1691</v>
      </c>
      <c r="F307" t="s">
        <v>1618</v>
      </c>
      <c r="G307" t="s">
        <v>1619</v>
      </c>
      <c r="H307" t="s">
        <v>1542</v>
      </c>
      <c r="I307" t="s">
        <v>348</v>
      </c>
      <c r="J307">
        <v>0</v>
      </c>
      <c r="K307">
        <v>0</v>
      </c>
      <c r="L307">
        <v>0</v>
      </c>
      <c r="M307" t="s">
        <v>320</v>
      </c>
      <c r="N307" t="s">
        <v>320</v>
      </c>
      <c r="O307" t="s">
        <v>320</v>
      </c>
      <c r="P307" t="s">
        <v>320</v>
      </c>
      <c r="Q307" t="s">
        <v>320</v>
      </c>
      <c r="R307" t="s">
        <v>320</v>
      </c>
      <c r="S307" t="s">
        <v>320</v>
      </c>
      <c r="T307" t="s">
        <v>320</v>
      </c>
      <c r="U307" t="s">
        <v>320</v>
      </c>
      <c r="V307" t="s">
        <v>320</v>
      </c>
      <c r="W307" t="s">
        <v>320</v>
      </c>
      <c r="X307" t="s">
        <v>320</v>
      </c>
      <c r="Y307" t="s">
        <v>320</v>
      </c>
      <c r="Z307" t="s">
        <v>320</v>
      </c>
      <c r="AA307" t="s">
        <v>320</v>
      </c>
      <c r="AB307" t="s">
        <v>320</v>
      </c>
    </row>
    <row r="308" spans="1:28">
      <c r="A308">
        <v>13</v>
      </c>
      <c r="B308" t="s">
        <v>5</v>
      </c>
      <c r="C308">
        <v>45966</v>
      </c>
      <c r="D308">
        <v>45979</v>
      </c>
      <c r="E308" t="s">
        <v>1691</v>
      </c>
      <c r="F308" t="s">
        <v>317</v>
      </c>
      <c r="G308" t="s">
        <v>1757</v>
      </c>
      <c r="H308" t="s">
        <v>1758</v>
      </c>
      <c r="I308" t="s">
        <v>376</v>
      </c>
      <c r="J308">
        <v>0</v>
      </c>
      <c r="K308">
        <v>0</v>
      </c>
      <c r="L308">
        <v>0</v>
      </c>
      <c r="M308" t="s">
        <v>320</v>
      </c>
      <c r="N308" t="s">
        <v>320</v>
      </c>
      <c r="O308" t="s">
        <v>320</v>
      </c>
      <c r="P308" t="s">
        <v>320</v>
      </c>
      <c r="Q308" t="s">
        <v>320</v>
      </c>
      <c r="R308" t="s">
        <v>320</v>
      </c>
      <c r="S308" t="s">
        <v>320</v>
      </c>
      <c r="T308" t="s">
        <v>320</v>
      </c>
      <c r="U308" t="s">
        <v>320</v>
      </c>
      <c r="V308" t="s">
        <v>320</v>
      </c>
      <c r="W308" t="s">
        <v>320</v>
      </c>
      <c r="X308" t="s">
        <v>320</v>
      </c>
      <c r="Y308" t="s">
        <v>320</v>
      </c>
      <c r="Z308" t="s">
        <v>320</v>
      </c>
      <c r="AA308" t="s">
        <v>320</v>
      </c>
      <c r="AB308" t="s">
        <v>320</v>
      </c>
    </row>
    <row r="309" spans="1:28">
      <c r="A309">
        <v>14</v>
      </c>
      <c r="B309" t="s">
        <v>5</v>
      </c>
      <c r="C309">
        <v>45966</v>
      </c>
      <c r="D309">
        <v>45979</v>
      </c>
      <c r="E309" t="s">
        <v>1691</v>
      </c>
      <c r="F309" t="s">
        <v>1148</v>
      </c>
      <c r="G309">
        <v>50705</v>
      </c>
      <c r="H309" t="s">
        <v>1760</v>
      </c>
      <c r="I309" t="s">
        <v>306</v>
      </c>
      <c r="J309">
        <v>5</v>
      </c>
      <c r="K309">
        <v>3.75</v>
      </c>
      <c r="L309">
        <v>15</v>
      </c>
      <c r="M309">
        <v>45967</v>
      </c>
      <c r="N309">
        <v>45978</v>
      </c>
      <c r="O309" t="s">
        <v>12</v>
      </c>
      <c r="P309" t="s">
        <v>313</v>
      </c>
      <c r="Q309" t="s">
        <v>316</v>
      </c>
      <c r="R309" t="s">
        <v>317</v>
      </c>
      <c r="S309" t="s">
        <v>316</v>
      </c>
      <c r="T309" t="s">
        <v>1761</v>
      </c>
      <c r="U309">
        <v>45979</v>
      </c>
      <c r="V309">
        <v>45979</v>
      </c>
      <c r="W309" t="s">
        <v>316</v>
      </c>
      <c r="X309" t="s">
        <v>319</v>
      </c>
      <c r="Y309" t="s">
        <v>319</v>
      </c>
      <c r="Z309" t="s">
        <v>320</v>
      </c>
      <c r="AA309" t="s">
        <v>316</v>
      </c>
      <c r="AB309" t="s">
        <v>316</v>
      </c>
    </row>
    <row r="310" spans="1:28">
      <c r="A310">
        <v>15</v>
      </c>
      <c r="B310" t="s">
        <v>5</v>
      </c>
      <c r="C310">
        <v>45966</v>
      </c>
      <c r="D310">
        <v>45979</v>
      </c>
      <c r="E310" t="s">
        <v>1691</v>
      </c>
      <c r="F310" t="s">
        <v>317</v>
      </c>
      <c r="G310">
        <v>49950</v>
      </c>
      <c r="H310" t="s">
        <v>1519</v>
      </c>
      <c r="I310" t="s">
        <v>399</v>
      </c>
      <c r="J310">
        <v>1</v>
      </c>
      <c r="K310">
        <v>1</v>
      </c>
      <c r="L310">
        <v>4</v>
      </c>
      <c r="M310">
        <v>45966</v>
      </c>
      <c r="N310" t="s">
        <v>320</v>
      </c>
      <c r="O310" t="s">
        <v>320</v>
      </c>
      <c r="P310" t="s">
        <v>320</v>
      </c>
      <c r="Q310" t="s">
        <v>320</v>
      </c>
      <c r="R310" t="s">
        <v>320</v>
      </c>
      <c r="S310" t="s">
        <v>320</v>
      </c>
      <c r="T310" t="s">
        <v>320</v>
      </c>
      <c r="U310" t="s">
        <v>320</v>
      </c>
      <c r="V310" t="s">
        <v>320</v>
      </c>
      <c r="W310" t="s">
        <v>320</v>
      </c>
      <c r="X310" t="s">
        <v>320</v>
      </c>
      <c r="Y310" t="s">
        <v>320</v>
      </c>
      <c r="Z310" t="s">
        <v>320</v>
      </c>
      <c r="AA310" t="s">
        <v>320</v>
      </c>
      <c r="AB310" t="s">
        <v>320</v>
      </c>
    </row>
    <row r="311" spans="1:28">
      <c r="A311">
        <v>16</v>
      </c>
      <c r="B311" t="s">
        <v>5</v>
      </c>
      <c r="C311">
        <v>45966</v>
      </c>
      <c r="D311">
        <v>45979</v>
      </c>
      <c r="E311" t="s">
        <v>4416</v>
      </c>
      <c r="F311" t="s">
        <v>313</v>
      </c>
      <c r="G311">
        <v>47277</v>
      </c>
      <c r="H311" t="s">
        <v>1475</v>
      </c>
      <c r="I311" t="s">
        <v>399</v>
      </c>
      <c r="J311">
        <v>3</v>
      </c>
      <c r="K311">
        <v>2</v>
      </c>
      <c r="L311">
        <v>8</v>
      </c>
      <c r="M311">
        <v>45978</v>
      </c>
      <c r="N311" t="s">
        <v>320</v>
      </c>
      <c r="O311" t="s">
        <v>320</v>
      </c>
      <c r="P311" t="s">
        <v>320</v>
      </c>
      <c r="Q311" t="s">
        <v>320</v>
      </c>
      <c r="R311" t="s">
        <v>320</v>
      </c>
      <c r="S311" t="s">
        <v>320</v>
      </c>
      <c r="T311" t="s">
        <v>320</v>
      </c>
      <c r="U311" t="s">
        <v>320</v>
      </c>
      <c r="V311" t="s">
        <v>320</v>
      </c>
      <c r="W311" t="s">
        <v>320</v>
      </c>
      <c r="X311" t="s">
        <v>320</v>
      </c>
      <c r="Y311" t="s">
        <v>320</v>
      </c>
      <c r="Z311" t="s">
        <v>320</v>
      </c>
      <c r="AA311" t="s">
        <v>320</v>
      </c>
      <c r="AB311" t="s">
        <v>320</v>
      </c>
    </row>
    <row r="312" spans="1:28">
      <c r="A312">
        <v>17</v>
      </c>
      <c r="B312" t="s">
        <v>5</v>
      </c>
      <c r="C312">
        <v>45966</v>
      </c>
      <c r="D312">
        <v>45979</v>
      </c>
      <c r="E312" t="s">
        <v>1691</v>
      </c>
      <c r="F312" t="s">
        <v>313</v>
      </c>
      <c r="G312" t="s">
        <v>1768</v>
      </c>
      <c r="H312" t="s">
        <v>1769</v>
      </c>
      <c r="I312" t="s">
        <v>376</v>
      </c>
      <c r="J312">
        <v>0</v>
      </c>
      <c r="K312">
        <v>0.5</v>
      </c>
      <c r="L312">
        <v>2</v>
      </c>
      <c r="M312">
        <v>45978</v>
      </c>
      <c r="N312">
        <v>45978</v>
      </c>
      <c r="O312" t="s">
        <v>320</v>
      </c>
      <c r="P312" t="s">
        <v>320</v>
      </c>
      <c r="Q312" t="s">
        <v>320</v>
      </c>
      <c r="R312" t="s">
        <v>320</v>
      </c>
      <c r="S312" t="s">
        <v>320</v>
      </c>
      <c r="T312" t="s">
        <v>320</v>
      </c>
      <c r="U312" t="s">
        <v>320</v>
      </c>
      <c r="V312" t="s">
        <v>320</v>
      </c>
      <c r="W312" t="s">
        <v>320</v>
      </c>
      <c r="X312" t="s">
        <v>320</v>
      </c>
      <c r="Y312" t="s">
        <v>320</v>
      </c>
      <c r="Z312" t="s">
        <v>320</v>
      </c>
      <c r="AA312" t="s">
        <v>320</v>
      </c>
      <c r="AB312" t="s">
        <v>320</v>
      </c>
    </row>
    <row r="313" spans="1:28">
      <c r="A313">
        <v>1</v>
      </c>
      <c r="B313" t="s">
        <v>5</v>
      </c>
      <c r="C313">
        <v>45980</v>
      </c>
      <c r="D313">
        <v>45993</v>
      </c>
      <c r="E313" t="s">
        <v>4417</v>
      </c>
      <c r="F313" t="s">
        <v>1563</v>
      </c>
      <c r="G313">
        <v>50920</v>
      </c>
      <c r="H313" t="s">
        <v>1564</v>
      </c>
      <c r="I313" t="s">
        <v>503</v>
      </c>
      <c r="J313">
        <v>3</v>
      </c>
      <c r="K313">
        <v>12.625</v>
      </c>
      <c r="L313">
        <v>50.5</v>
      </c>
      <c r="M313">
        <v>45980</v>
      </c>
      <c r="N313">
        <v>45992</v>
      </c>
      <c r="O313" t="s">
        <v>12</v>
      </c>
      <c r="P313" t="s">
        <v>313</v>
      </c>
      <c r="Q313" t="s">
        <v>316</v>
      </c>
      <c r="R313" t="s">
        <v>317</v>
      </c>
      <c r="S313" t="s">
        <v>316</v>
      </c>
      <c r="T313" t="s">
        <v>1565</v>
      </c>
      <c r="U313">
        <v>45982</v>
      </c>
      <c r="V313">
        <v>45982</v>
      </c>
      <c r="W313" t="s">
        <v>316</v>
      </c>
      <c r="X313" t="s">
        <v>319</v>
      </c>
      <c r="Y313" t="s">
        <v>319</v>
      </c>
      <c r="Z313" t="s">
        <v>320</v>
      </c>
      <c r="AA313" t="s">
        <v>316</v>
      </c>
      <c r="AB313" t="s">
        <v>316</v>
      </c>
    </row>
    <row r="314" spans="1:28">
      <c r="A314">
        <v>2</v>
      </c>
      <c r="B314" t="s">
        <v>5</v>
      </c>
      <c r="C314">
        <v>45980</v>
      </c>
      <c r="D314">
        <v>45993</v>
      </c>
      <c r="E314" t="s">
        <v>4417</v>
      </c>
      <c r="F314" t="s">
        <v>313</v>
      </c>
      <c r="G314" t="s">
        <v>1577</v>
      </c>
      <c r="H314" t="s">
        <v>1578</v>
      </c>
      <c r="I314" t="s">
        <v>376</v>
      </c>
      <c r="J314">
        <v>0</v>
      </c>
      <c r="K314">
        <v>1</v>
      </c>
      <c r="L314">
        <v>4</v>
      </c>
      <c r="M314">
        <v>45980</v>
      </c>
      <c r="N314">
        <v>45980</v>
      </c>
      <c r="O314" t="s">
        <v>320</v>
      </c>
      <c r="P314" t="s">
        <v>320</v>
      </c>
      <c r="Q314" t="s">
        <v>320</v>
      </c>
      <c r="R314" t="s">
        <v>320</v>
      </c>
      <c r="S314" t="s">
        <v>320</v>
      </c>
      <c r="T314" t="s">
        <v>320</v>
      </c>
      <c r="U314" t="s">
        <v>320</v>
      </c>
      <c r="V314" t="s">
        <v>320</v>
      </c>
      <c r="W314" t="s">
        <v>320</v>
      </c>
      <c r="X314" t="s">
        <v>320</v>
      </c>
      <c r="Y314" t="s">
        <v>320</v>
      </c>
      <c r="Z314" t="s">
        <v>320</v>
      </c>
      <c r="AA314" t="s">
        <v>320</v>
      </c>
      <c r="AB314" t="s">
        <v>320</v>
      </c>
    </row>
    <row r="315" spans="1:28">
      <c r="A315">
        <v>3</v>
      </c>
      <c r="B315" t="s">
        <v>5</v>
      </c>
      <c r="C315">
        <v>45980</v>
      </c>
      <c r="D315">
        <v>45993</v>
      </c>
      <c r="E315" t="s">
        <v>4417</v>
      </c>
      <c r="F315" t="s">
        <v>317</v>
      </c>
      <c r="G315" t="s">
        <v>1584</v>
      </c>
      <c r="H315" t="s">
        <v>1585</v>
      </c>
      <c r="I315" t="s">
        <v>376</v>
      </c>
      <c r="J315">
        <v>0</v>
      </c>
      <c r="K315">
        <v>0.75</v>
      </c>
      <c r="L315">
        <v>3</v>
      </c>
      <c r="M315" t="s">
        <v>320</v>
      </c>
      <c r="N315" t="s">
        <v>320</v>
      </c>
      <c r="O315" t="s">
        <v>320</v>
      </c>
      <c r="P315" t="s">
        <v>320</v>
      </c>
      <c r="Q315" t="s">
        <v>320</v>
      </c>
      <c r="R315" t="s">
        <v>320</v>
      </c>
      <c r="S315" t="s">
        <v>320</v>
      </c>
      <c r="T315" t="s">
        <v>320</v>
      </c>
      <c r="U315" t="s">
        <v>320</v>
      </c>
      <c r="V315" t="s">
        <v>320</v>
      </c>
      <c r="W315" t="s">
        <v>320</v>
      </c>
      <c r="X315" t="s">
        <v>320</v>
      </c>
      <c r="Y315" t="s">
        <v>320</v>
      </c>
      <c r="Z315" t="s">
        <v>320</v>
      </c>
      <c r="AA315" t="s">
        <v>320</v>
      </c>
      <c r="AB315" t="s">
        <v>320</v>
      </c>
    </row>
    <row r="316" spans="1:28">
      <c r="A316">
        <v>4</v>
      </c>
      <c r="B316" t="s">
        <v>5</v>
      </c>
      <c r="C316">
        <v>45980</v>
      </c>
      <c r="D316">
        <v>45993</v>
      </c>
      <c r="E316" t="s">
        <v>4418</v>
      </c>
      <c r="F316" t="s">
        <v>315</v>
      </c>
      <c r="G316">
        <v>50907</v>
      </c>
      <c r="H316" t="s">
        <v>1591</v>
      </c>
      <c r="I316" t="s">
        <v>553</v>
      </c>
      <c r="J316">
        <v>8</v>
      </c>
      <c r="K316">
        <v>3.87</v>
      </c>
      <c r="L316">
        <v>15.5</v>
      </c>
      <c r="M316">
        <v>45980</v>
      </c>
      <c r="N316" t="s">
        <v>320</v>
      </c>
      <c r="O316" t="s">
        <v>320</v>
      </c>
      <c r="P316" t="s">
        <v>320</v>
      </c>
      <c r="Q316" t="s">
        <v>320</v>
      </c>
      <c r="R316" t="s">
        <v>320</v>
      </c>
      <c r="S316" t="s">
        <v>320</v>
      </c>
      <c r="T316" t="s">
        <v>320</v>
      </c>
      <c r="U316" t="s">
        <v>320</v>
      </c>
      <c r="V316" t="s">
        <v>320</v>
      </c>
      <c r="W316" t="s">
        <v>320</v>
      </c>
      <c r="X316" t="s">
        <v>320</v>
      </c>
      <c r="Y316" t="s">
        <v>320</v>
      </c>
      <c r="Z316" t="s">
        <v>320</v>
      </c>
      <c r="AA316" t="s">
        <v>320</v>
      </c>
      <c r="AB316" t="s">
        <v>320</v>
      </c>
    </row>
    <row r="317" spans="1:28">
      <c r="A317">
        <v>5</v>
      </c>
      <c r="B317" t="s">
        <v>5</v>
      </c>
      <c r="C317">
        <v>45980</v>
      </c>
      <c r="D317">
        <v>45993</v>
      </c>
      <c r="E317" t="s">
        <v>4417</v>
      </c>
      <c r="F317" t="s">
        <v>317</v>
      </c>
      <c r="G317">
        <v>49950</v>
      </c>
      <c r="H317" t="s">
        <v>1599</v>
      </c>
      <c r="I317" t="s">
        <v>399</v>
      </c>
      <c r="J317">
        <v>2</v>
      </c>
      <c r="K317">
        <v>5.33</v>
      </c>
      <c r="L317">
        <v>21.33</v>
      </c>
      <c r="M317">
        <v>45980</v>
      </c>
      <c r="N317" t="s">
        <v>320</v>
      </c>
      <c r="O317" t="s">
        <v>320</v>
      </c>
      <c r="P317" t="s">
        <v>320</v>
      </c>
      <c r="Q317" t="s">
        <v>320</v>
      </c>
      <c r="R317" t="s">
        <v>320</v>
      </c>
      <c r="S317" t="s">
        <v>320</v>
      </c>
      <c r="T317" t="s">
        <v>320</v>
      </c>
      <c r="U317" t="s">
        <v>320</v>
      </c>
      <c r="V317" t="s">
        <v>320</v>
      </c>
      <c r="W317" t="s">
        <v>320</v>
      </c>
      <c r="X317" t="s">
        <v>320</v>
      </c>
      <c r="Y317" t="s">
        <v>320</v>
      </c>
      <c r="Z317" t="s">
        <v>320</v>
      </c>
      <c r="AA317" t="s">
        <v>320</v>
      </c>
      <c r="AB317" t="s">
        <v>320</v>
      </c>
    </row>
    <row r="318" spans="1:28">
      <c r="A318">
        <v>6</v>
      </c>
      <c r="B318" t="s">
        <v>5</v>
      </c>
      <c r="C318">
        <v>45980</v>
      </c>
      <c r="D318">
        <v>45993</v>
      </c>
      <c r="E318" t="s">
        <v>4418</v>
      </c>
      <c r="F318" t="s">
        <v>313</v>
      </c>
      <c r="G318">
        <v>47277</v>
      </c>
      <c r="H318" t="s">
        <v>1608</v>
      </c>
      <c r="I318" t="s">
        <v>338</v>
      </c>
      <c r="J318">
        <v>5</v>
      </c>
      <c r="K318">
        <v>1.5</v>
      </c>
      <c r="L318">
        <v>6</v>
      </c>
      <c r="M318">
        <v>45978</v>
      </c>
      <c r="N318">
        <v>45982</v>
      </c>
      <c r="O318" t="s">
        <v>320</v>
      </c>
      <c r="P318" t="s">
        <v>320</v>
      </c>
      <c r="Q318" t="s">
        <v>320</v>
      </c>
      <c r="R318" t="s">
        <v>320</v>
      </c>
      <c r="S318" t="s">
        <v>320</v>
      </c>
      <c r="T318" t="s">
        <v>320</v>
      </c>
      <c r="U318" t="s">
        <v>320</v>
      </c>
      <c r="V318" t="s">
        <v>320</v>
      </c>
      <c r="W318" t="s">
        <v>320</v>
      </c>
      <c r="X318" t="s">
        <v>320</v>
      </c>
      <c r="Y318" t="s">
        <v>320</v>
      </c>
      <c r="Z318" t="s">
        <v>320</v>
      </c>
      <c r="AA318" t="s">
        <v>320</v>
      </c>
      <c r="AB318" t="s">
        <v>316</v>
      </c>
    </row>
    <row r="319" spans="1:28">
      <c r="A319">
        <v>7</v>
      </c>
      <c r="B319" t="s">
        <v>5</v>
      </c>
      <c r="C319">
        <v>45980</v>
      </c>
      <c r="D319">
        <v>45993</v>
      </c>
      <c r="E319" t="s">
        <v>4417</v>
      </c>
      <c r="F319" t="s">
        <v>1618</v>
      </c>
      <c r="G319" t="s">
        <v>1619</v>
      </c>
      <c r="H319" t="s">
        <v>1620</v>
      </c>
      <c r="I319" t="s">
        <v>376</v>
      </c>
      <c r="J319">
        <v>0</v>
      </c>
      <c r="K319">
        <v>0</v>
      </c>
      <c r="L319">
        <v>0</v>
      </c>
      <c r="M319" t="s">
        <v>320</v>
      </c>
      <c r="N319" t="s">
        <v>320</v>
      </c>
      <c r="O319" t="s">
        <v>320</v>
      </c>
      <c r="P319" t="s">
        <v>320</v>
      </c>
      <c r="Q319" t="s">
        <v>320</v>
      </c>
      <c r="R319" t="s">
        <v>320</v>
      </c>
      <c r="S319" t="s">
        <v>320</v>
      </c>
      <c r="T319" t="s">
        <v>320</v>
      </c>
      <c r="U319" t="s">
        <v>320</v>
      </c>
      <c r="V319" t="s">
        <v>320</v>
      </c>
      <c r="W319" t="s">
        <v>320</v>
      </c>
      <c r="X319" t="s">
        <v>320</v>
      </c>
      <c r="Y319" t="s">
        <v>320</v>
      </c>
      <c r="Z319" t="s">
        <v>320</v>
      </c>
      <c r="AA319" t="s">
        <v>320</v>
      </c>
      <c r="AB319" t="s">
        <v>320</v>
      </c>
    </row>
    <row r="320" spans="1:28">
      <c r="A320">
        <v>8</v>
      </c>
      <c r="B320" t="s">
        <v>671</v>
      </c>
      <c r="C320">
        <v>45980</v>
      </c>
      <c r="D320">
        <v>45993</v>
      </c>
      <c r="E320" t="s">
        <v>4417</v>
      </c>
      <c r="F320" t="s">
        <v>313</v>
      </c>
      <c r="G320">
        <v>87003</v>
      </c>
      <c r="H320" t="s">
        <v>1625</v>
      </c>
      <c r="I320" t="s">
        <v>503</v>
      </c>
      <c r="J320">
        <v>0</v>
      </c>
      <c r="K320">
        <v>6.81</v>
      </c>
      <c r="L320">
        <v>27.25</v>
      </c>
      <c r="M320">
        <v>45981</v>
      </c>
      <c r="O320" t="s">
        <v>320</v>
      </c>
      <c r="P320" t="s">
        <v>320</v>
      </c>
      <c r="Q320" t="s">
        <v>320</v>
      </c>
      <c r="R320" t="s">
        <v>320</v>
      </c>
      <c r="S320" t="s">
        <v>320</v>
      </c>
      <c r="T320" t="s">
        <v>320</v>
      </c>
      <c r="U320" t="s">
        <v>320</v>
      </c>
      <c r="V320" t="s">
        <v>320</v>
      </c>
      <c r="W320" t="s">
        <v>320</v>
      </c>
      <c r="X320" t="s">
        <v>320</v>
      </c>
      <c r="Y320" t="s">
        <v>320</v>
      </c>
      <c r="Z320" t="s">
        <v>320</v>
      </c>
      <c r="AA320" t="s">
        <v>320</v>
      </c>
      <c r="AB320" t="s">
        <v>320</v>
      </c>
    </row>
    <row r="321" spans="1:28">
      <c r="A321">
        <v>9</v>
      </c>
      <c r="B321" t="s">
        <v>5</v>
      </c>
      <c r="C321">
        <v>45980</v>
      </c>
      <c r="D321">
        <v>45993</v>
      </c>
      <c r="E321" t="s">
        <v>4417</v>
      </c>
      <c r="F321" t="s">
        <v>1216</v>
      </c>
      <c r="G321">
        <v>50711</v>
      </c>
      <c r="H321" t="s">
        <v>1632</v>
      </c>
      <c r="I321" t="s">
        <v>306</v>
      </c>
      <c r="J321">
        <v>0.5</v>
      </c>
      <c r="K321">
        <v>0.5</v>
      </c>
      <c r="L321">
        <v>2</v>
      </c>
      <c r="M321">
        <v>45967</v>
      </c>
      <c r="N321">
        <v>45979</v>
      </c>
      <c r="O321" t="s">
        <v>320</v>
      </c>
      <c r="P321" t="s">
        <v>313</v>
      </c>
      <c r="Q321" t="s">
        <v>316</v>
      </c>
      <c r="R321" t="s">
        <v>317</v>
      </c>
      <c r="S321" t="s">
        <v>316</v>
      </c>
      <c r="T321" t="s">
        <v>1633</v>
      </c>
      <c r="U321">
        <v>45974</v>
      </c>
      <c r="V321">
        <v>45982</v>
      </c>
      <c r="W321" t="s">
        <v>320</v>
      </c>
      <c r="X321" t="s">
        <v>320</v>
      </c>
      <c r="Y321" t="s">
        <v>320</v>
      </c>
      <c r="Z321" t="s">
        <v>320</v>
      </c>
      <c r="AA321" t="s">
        <v>320</v>
      </c>
      <c r="AB321" t="s">
        <v>320</v>
      </c>
    </row>
    <row r="322" spans="1:28">
      <c r="A322">
        <v>10</v>
      </c>
      <c r="B322" t="s">
        <v>5</v>
      </c>
      <c r="C322">
        <v>45980</v>
      </c>
      <c r="D322">
        <v>45993</v>
      </c>
      <c r="E322" t="s">
        <v>4417</v>
      </c>
      <c r="F322" t="s">
        <v>1618</v>
      </c>
      <c r="G322" t="s">
        <v>1636</v>
      </c>
      <c r="H322" t="s">
        <v>1542</v>
      </c>
      <c r="I322" t="s">
        <v>1303</v>
      </c>
      <c r="J322">
        <v>1</v>
      </c>
      <c r="K322">
        <v>1</v>
      </c>
      <c r="L322">
        <v>4</v>
      </c>
      <c r="M322" t="s">
        <v>320</v>
      </c>
      <c r="N322" t="s">
        <v>320</v>
      </c>
      <c r="O322" t="s">
        <v>320</v>
      </c>
      <c r="P322" t="s">
        <v>320</v>
      </c>
      <c r="Q322" t="s">
        <v>320</v>
      </c>
      <c r="R322" t="s">
        <v>320</v>
      </c>
      <c r="S322" t="s">
        <v>320</v>
      </c>
      <c r="T322" t="s">
        <v>320</v>
      </c>
      <c r="U322" t="s">
        <v>320</v>
      </c>
      <c r="V322" t="s">
        <v>320</v>
      </c>
      <c r="W322" t="s">
        <v>320</v>
      </c>
      <c r="X322" t="s">
        <v>320</v>
      </c>
      <c r="Y322" t="s">
        <v>320</v>
      </c>
      <c r="Z322" t="s">
        <v>320</v>
      </c>
      <c r="AA322" t="s">
        <v>320</v>
      </c>
      <c r="AB322" t="s">
        <v>320</v>
      </c>
    </row>
    <row r="323" spans="1:28">
      <c r="A323">
        <v>11</v>
      </c>
      <c r="B323" t="s">
        <v>5</v>
      </c>
      <c r="C323">
        <v>45980</v>
      </c>
      <c r="D323">
        <v>45993</v>
      </c>
      <c r="E323" t="s">
        <v>4417</v>
      </c>
      <c r="F323" t="s">
        <v>313</v>
      </c>
      <c r="G323">
        <v>50860</v>
      </c>
      <c r="H323" t="s">
        <v>1640</v>
      </c>
      <c r="I323" t="s">
        <v>306</v>
      </c>
      <c r="J323">
        <v>2</v>
      </c>
      <c r="K323">
        <v>3</v>
      </c>
      <c r="L323">
        <v>12</v>
      </c>
      <c r="M323">
        <v>45985</v>
      </c>
      <c r="N323">
        <v>45987</v>
      </c>
      <c r="O323" t="s">
        <v>12</v>
      </c>
      <c r="P323" t="s">
        <v>315</v>
      </c>
      <c r="Q323" t="s">
        <v>316</v>
      </c>
      <c r="R323" t="s">
        <v>317</v>
      </c>
      <c r="S323" t="s">
        <v>316</v>
      </c>
      <c r="T323" t="s">
        <v>1641</v>
      </c>
      <c r="U323">
        <v>45993</v>
      </c>
      <c r="V323">
        <v>45993</v>
      </c>
      <c r="W323" t="s">
        <v>316</v>
      </c>
      <c r="X323" t="s">
        <v>319</v>
      </c>
      <c r="Y323" t="s">
        <v>319</v>
      </c>
      <c r="Z323" t="s">
        <v>320</v>
      </c>
      <c r="AA323" t="s">
        <v>316</v>
      </c>
      <c r="AB323" t="s">
        <v>316</v>
      </c>
    </row>
    <row r="324" spans="1:28">
      <c r="A324">
        <v>12</v>
      </c>
      <c r="B324" t="s">
        <v>5</v>
      </c>
      <c r="C324">
        <v>45980</v>
      </c>
      <c r="D324">
        <v>45993</v>
      </c>
      <c r="E324" t="s">
        <v>4417</v>
      </c>
      <c r="F324" t="s">
        <v>313</v>
      </c>
      <c r="G324">
        <v>50910</v>
      </c>
      <c r="H324" t="s">
        <v>588</v>
      </c>
      <c r="I324" t="s">
        <v>306</v>
      </c>
      <c r="J324">
        <v>1</v>
      </c>
      <c r="K324">
        <v>0.5</v>
      </c>
      <c r="L324">
        <v>2</v>
      </c>
      <c r="M324" t="s">
        <v>320</v>
      </c>
      <c r="N324" t="s">
        <v>320</v>
      </c>
      <c r="O324" t="s">
        <v>320</v>
      </c>
      <c r="P324" t="s">
        <v>320</v>
      </c>
      <c r="Q324" t="s">
        <v>320</v>
      </c>
      <c r="R324" t="s">
        <v>320</v>
      </c>
      <c r="S324" t="s">
        <v>320</v>
      </c>
      <c r="T324" t="s">
        <v>320</v>
      </c>
      <c r="U324" t="s">
        <v>320</v>
      </c>
      <c r="V324" t="s">
        <v>320</v>
      </c>
      <c r="W324" t="s">
        <v>320</v>
      </c>
      <c r="X324" t="s">
        <v>320</v>
      </c>
      <c r="Y324" t="s">
        <v>320</v>
      </c>
      <c r="Z324" t="s">
        <v>320</v>
      </c>
      <c r="AA324" t="s">
        <v>320</v>
      </c>
      <c r="AB324" t="s">
        <v>320</v>
      </c>
    </row>
    <row r="325" spans="1:28">
      <c r="A325">
        <v>13</v>
      </c>
      <c r="B325" t="s">
        <v>5</v>
      </c>
      <c r="C325">
        <v>45980</v>
      </c>
      <c r="D325">
        <v>45993</v>
      </c>
      <c r="E325" t="s">
        <v>4417</v>
      </c>
      <c r="F325" t="s">
        <v>313</v>
      </c>
      <c r="G325">
        <v>50912</v>
      </c>
      <c r="H325" t="s">
        <v>596</v>
      </c>
      <c r="I325" t="s">
        <v>306</v>
      </c>
      <c r="J325">
        <v>5</v>
      </c>
      <c r="K325">
        <v>3</v>
      </c>
      <c r="L325">
        <v>11.5</v>
      </c>
      <c r="M325" t="s">
        <v>320</v>
      </c>
      <c r="N325" t="s">
        <v>320</v>
      </c>
      <c r="O325" t="s">
        <v>320</v>
      </c>
      <c r="P325" t="s">
        <v>320</v>
      </c>
      <c r="Q325" t="s">
        <v>320</v>
      </c>
      <c r="R325" t="s">
        <v>320</v>
      </c>
      <c r="S325" t="s">
        <v>320</v>
      </c>
      <c r="T325" t="s">
        <v>320</v>
      </c>
      <c r="U325" t="s">
        <v>320</v>
      </c>
      <c r="V325" t="s">
        <v>320</v>
      </c>
      <c r="W325" t="s">
        <v>320</v>
      </c>
      <c r="X325" t="s">
        <v>320</v>
      </c>
      <c r="Y325" t="s">
        <v>320</v>
      </c>
      <c r="Z325" t="s">
        <v>320</v>
      </c>
      <c r="AA325" t="s">
        <v>320</v>
      </c>
      <c r="AB325" t="s">
        <v>320</v>
      </c>
    </row>
    <row r="326" spans="1:28">
      <c r="A326">
        <v>14</v>
      </c>
      <c r="B326" t="s">
        <v>5</v>
      </c>
      <c r="C326">
        <v>45980</v>
      </c>
      <c r="D326">
        <v>45993</v>
      </c>
      <c r="E326" t="s">
        <v>4417</v>
      </c>
      <c r="F326" t="s">
        <v>315</v>
      </c>
      <c r="G326">
        <v>50911</v>
      </c>
      <c r="H326" t="s">
        <v>1654</v>
      </c>
      <c r="I326" t="s">
        <v>306</v>
      </c>
      <c r="J326">
        <v>2</v>
      </c>
      <c r="K326">
        <v>2</v>
      </c>
      <c r="L326">
        <v>8</v>
      </c>
      <c r="M326" t="s">
        <v>320</v>
      </c>
      <c r="N326" t="s">
        <v>320</v>
      </c>
      <c r="O326" t="s">
        <v>320</v>
      </c>
      <c r="P326" t="s">
        <v>320</v>
      </c>
      <c r="Q326" t="s">
        <v>320</v>
      </c>
      <c r="R326" t="s">
        <v>320</v>
      </c>
      <c r="S326" t="s">
        <v>320</v>
      </c>
      <c r="T326" t="s">
        <v>320</v>
      </c>
      <c r="U326" t="s">
        <v>320</v>
      </c>
      <c r="V326" t="s">
        <v>320</v>
      </c>
      <c r="W326" t="s">
        <v>320</v>
      </c>
      <c r="X326" t="s">
        <v>320</v>
      </c>
      <c r="Y326" t="s">
        <v>320</v>
      </c>
      <c r="Z326" t="s">
        <v>320</v>
      </c>
      <c r="AA326" t="s">
        <v>320</v>
      </c>
      <c r="AB326" t="s">
        <v>320</v>
      </c>
    </row>
    <row r="327" spans="1:28">
      <c r="A327">
        <v>15</v>
      </c>
      <c r="B327" t="s">
        <v>5</v>
      </c>
      <c r="C327">
        <v>45980</v>
      </c>
      <c r="D327">
        <v>45993</v>
      </c>
      <c r="E327" t="s">
        <v>4417</v>
      </c>
      <c r="F327" t="s">
        <v>313</v>
      </c>
      <c r="G327">
        <v>50913</v>
      </c>
      <c r="H327" t="s">
        <v>1149</v>
      </c>
      <c r="I327" t="s">
        <v>306</v>
      </c>
      <c r="J327">
        <v>3</v>
      </c>
      <c r="K327">
        <v>2</v>
      </c>
      <c r="L327">
        <v>8</v>
      </c>
      <c r="M327" t="s">
        <v>320</v>
      </c>
      <c r="N327" t="s">
        <v>320</v>
      </c>
      <c r="O327" t="s">
        <v>320</v>
      </c>
      <c r="P327" t="s">
        <v>320</v>
      </c>
      <c r="Q327" t="s">
        <v>320</v>
      </c>
      <c r="R327" t="s">
        <v>320</v>
      </c>
      <c r="S327" t="s">
        <v>320</v>
      </c>
      <c r="T327" t="s">
        <v>320</v>
      </c>
      <c r="U327" t="s">
        <v>320</v>
      </c>
      <c r="V327" t="s">
        <v>320</v>
      </c>
      <c r="W327" t="s">
        <v>320</v>
      </c>
      <c r="X327" t="s">
        <v>320</v>
      </c>
      <c r="Y327" t="s">
        <v>320</v>
      </c>
      <c r="Z327" t="s">
        <v>320</v>
      </c>
      <c r="AA327" t="s">
        <v>320</v>
      </c>
      <c r="AB327" t="s">
        <v>320</v>
      </c>
    </row>
    <row r="328" spans="1:28">
      <c r="A328">
        <v>16</v>
      </c>
      <c r="B328" t="s">
        <v>5</v>
      </c>
      <c r="C328">
        <v>45980</v>
      </c>
      <c r="D328">
        <v>45993</v>
      </c>
      <c r="E328" t="s">
        <v>4417</v>
      </c>
      <c r="F328" t="s">
        <v>1657</v>
      </c>
      <c r="G328">
        <v>50916</v>
      </c>
      <c r="H328" t="s">
        <v>1658</v>
      </c>
      <c r="I328" t="s">
        <v>306</v>
      </c>
      <c r="J328">
        <v>3</v>
      </c>
      <c r="K328">
        <v>2</v>
      </c>
      <c r="L328">
        <v>8</v>
      </c>
      <c r="M328" t="s">
        <v>320</v>
      </c>
      <c r="N328" t="s">
        <v>320</v>
      </c>
      <c r="O328" t="s">
        <v>320</v>
      </c>
      <c r="P328" t="s">
        <v>320</v>
      </c>
      <c r="Q328" t="s">
        <v>320</v>
      </c>
      <c r="R328" t="s">
        <v>320</v>
      </c>
      <c r="S328" t="s">
        <v>320</v>
      </c>
      <c r="T328" t="s">
        <v>320</v>
      </c>
      <c r="U328" t="s">
        <v>320</v>
      </c>
      <c r="V328" t="s">
        <v>320</v>
      </c>
      <c r="W328" t="s">
        <v>320</v>
      </c>
      <c r="X328" t="s">
        <v>320</v>
      </c>
      <c r="Y328" t="s">
        <v>320</v>
      </c>
      <c r="Z328" t="s">
        <v>320</v>
      </c>
      <c r="AA328" t="s">
        <v>320</v>
      </c>
      <c r="AB328" t="s">
        <v>320</v>
      </c>
    </row>
    <row r="329" spans="1:28">
      <c r="A329">
        <v>17</v>
      </c>
      <c r="B329" t="s">
        <v>5</v>
      </c>
      <c r="C329">
        <v>45980</v>
      </c>
      <c r="D329">
        <v>45993</v>
      </c>
      <c r="E329" t="s">
        <v>4417</v>
      </c>
      <c r="F329" t="s">
        <v>465</v>
      </c>
      <c r="G329" t="s">
        <v>1471</v>
      </c>
      <c r="H329" s="100" t="s">
        <v>1472</v>
      </c>
      <c r="I329" t="s">
        <v>503</v>
      </c>
      <c r="J329">
        <v>3</v>
      </c>
      <c r="K329">
        <v>2.5</v>
      </c>
      <c r="L329">
        <v>10</v>
      </c>
      <c r="M329" t="s">
        <v>320</v>
      </c>
      <c r="N329" t="s">
        <v>320</v>
      </c>
      <c r="O329" t="s">
        <v>320</v>
      </c>
      <c r="P329" t="s">
        <v>320</v>
      </c>
      <c r="Q329" t="s">
        <v>320</v>
      </c>
      <c r="R329" t="s">
        <v>320</v>
      </c>
      <c r="S329" t="s">
        <v>320</v>
      </c>
      <c r="T329" t="s">
        <v>320</v>
      </c>
      <c r="U329" t="s">
        <v>320</v>
      </c>
      <c r="V329" t="s">
        <v>320</v>
      </c>
      <c r="W329" t="s">
        <v>320</v>
      </c>
      <c r="X329" t="s">
        <v>320</v>
      </c>
      <c r="Y329" t="s">
        <v>320</v>
      </c>
      <c r="Z329" t="s">
        <v>320</v>
      </c>
      <c r="AA329" t="s">
        <v>320</v>
      </c>
      <c r="AB329" t="s">
        <v>320</v>
      </c>
    </row>
    <row r="330" spans="1:28">
      <c r="A330">
        <v>18</v>
      </c>
      <c r="B330" t="s">
        <v>5</v>
      </c>
      <c r="C330">
        <v>45980</v>
      </c>
      <c r="D330">
        <v>45993</v>
      </c>
      <c r="E330" t="s">
        <v>4417</v>
      </c>
      <c r="F330" t="s">
        <v>465</v>
      </c>
      <c r="G330">
        <v>50915</v>
      </c>
      <c r="H330" t="s">
        <v>1664</v>
      </c>
      <c r="I330" t="s">
        <v>306</v>
      </c>
      <c r="J330">
        <v>3</v>
      </c>
      <c r="K330">
        <v>0.75</v>
      </c>
      <c r="L330">
        <v>3</v>
      </c>
      <c r="M330" t="s">
        <v>320</v>
      </c>
      <c r="N330" t="s">
        <v>320</v>
      </c>
      <c r="O330" t="s">
        <v>320</v>
      </c>
      <c r="P330" t="s">
        <v>320</v>
      </c>
      <c r="Q330" t="s">
        <v>320</v>
      </c>
      <c r="R330" t="s">
        <v>320</v>
      </c>
      <c r="S330" t="s">
        <v>320</v>
      </c>
      <c r="T330" t="s">
        <v>320</v>
      </c>
      <c r="U330" t="s">
        <v>320</v>
      </c>
      <c r="V330" t="s">
        <v>320</v>
      </c>
      <c r="W330" t="s">
        <v>320</v>
      </c>
      <c r="X330" t="s">
        <v>320</v>
      </c>
      <c r="Y330" t="s">
        <v>320</v>
      </c>
      <c r="Z330" t="s">
        <v>320</v>
      </c>
      <c r="AA330" t="s">
        <v>320</v>
      </c>
      <c r="AB330" t="s">
        <v>320</v>
      </c>
    </row>
    <row r="331" spans="1:28">
      <c r="A331">
        <v>19</v>
      </c>
      <c r="B331" t="s">
        <v>5</v>
      </c>
      <c r="C331">
        <v>45980</v>
      </c>
      <c r="D331">
        <v>45993</v>
      </c>
      <c r="E331" t="s">
        <v>4417</v>
      </c>
      <c r="F331" t="s">
        <v>465</v>
      </c>
      <c r="G331">
        <v>50918</v>
      </c>
      <c r="H331" t="s">
        <v>1666</v>
      </c>
      <c r="I331" t="s">
        <v>553</v>
      </c>
      <c r="J331">
        <v>2</v>
      </c>
      <c r="K331">
        <v>0</v>
      </c>
      <c r="L331">
        <v>0</v>
      </c>
      <c r="M331" t="s">
        <v>320</v>
      </c>
      <c r="N331" t="s">
        <v>320</v>
      </c>
      <c r="O331" t="s">
        <v>320</v>
      </c>
      <c r="P331" t="s">
        <v>320</v>
      </c>
      <c r="Q331" t="s">
        <v>320</v>
      </c>
      <c r="R331" t="s">
        <v>320</v>
      </c>
      <c r="S331" t="s">
        <v>320</v>
      </c>
      <c r="T331" t="s">
        <v>320</v>
      </c>
      <c r="U331" t="s">
        <v>320</v>
      </c>
      <c r="V331" t="s">
        <v>320</v>
      </c>
      <c r="W331" t="s">
        <v>320</v>
      </c>
      <c r="X331" t="s">
        <v>320</v>
      </c>
      <c r="Y331" t="s">
        <v>320</v>
      </c>
      <c r="Z331" t="s">
        <v>320</v>
      </c>
      <c r="AA331" t="s">
        <v>320</v>
      </c>
      <c r="AB331" t="s">
        <v>320</v>
      </c>
    </row>
    <row r="332" spans="1:28">
      <c r="A332">
        <v>1</v>
      </c>
      <c r="B332" t="s">
        <v>5</v>
      </c>
      <c r="C332">
        <v>45994</v>
      </c>
      <c r="D332">
        <v>46007</v>
      </c>
      <c r="E332" t="s">
        <v>1470</v>
      </c>
      <c r="F332" t="s">
        <v>465</v>
      </c>
      <c r="G332" t="s">
        <v>1471</v>
      </c>
      <c r="H332" s="100" t="s">
        <v>1472</v>
      </c>
      <c r="I332" t="s">
        <v>306</v>
      </c>
      <c r="J332">
        <v>3</v>
      </c>
      <c r="K332">
        <v>1.5</v>
      </c>
      <c r="L332">
        <v>6</v>
      </c>
      <c r="M332" t="s">
        <v>320</v>
      </c>
      <c r="N332" t="s">
        <v>320</v>
      </c>
      <c r="O332" t="s">
        <v>320</v>
      </c>
      <c r="P332" t="s">
        <v>320</v>
      </c>
      <c r="Q332" t="s">
        <v>320</v>
      </c>
      <c r="R332" t="s">
        <v>320</v>
      </c>
      <c r="S332" t="s">
        <v>320</v>
      </c>
      <c r="T332" t="s">
        <v>320</v>
      </c>
      <c r="U332" t="s">
        <v>320</v>
      </c>
      <c r="V332" t="s">
        <v>320</v>
      </c>
      <c r="W332" t="s">
        <v>320</v>
      </c>
      <c r="X332" t="s">
        <v>320</v>
      </c>
      <c r="Y332" t="s">
        <v>320</v>
      </c>
      <c r="Z332" t="s">
        <v>320</v>
      </c>
      <c r="AA332" t="s">
        <v>320</v>
      </c>
      <c r="AB332" t="s">
        <v>320</v>
      </c>
    </row>
    <row r="333" spans="1:28">
      <c r="A333">
        <v>2</v>
      </c>
      <c r="B333" t="s">
        <v>5</v>
      </c>
      <c r="C333">
        <v>45994</v>
      </c>
      <c r="D333">
        <v>46007</v>
      </c>
      <c r="E333" t="s">
        <v>1470</v>
      </c>
      <c r="F333" t="s">
        <v>313</v>
      </c>
      <c r="G333">
        <v>47277</v>
      </c>
      <c r="H333" t="s">
        <v>1475</v>
      </c>
      <c r="I333" t="s">
        <v>306</v>
      </c>
      <c r="J333">
        <v>3</v>
      </c>
      <c r="K333">
        <v>8</v>
      </c>
      <c r="L333">
        <v>32</v>
      </c>
      <c r="M333">
        <v>45994</v>
      </c>
      <c r="N333">
        <v>45982</v>
      </c>
      <c r="O333" t="s">
        <v>320</v>
      </c>
      <c r="P333" t="s">
        <v>320</v>
      </c>
      <c r="Q333" t="s">
        <v>320</v>
      </c>
      <c r="R333" t="s">
        <v>320</v>
      </c>
      <c r="S333" t="s">
        <v>320</v>
      </c>
      <c r="T333" t="s">
        <v>320</v>
      </c>
      <c r="U333" t="s">
        <v>320</v>
      </c>
      <c r="V333" t="s">
        <v>320</v>
      </c>
      <c r="W333" t="s">
        <v>320</v>
      </c>
      <c r="X333" t="s">
        <v>320</v>
      </c>
      <c r="Y333" t="s">
        <v>320</v>
      </c>
      <c r="Z333" t="s">
        <v>320</v>
      </c>
      <c r="AA333" t="s">
        <v>320</v>
      </c>
      <c r="AB333" t="s">
        <v>316</v>
      </c>
    </row>
    <row r="334" spans="1:28">
      <c r="A334">
        <v>3</v>
      </c>
      <c r="B334" t="s">
        <v>5</v>
      </c>
      <c r="C334">
        <v>45994</v>
      </c>
      <c r="D334">
        <v>46007</v>
      </c>
      <c r="E334" t="s">
        <v>1470</v>
      </c>
      <c r="F334" t="s">
        <v>313</v>
      </c>
      <c r="G334">
        <v>48446</v>
      </c>
      <c r="H334" t="s">
        <v>1480</v>
      </c>
      <c r="I334" t="s">
        <v>306</v>
      </c>
      <c r="J334">
        <v>5</v>
      </c>
      <c r="K334">
        <v>5</v>
      </c>
      <c r="L334">
        <v>20</v>
      </c>
      <c r="M334">
        <v>45994</v>
      </c>
      <c r="N334">
        <v>45995</v>
      </c>
      <c r="O334" t="s">
        <v>320</v>
      </c>
      <c r="P334" t="s">
        <v>320</v>
      </c>
      <c r="Q334" t="s">
        <v>320</v>
      </c>
      <c r="R334" t="s">
        <v>320</v>
      </c>
      <c r="S334" t="s">
        <v>320</v>
      </c>
      <c r="T334" t="s">
        <v>320</v>
      </c>
      <c r="U334" t="s">
        <v>320</v>
      </c>
      <c r="V334" t="s">
        <v>320</v>
      </c>
      <c r="W334" t="s">
        <v>320</v>
      </c>
      <c r="X334" t="s">
        <v>320</v>
      </c>
      <c r="Y334" t="s">
        <v>320</v>
      </c>
      <c r="Z334" t="s">
        <v>320</v>
      </c>
      <c r="AA334" t="s">
        <v>320</v>
      </c>
      <c r="AB334" t="s">
        <v>316</v>
      </c>
    </row>
    <row r="335" spans="1:28">
      <c r="A335">
        <v>4</v>
      </c>
      <c r="B335" t="s">
        <v>5</v>
      </c>
      <c r="C335">
        <v>45994</v>
      </c>
      <c r="D335">
        <v>46007</v>
      </c>
      <c r="E335" t="s">
        <v>1470</v>
      </c>
      <c r="F335" t="s">
        <v>315</v>
      </c>
      <c r="G335" t="s">
        <v>1485</v>
      </c>
      <c r="H335" t="s">
        <v>1486</v>
      </c>
      <c r="I335" t="s">
        <v>376</v>
      </c>
      <c r="J335">
        <v>1</v>
      </c>
      <c r="K335">
        <v>1.08</v>
      </c>
      <c r="L335">
        <v>4.33</v>
      </c>
      <c r="M335">
        <v>45994</v>
      </c>
      <c r="N335">
        <v>46002</v>
      </c>
      <c r="O335" t="s">
        <v>12</v>
      </c>
      <c r="P335" t="s">
        <v>313</v>
      </c>
      <c r="Q335" t="s">
        <v>316</v>
      </c>
      <c r="R335" t="s">
        <v>317</v>
      </c>
      <c r="S335" t="s">
        <v>316</v>
      </c>
      <c r="T335" t="s">
        <v>1487</v>
      </c>
      <c r="U335">
        <v>46003</v>
      </c>
      <c r="V335">
        <v>46003</v>
      </c>
      <c r="W335" t="s">
        <v>316</v>
      </c>
      <c r="X335" t="s">
        <v>1488</v>
      </c>
      <c r="Y335" t="s">
        <v>319</v>
      </c>
      <c r="Z335" t="s">
        <v>320</v>
      </c>
      <c r="AA335" t="s">
        <v>316</v>
      </c>
      <c r="AB335" t="s">
        <v>316</v>
      </c>
    </row>
    <row r="336" spans="1:28">
      <c r="A336">
        <v>5</v>
      </c>
      <c r="B336" t="s">
        <v>5</v>
      </c>
      <c r="C336">
        <v>45994</v>
      </c>
      <c r="D336">
        <v>46007</v>
      </c>
      <c r="E336" t="s">
        <v>1470</v>
      </c>
      <c r="F336" t="s">
        <v>315</v>
      </c>
      <c r="G336">
        <v>50907</v>
      </c>
      <c r="H336" t="s">
        <v>1328</v>
      </c>
      <c r="I336" t="s">
        <v>503</v>
      </c>
      <c r="J336">
        <v>5</v>
      </c>
      <c r="L336">
        <v>31.5</v>
      </c>
      <c r="M336">
        <v>45994</v>
      </c>
      <c r="N336">
        <v>46006</v>
      </c>
      <c r="O336" t="s">
        <v>12</v>
      </c>
      <c r="P336" t="s">
        <v>313</v>
      </c>
      <c r="Q336" t="s">
        <v>316</v>
      </c>
      <c r="R336" t="s">
        <v>317</v>
      </c>
      <c r="S336" t="s">
        <v>316</v>
      </c>
      <c r="T336" t="s">
        <v>1494</v>
      </c>
      <c r="U336">
        <v>46006</v>
      </c>
      <c r="V336">
        <v>46006</v>
      </c>
      <c r="W336" t="s">
        <v>316</v>
      </c>
      <c r="X336" t="s">
        <v>319</v>
      </c>
      <c r="Y336" t="s">
        <v>319</v>
      </c>
      <c r="Z336" t="s">
        <v>320</v>
      </c>
      <c r="AA336" t="s">
        <v>316</v>
      </c>
      <c r="AB336" t="s">
        <v>316</v>
      </c>
    </row>
    <row r="337" spans="1:28">
      <c r="A337">
        <v>6</v>
      </c>
      <c r="B337" t="s">
        <v>5</v>
      </c>
      <c r="C337">
        <v>45994</v>
      </c>
      <c r="D337">
        <v>46007</v>
      </c>
      <c r="E337" t="s">
        <v>1470</v>
      </c>
      <c r="F337" t="s">
        <v>465</v>
      </c>
      <c r="G337">
        <v>50918</v>
      </c>
      <c r="H337" s="100" t="s">
        <v>1502</v>
      </c>
      <c r="I337" t="s">
        <v>306</v>
      </c>
      <c r="J337">
        <v>2</v>
      </c>
      <c r="K337">
        <v>2.75</v>
      </c>
      <c r="L337">
        <v>11</v>
      </c>
      <c r="M337">
        <v>45995</v>
      </c>
      <c r="N337" t="s">
        <v>320</v>
      </c>
      <c r="O337" t="s">
        <v>320</v>
      </c>
      <c r="P337" t="s">
        <v>320</v>
      </c>
      <c r="Q337" t="s">
        <v>320</v>
      </c>
      <c r="R337" t="s">
        <v>320</v>
      </c>
      <c r="S337" t="s">
        <v>320</v>
      </c>
      <c r="T337" t="s">
        <v>320</v>
      </c>
      <c r="U337" t="s">
        <v>320</v>
      </c>
      <c r="V337" t="s">
        <v>320</v>
      </c>
      <c r="W337" t="s">
        <v>320</v>
      </c>
      <c r="X337" t="s">
        <v>320</v>
      </c>
      <c r="Y337" t="s">
        <v>320</v>
      </c>
      <c r="Z337" t="s">
        <v>320</v>
      </c>
      <c r="AA337" t="s">
        <v>320</v>
      </c>
      <c r="AB337" t="s">
        <v>320</v>
      </c>
    </row>
    <row r="338" spans="1:28">
      <c r="A338">
        <v>7</v>
      </c>
      <c r="B338" t="s">
        <v>5</v>
      </c>
      <c r="C338">
        <v>45994</v>
      </c>
      <c r="D338">
        <v>46007</v>
      </c>
      <c r="E338" t="s">
        <v>1470</v>
      </c>
      <c r="F338" t="s">
        <v>317</v>
      </c>
      <c r="G338" t="s">
        <v>1510</v>
      </c>
      <c r="H338" t="s">
        <v>1511</v>
      </c>
      <c r="I338" t="s">
        <v>306</v>
      </c>
      <c r="J338">
        <v>0</v>
      </c>
      <c r="K338">
        <v>2.625</v>
      </c>
      <c r="L338">
        <v>10.5</v>
      </c>
      <c r="M338">
        <v>45994</v>
      </c>
    </row>
    <row r="339" spans="1:28">
      <c r="A339">
        <v>8</v>
      </c>
      <c r="B339" t="s">
        <v>5</v>
      </c>
      <c r="C339">
        <v>45994</v>
      </c>
      <c r="D339">
        <v>46007</v>
      </c>
      <c r="E339" t="s">
        <v>1470</v>
      </c>
      <c r="F339" t="s">
        <v>317</v>
      </c>
      <c r="G339">
        <v>87052</v>
      </c>
      <c r="H339" t="s">
        <v>1513</v>
      </c>
      <c r="I339" t="s">
        <v>306</v>
      </c>
      <c r="J339">
        <v>0</v>
      </c>
      <c r="K339">
        <v>0.625</v>
      </c>
      <c r="L339">
        <v>2.5</v>
      </c>
      <c r="M339">
        <v>45994</v>
      </c>
      <c r="N339">
        <v>46007</v>
      </c>
      <c r="O339" t="s">
        <v>320</v>
      </c>
      <c r="P339" t="s">
        <v>320</v>
      </c>
      <c r="Q339" t="s">
        <v>320</v>
      </c>
      <c r="R339" t="s">
        <v>320</v>
      </c>
      <c r="S339" t="s">
        <v>320</v>
      </c>
      <c r="T339" t="s">
        <v>320</v>
      </c>
      <c r="U339" t="s">
        <v>320</v>
      </c>
      <c r="V339" t="s">
        <v>320</v>
      </c>
      <c r="W339" t="s">
        <v>320</v>
      </c>
      <c r="X339" t="s">
        <v>320</v>
      </c>
      <c r="Y339" t="s">
        <v>320</v>
      </c>
      <c r="Z339" t="s">
        <v>320</v>
      </c>
      <c r="AA339" t="s">
        <v>320</v>
      </c>
      <c r="AB339" t="s">
        <v>320</v>
      </c>
    </row>
    <row r="340" spans="1:28">
      <c r="A340">
        <v>9</v>
      </c>
      <c r="B340" t="s">
        <v>671</v>
      </c>
      <c r="C340">
        <v>45994</v>
      </c>
      <c r="D340">
        <v>46007</v>
      </c>
      <c r="E340" t="s">
        <v>1470</v>
      </c>
      <c r="F340" t="s">
        <v>317</v>
      </c>
      <c r="G340">
        <v>49950</v>
      </c>
      <c r="H340" t="s">
        <v>1519</v>
      </c>
      <c r="I340" t="s">
        <v>306</v>
      </c>
      <c r="J340">
        <v>2</v>
      </c>
      <c r="K340">
        <v>3</v>
      </c>
      <c r="L340">
        <v>12</v>
      </c>
      <c r="M340">
        <v>45994</v>
      </c>
      <c r="N340">
        <v>46007</v>
      </c>
      <c r="O340" t="s">
        <v>320</v>
      </c>
      <c r="P340" t="s">
        <v>320</v>
      </c>
      <c r="Q340" t="s">
        <v>320</v>
      </c>
      <c r="R340" t="s">
        <v>320</v>
      </c>
      <c r="S340" t="s">
        <v>320</v>
      </c>
      <c r="T340" t="s">
        <v>320</v>
      </c>
      <c r="U340" t="s">
        <v>320</v>
      </c>
      <c r="V340" t="s">
        <v>320</v>
      </c>
      <c r="W340" t="s">
        <v>320</v>
      </c>
      <c r="X340" t="s">
        <v>320</v>
      </c>
      <c r="Y340" t="s">
        <v>320</v>
      </c>
      <c r="Z340" t="s">
        <v>320</v>
      </c>
      <c r="AA340" t="s">
        <v>320</v>
      </c>
      <c r="AB340" t="s">
        <v>320</v>
      </c>
    </row>
    <row r="341" spans="1:28">
      <c r="A341">
        <v>10</v>
      </c>
      <c r="B341" t="s">
        <v>671</v>
      </c>
      <c r="C341">
        <v>45994</v>
      </c>
      <c r="D341">
        <v>46007</v>
      </c>
      <c r="E341" t="s">
        <v>1470</v>
      </c>
      <c r="F341" t="s">
        <v>313</v>
      </c>
      <c r="G341">
        <v>48447</v>
      </c>
      <c r="H341" t="s">
        <v>1332</v>
      </c>
      <c r="I341" t="s">
        <v>503</v>
      </c>
      <c r="J341">
        <v>5</v>
      </c>
      <c r="L341">
        <v>13</v>
      </c>
      <c r="M341">
        <v>45996</v>
      </c>
      <c r="N341">
        <v>45999</v>
      </c>
      <c r="O341" t="s">
        <v>320</v>
      </c>
      <c r="P341" t="s">
        <v>320</v>
      </c>
      <c r="Q341" t="s">
        <v>320</v>
      </c>
      <c r="R341" t="s">
        <v>320</v>
      </c>
      <c r="S341" t="s">
        <v>320</v>
      </c>
      <c r="T341" t="s">
        <v>320</v>
      </c>
      <c r="U341" t="s">
        <v>320</v>
      </c>
      <c r="V341" t="s">
        <v>320</v>
      </c>
      <c r="W341" t="s">
        <v>320</v>
      </c>
      <c r="X341" t="s">
        <v>320</v>
      </c>
      <c r="Y341" t="s">
        <v>320</v>
      </c>
      <c r="Z341" t="s">
        <v>320</v>
      </c>
      <c r="AA341" t="s">
        <v>320</v>
      </c>
      <c r="AB341" t="s">
        <v>316</v>
      </c>
    </row>
    <row r="342" spans="1:28">
      <c r="A342">
        <v>11</v>
      </c>
      <c r="B342" t="s">
        <v>671</v>
      </c>
      <c r="C342">
        <v>45994</v>
      </c>
      <c r="D342">
        <v>46007</v>
      </c>
      <c r="E342" t="s">
        <v>1532</v>
      </c>
      <c r="F342" t="s">
        <v>313</v>
      </c>
      <c r="G342">
        <v>25952</v>
      </c>
      <c r="H342" t="s">
        <v>1533</v>
      </c>
      <c r="I342" t="s">
        <v>376</v>
      </c>
      <c r="J342">
        <v>2</v>
      </c>
      <c r="K342">
        <v>2.5</v>
      </c>
      <c r="L342">
        <v>10</v>
      </c>
      <c r="M342">
        <v>46000</v>
      </c>
      <c r="N342">
        <v>46001</v>
      </c>
      <c r="O342" t="s">
        <v>320</v>
      </c>
      <c r="P342" t="s">
        <v>320</v>
      </c>
      <c r="Q342" t="s">
        <v>320</v>
      </c>
      <c r="R342" t="s">
        <v>320</v>
      </c>
      <c r="S342" t="s">
        <v>320</v>
      </c>
      <c r="T342" t="s">
        <v>320</v>
      </c>
      <c r="U342" t="s">
        <v>320</v>
      </c>
      <c r="V342" t="s">
        <v>320</v>
      </c>
      <c r="W342" t="s">
        <v>320</v>
      </c>
      <c r="X342" t="s">
        <v>320</v>
      </c>
      <c r="Y342" t="s">
        <v>320</v>
      </c>
      <c r="Z342" t="s">
        <v>320</v>
      </c>
      <c r="AA342" t="s">
        <v>320</v>
      </c>
      <c r="AB342" t="s">
        <v>320</v>
      </c>
    </row>
    <row r="343" spans="1:28">
      <c r="A343">
        <v>12</v>
      </c>
      <c r="B343" t="s">
        <v>671</v>
      </c>
      <c r="C343">
        <v>45994</v>
      </c>
      <c r="D343">
        <v>46007</v>
      </c>
      <c r="E343" t="s">
        <v>1532</v>
      </c>
      <c r="F343" t="s">
        <v>313</v>
      </c>
      <c r="G343">
        <v>26436</v>
      </c>
      <c r="H343" t="s">
        <v>1537</v>
      </c>
      <c r="I343" t="s">
        <v>376</v>
      </c>
      <c r="J343">
        <v>2</v>
      </c>
      <c r="K343">
        <v>2.25</v>
      </c>
      <c r="L343">
        <v>9</v>
      </c>
      <c r="M343">
        <v>46002</v>
      </c>
      <c r="N343">
        <v>46002</v>
      </c>
      <c r="O343" t="s">
        <v>12</v>
      </c>
      <c r="P343" t="s">
        <v>315</v>
      </c>
      <c r="Q343" t="s">
        <v>316</v>
      </c>
      <c r="R343" t="s">
        <v>317</v>
      </c>
      <c r="S343" t="s">
        <v>316</v>
      </c>
      <c r="T343" t="s">
        <v>1538</v>
      </c>
      <c r="U343">
        <v>46003</v>
      </c>
      <c r="V343">
        <v>46003</v>
      </c>
      <c r="W343" t="s">
        <v>316</v>
      </c>
      <c r="X343" t="s">
        <v>319</v>
      </c>
      <c r="Y343" t="s">
        <v>319</v>
      </c>
      <c r="Z343" t="s">
        <v>320</v>
      </c>
      <c r="AA343" t="s">
        <v>316</v>
      </c>
      <c r="AB343" t="s">
        <v>316</v>
      </c>
    </row>
    <row r="344" spans="1:28">
      <c r="A344">
        <v>13</v>
      </c>
      <c r="B344" t="s">
        <v>671</v>
      </c>
      <c r="C344">
        <v>45994</v>
      </c>
      <c r="D344">
        <v>46007</v>
      </c>
      <c r="E344" t="s">
        <v>1532</v>
      </c>
      <c r="F344" t="s">
        <v>313</v>
      </c>
      <c r="G344">
        <v>26348</v>
      </c>
      <c r="H344" t="s">
        <v>1542</v>
      </c>
      <c r="I344" t="s">
        <v>1303</v>
      </c>
      <c r="J344">
        <v>0.5</v>
      </c>
      <c r="L344">
        <v>6</v>
      </c>
      <c r="M344">
        <v>46002</v>
      </c>
      <c r="N344" t="s">
        <v>320</v>
      </c>
      <c r="O344" t="s">
        <v>320</v>
      </c>
      <c r="P344" t="s">
        <v>320</v>
      </c>
      <c r="Q344" t="s">
        <v>320</v>
      </c>
      <c r="R344" t="s">
        <v>320</v>
      </c>
      <c r="S344" t="s">
        <v>320</v>
      </c>
      <c r="T344" t="s">
        <v>320</v>
      </c>
      <c r="U344" t="s">
        <v>320</v>
      </c>
      <c r="V344" t="s">
        <v>320</v>
      </c>
      <c r="W344" t="s">
        <v>320</v>
      </c>
      <c r="X344" t="s">
        <v>320</v>
      </c>
      <c r="Y344" t="s">
        <v>320</v>
      </c>
      <c r="Z344" t="s">
        <v>320</v>
      </c>
      <c r="AA344" t="s">
        <v>320</v>
      </c>
      <c r="AB344" t="s">
        <v>320</v>
      </c>
    </row>
    <row r="345" spans="1:28">
      <c r="A345">
        <v>14</v>
      </c>
      <c r="B345" t="s">
        <v>5</v>
      </c>
      <c r="C345">
        <v>45994</v>
      </c>
      <c r="D345">
        <v>46007</v>
      </c>
      <c r="E345" t="s">
        <v>1470</v>
      </c>
      <c r="F345" t="s">
        <v>315</v>
      </c>
      <c r="G345">
        <v>26417</v>
      </c>
      <c r="H345" t="s">
        <v>1547</v>
      </c>
      <c r="I345" t="s">
        <v>376</v>
      </c>
      <c r="J345">
        <v>0</v>
      </c>
      <c r="K345">
        <v>6.5</v>
      </c>
      <c r="L345">
        <v>26</v>
      </c>
      <c r="M345">
        <v>45996</v>
      </c>
      <c r="N345">
        <v>46002</v>
      </c>
      <c r="O345" t="s">
        <v>12</v>
      </c>
      <c r="P345" t="s">
        <v>313</v>
      </c>
      <c r="Q345" t="s">
        <v>316</v>
      </c>
      <c r="R345" t="s">
        <v>317</v>
      </c>
      <c r="S345" t="s">
        <v>316</v>
      </c>
      <c r="T345" t="s">
        <v>1548</v>
      </c>
      <c r="U345">
        <v>46003</v>
      </c>
      <c r="V345">
        <v>46003</v>
      </c>
      <c r="W345" t="s">
        <v>316</v>
      </c>
      <c r="X345" t="s">
        <v>319</v>
      </c>
      <c r="Y345" t="s">
        <v>319</v>
      </c>
      <c r="Z345" t="s">
        <v>320</v>
      </c>
      <c r="AA345" t="s">
        <v>316</v>
      </c>
      <c r="AB345" t="s">
        <v>316</v>
      </c>
    </row>
    <row r="346" spans="1:28">
      <c r="A346">
        <v>15</v>
      </c>
      <c r="B346" t="s">
        <v>671</v>
      </c>
      <c r="C346">
        <v>45994</v>
      </c>
      <c r="D346">
        <v>46007</v>
      </c>
      <c r="E346" t="s">
        <v>1532</v>
      </c>
      <c r="F346" t="s">
        <v>315</v>
      </c>
      <c r="G346" t="s">
        <v>1550</v>
      </c>
      <c r="H346" t="s">
        <v>1305</v>
      </c>
      <c r="I346" t="s">
        <v>348</v>
      </c>
      <c r="J346">
        <v>3</v>
      </c>
      <c r="L346">
        <v>3</v>
      </c>
      <c r="M346">
        <v>46007</v>
      </c>
      <c r="N346" t="s">
        <v>320</v>
      </c>
      <c r="O346" t="s">
        <v>320</v>
      </c>
      <c r="P346" t="s">
        <v>320</v>
      </c>
      <c r="Q346" t="s">
        <v>320</v>
      </c>
      <c r="R346" t="s">
        <v>320</v>
      </c>
      <c r="S346" t="s">
        <v>320</v>
      </c>
      <c r="T346" t="s">
        <v>320</v>
      </c>
      <c r="U346" t="s">
        <v>320</v>
      </c>
      <c r="V346" t="s">
        <v>320</v>
      </c>
      <c r="W346" t="s">
        <v>320</v>
      </c>
      <c r="X346" t="s">
        <v>320</v>
      </c>
      <c r="Y346" t="s">
        <v>320</v>
      </c>
      <c r="Z346" t="s">
        <v>320</v>
      </c>
      <c r="AA346" t="s">
        <v>320</v>
      </c>
      <c r="AB346" t="s">
        <v>320</v>
      </c>
    </row>
    <row r="347" spans="1:28">
      <c r="A347">
        <v>16</v>
      </c>
      <c r="B347" t="s">
        <v>671</v>
      </c>
      <c r="C347">
        <v>45994</v>
      </c>
      <c r="D347">
        <v>46007</v>
      </c>
      <c r="E347" t="s">
        <v>1532</v>
      </c>
      <c r="F347" t="s">
        <v>313</v>
      </c>
      <c r="G347">
        <v>44321</v>
      </c>
      <c r="H347" t="s">
        <v>1337</v>
      </c>
      <c r="I347" t="s">
        <v>399</v>
      </c>
      <c r="J347">
        <v>5</v>
      </c>
      <c r="M347">
        <v>46007</v>
      </c>
      <c r="N347" t="s">
        <v>320</v>
      </c>
      <c r="O347" t="s">
        <v>320</v>
      </c>
      <c r="P347" t="s">
        <v>320</v>
      </c>
      <c r="Q347" t="s">
        <v>320</v>
      </c>
      <c r="R347" t="s">
        <v>320</v>
      </c>
      <c r="S347" t="s">
        <v>320</v>
      </c>
      <c r="T347" t="s">
        <v>320</v>
      </c>
      <c r="U347" t="s">
        <v>320</v>
      </c>
      <c r="V347" t="s">
        <v>320</v>
      </c>
      <c r="W347" t="s">
        <v>320</v>
      </c>
      <c r="X347" t="s">
        <v>320</v>
      </c>
      <c r="Y347" t="s">
        <v>320</v>
      </c>
      <c r="Z347" t="s">
        <v>320</v>
      </c>
      <c r="AA347" t="s">
        <v>320</v>
      </c>
      <c r="AB347" t="s">
        <v>320</v>
      </c>
    </row>
    <row r="348" spans="1:28">
      <c r="A348">
        <v>1</v>
      </c>
      <c r="B348" t="s">
        <v>671</v>
      </c>
      <c r="C348">
        <v>46008</v>
      </c>
      <c r="D348">
        <v>46035</v>
      </c>
      <c r="E348" t="s">
        <v>1301</v>
      </c>
      <c r="F348" t="s">
        <v>465</v>
      </c>
      <c r="G348">
        <v>50907</v>
      </c>
      <c r="H348" t="s">
        <v>1328</v>
      </c>
      <c r="I348" t="s">
        <v>306</v>
      </c>
      <c r="J348">
        <v>1</v>
      </c>
      <c r="K348">
        <v>0.5</v>
      </c>
      <c r="L348">
        <v>2</v>
      </c>
      <c r="M348" t="s">
        <v>320</v>
      </c>
      <c r="N348" t="s">
        <v>320</v>
      </c>
      <c r="O348" t="s">
        <v>320</v>
      </c>
      <c r="P348" t="s">
        <v>320</v>
      </c>
      <c r="Q348" t="s">
        <v>320</v>
      </c>
      <c r="R348" t="s">
        <v>320</v>
      </c>
      <c r="S348" t="s">
        <v>320</v>
      </c>
      <c r="T348" t="s">
        <v>320</v>
      </c>
      <c r="U348" t="s">
        <v>320</v>
      </c>
      <c r="V348" t="s">
        <v>320</v>
      </c>
      <c r="W348" t="s">
        <v>320</v>
      </c>
      <c r="X348" t="s">
        <v>320</v>
      </c>
      <c r="Y348" t="s">
        <v>320</v>
      </c>
      <c r="Z348" t="s">
        <v>320</v>
      </c>
      <c r="AA348" t="s">
        <v>320</v>
      </c>
      <c r="AB348" t="s">
        <v>320</v>
      </c>
    </row>
    <row r="349" spans="1:28">
      <c r="A349">
        <v>2</v>
      </c>
      <c r="B349" t="s">
        <v>671</v>
      </c>
      <c r="C349">
        <v>46008</v>
      </c>
      <c r="D349">
        <v>46035</v>
      </c>
      <c r="E349" t="s">
        <v>1301</v>
      </c>
      <c r="F349" t="s">
        <v>465</v>
      </c>
      <c r="G349">
        <v>48447</v>
      </c>
      <c r="H349" t="s">
        <v>1332</v>
      </c>
      <c r="I349" t="s">
        <v>306</v>
      </c>
      <c r="J349">
        <v>2</v>
      </c>
      <c r="K349">
        <v>2.75</v>
      </c>
      <c r="L349">
        <v>11</v>
      </c>
      <c r="M349" t="s">
        <v>320</v>
      </c>
      <c r="N349" t="s">
        <v>320</v>
      </c>
      <c r="O349" t="s">
        <v>320</v>
      </c>
      <c r="P349" t="s">
        <v>320</v>
      </c>
      <c r="Q349" t="s">
        <v>320</v>
      </c>
      <c r="R349" t="s">
        <v>320</v>
      </c>
      <c r="S349" t="s">
        <v>320</v>
      </c>
      <c r="T349" t="s">
        <v>320</v>
      </c>
      <c r="U349" t="s">
        <v>320</v>
      </c>
      <c r="V349" t="s">
        <v>320</v>
      </c>
      <c r="W349" t="s">
        <v>320</v>
      </c>
      <c r="X349" t="s">
        <v>320</v>
      </c>
      <c r="Y349" t="s">
        <v>320</v>
      </c>
      <c r="Z349" t="s">
        <v>320</v>
      </c>
      <c r="AA349" t="s">
        <v>320</v>
      </c>
      <c r="AB349" t="s">
        <v>320</v>
      </c>
    </row>
    <row r="350" spans="1:28">
      <c r="A350">
        <v>3</v>
      </c>
      <c r="B350" t="s">
        <v>671</v>
      </c>
      <c r="C350">
        <v>46008</v>
      </c>
      <c r="D350">
        <v>46035</v>
      </c>
      <c r="E350" t="s">
        <v>1301</v>
      </c>
      <c r="F350" t="s">
        <v>313</v>
      </c>
      <c r="G350">
        <v>44321</v>
      </c>
      <c r="H350" t="s">
        <v>1337</v>
      </c>
      <c r="I350" t="s">
        <v>306</v>
      </c>
      <c r="J350">
        <v>5</v>
      </c>
      <c r="K350">
        <v>9</v>
      </c>
      <c r="L350">
        <v>37.25</v>
      </c>
      <c r="M350">
        <v>46008</v>
      </c>
      <c r="N350">
        <v>46015</v>
      </c>
      <c r="O350" t="s">
        <v>12</v>
      </c>
      <c r="P350" t="s">
        <v>315</v>
      </c>
      <c r="Q350" t="s">
        <v>316</v>
      </c>
      <c r="R350" t="s">
        <v>317</v>
      </c>
      <c r="S350" t="s">
        <v>316</v>
      </c>
      <c r="T350" t="s">
        <v>1338</v>
      </c>
      <c r="U350">
        <v>46021</v>
      </c>
      <c r="V350">
        <v>46021</v>
      </c>
      <c r="W350" t="s">
        <v>316</v>
      </c>
      <c r="X350" t="s">
        <v>319</v>
      </c>
      <c r="Y350" t="s">
        <v>319</v>
      </c>
      <c r="Z350" t="s">
        <v>320</v>
      </c>
      <c r="AA350" t="s">
        <v>316</v>
      </c>
      <c r="AB350" t="s">
        <v>316</v>
      </c>
    </row>
    <row r="351" spans="1:28">
      <c r="A351">
        <v>4</v>
      </c>
      <c r="B351" t="s">
        <v>671</v>
      </c>
      <c r="C351">
        <v>46008</v>
      </c>
      <c r="D351">
        <v>46035</v>
      </c>
      <c r="E351" t="s">
        <v>1301</v>
      </c>
      <c r="F351" t="s">
        <v>317</v>
      </c>
      <c r="G351">
        <v>49897</v>
      </c>
      <c r="H351" t="s">
        <v>1085</v>
      </c>
      <c r="I351" t="s">
        <v>399</v>
      </c>
      <c r="J351">
        <v>3</v>
      </c>
      <c r="K351">
        <v>10.37</v>
      </c>
      <c r="L351">
        <v>41.5</v>
      </c>
      <c r="M351">
        <v>46009</v>
      </c>
      <c r="N351" t="s">
        <v>320</v>
      </c>
      <c r="O351" t="s">
        <v>320</v>
      </c>
      <c r="P351" t="s">
        <v>320</v>
      </c>
      <c r="Q351" t="s">
        <v>320</v>
      </c>
      <c r="R351" t="s">
        <v>320</v>
      </c>
      <c r="S351" t="s">
        <v>320</v>
      </c>
      <c r="T351" t="s">
        <v>320</v>
      </c>
      <c r="U351" t="s">
        <v>320</v>
      </c>
      <c r="V351" t="s">
        <v>320</v>
      </c>
      <c r="W351" t="s">
        <v>320</v>
      </c>
      <c r="X351" t="s">
        <v>320</v>
      </c>
      <c r="Y351" t="s">
        <v>320</v>
      </c>
      <c r="Z351" t="s">
        <v>320</v>
      </c>
      <c r="AA351" t="s">
        <v>320</v>
      </c>
      <c r="AB351" t="s">
        <v>320</v>
      </c>
    </row>
    <row r="352" spans="1:28">
      <c r="A352">
        <v>5</v>
      </c>
      <c r="B352" t="s">
        <v>671</v>
      </c>
      <c r="C352">
        <v>46008</v>
      </c>
      <c r="D352">
        <v>46035</v>
      </c>
      <c r="E352" t="s">
        <v>1301</v>
      </c>
      <c r="F352" t="s">
        <v>317</v>
      </c>
      <c r="G352" t="s">
        <v>1115</v>
      </c>
      <c r="H352" t="s">
        <v>1185</v>
      </c>
      <c r="I352" t="s">
        <v>1303</v>
      </c>
      <c r="J352">
        <v>0</v>
      </c>
      <c r="K352">
        <v>1.5</v>
      </c>
      <c r="L352">
        <v>6</v>
      </c>
      <c r="M352">
        <v>46008</v>
      </c>
      <c r="N352" t="s">
        <v>320</v>
      </c>
      <c r="O352" t="s">
        <v>320</v>
      </c>
      <c r="P352" t="s">
        <v>320</v>
      </c>
      <c r="Q352" t="s">
        <v>320</v>
      </c>
      <c r="R352" t="s">
        <v>320</v>
      </c>
      <c r="S352" t="s">
        <v>320</v>
      </c>
      <c r="T352" t="s">
        <v>320</v>
      </c>
      <c r="U352" t="s">
        <v>320</v>
      </c>
      <c r="V352" t="s">
        <v>320</v>
      </c>
      <c r="W352" t="s">
        <v>320</v>
      </c>
      <c r="X352" t="s">
        <v>320</v>
      </c>
      <c r="Y352" t="s">
        <v>320</v>
      </c>
      <c r="Z352" t="s">
        <v>320</v>
      </c>
      <c r="AA352" t="s">
        <v>320</v>
      </c>
      <c r="AB352" t="s">
        <v>320</v>
      </c>
    </row>
    <row r="353" spans="1:28">
      <c r="A353">
        <v>6</v>
      </c>
      <c r="B353" t="s">
        <v>671</v>
      </c>
      <c r="C353">
        <v>46008</v>
      </c>
      <c r="D353">
        <v>46035</v>
      </c>
      <c r="E353" t="s">
        <v>1301</v>
      </c>
      <c r="F353" t="s">
        <v>1373</v>
      </c>
      <c r="G353">
        <v>24838</v>
      </c>
      <c r="H353" t="s">
        <v>1305</v>
      </c>
      <c r="I353" t="s">
        <v>376</v>
      </c>
      <c r="J353">
        <v>3</v>
      </c>
      <c r="K353">
        <v>5.12</v>
      </c>
      <c r="L353">
        <v>20.5</v>
      </c>
      <c r="M353">
        <v>46008</v>
      </c>
      <c r="N353">
        <v>45669</v>
      </c>
      <c r="O353" t="s">
        <v>12</v>
      </c>
      <c r="T353" t="s">
        <v>1374</v>
      </c>
      <c r="U353">
        <v>45669</v>
      </c>
      <c r="V353">
        <v>45669</v>
      </c>
      <c r="W353" t="s">
        <v>316</v>
      </c>
      <c r="X353" t="s">
        <v>319</v>
      </c>
      <c r="Y353" t="s">
        <v>319</v>
      </c>
      <c r="Z353" t="s">
        <v>320</v>
      </c>
      <c r="AA353" t="s">
        <v>316</v>
      </c>
      <c r="AB353" t="s">
        <v>1375</v>
      </c>
    </row>
    <row r="354" spans="1:28">
      <c r="A354">
        <v>7</v>
      </c>
      <c r="B354" t="s">
        <v>671</v>
      </c>
      <c r="C354">
        <v>46008</v>
      </c>
      <c r="D354">
        <v>46035</v>
      </c>
      <c r="E354" t="s">
        <v>1301</v>
      </c>
      <c r="F354" t="s">
        <v>315</v>
      </c>
      <c r="G354">
        <v>25869</v>
      </c>
      <c r="H354" t="s">
        <v>1307</v>
      </c>
      <c r="I354" t="s">
        <v>376</v>
      </c>
      <c r="J354">
        <v>5</v>
      </c>
      <c r="K354">
        <v>9.8699999999999992</v>
      </c>
      <c r="L354">
        <v>39.5</v>
      </c>
      <c r="M354">
        <v>46009</v>
      </c>
      <c r="N354">
        <v>46015</v>
      </c>
      <c r="O354" t="s">
        <v>12</v>
      </c>
      <c r="P354" t="s">
        <v>313</v>
      </c>
      <c r="Q354" t="s">
        <v>316</v>
      </c>
      <c r="R354" t="s">
        <v>317</v>
      </c>
      <c r="S354" t="s">
        <v>316</v>
      </c>
      <c r="T354" t="s">
        <v>1390</v>
      </c>
      <c r="U354">
        <v>46022</v>
      </c>
      <c r="V354">
        <v>46023</v>
      </c>
      <c r="W354" t="s">
        <v>316</v>
      </c>
      <c r="X354" t="s">
        <v>319</v>
      </c>
      <c r="Y354" t="s">
        <v>319</v>
      </c>
      <c r="Z354" t="s">
        <v>320</v>
      </c>
      <c r="AA354" t="s">
        <v>316</v>
      </c>
      <c r="AB354" t="s">
        <v>316</v>
      </c>
    </row>
    <row r="355" spans="1:28">
      <c r="A355">
        <v>8</v>
      </c>
      <c r="B355" t="s">
        <v>671</v>
      </c>
      <c r="C355">
        <v>46008</v>
      </c>
      <c r="D355">
        <v>46035</v>
      </c>
      <c r="E355" t="s">
        <v>1301</v>
      </c>
      <c r="F355" t="s">
        <v>1309</v>
      </c>
      <c r="G355" t="s">
        <v>1169</v>
      </c>
      <c r="H355" s="100" t="s">
        <v>1170</v>
      </c>
      <c r="I355" t="s">
        <v>1303</v>
      </c>
      <c r="J355">
        <v>0</v>
      </c>
      <c r="K355">
        <v>5.62</v>
      </c>
      <c r="L355">
        <v>22.5</v>
      </c>
      <c r="M355">
        <v>46009</v>
      </c>
      <c r="N355" t="s">
        <v>320</v>
      </c>
      <c r="O355" t="s">
        <v>320</v>
      </c>
      <c r="P355" t="s">
        <v>320</v>
      </c>
      <c r="Q355" t="s">
        <v>320</v>
      </c>
      <c r="R355" t="s">
        <v>320</v>
      </c>
      <c r="S355" t="s">
        <v>320</v>
      </c>
      <c r="T355" t="s">
        <v>320</v>
      </c>
      <c r="U355" t="s">
        <v>320</v>
      </c>
      <c r="V355" t="s">
        <v>320</v>
      </c>
      <c r="W355" t="s">
        <v>320</v>
      </c>
      <c r="X355" t="s">
        <v>320</v>
      </c>
      <c r="Y355" t="s">
        <v>320</v>
      </c>
      <c r="Z355" t="s">
        <v>320</v>
      </c>
      <c r="AA355" t="s">
        <v>320</v>
      </c>
      <c r="AB355" t="s">
        <v>320</v>
      </c>
    </row>
    <row r="356" spans="1:28">
      <c r="A356">
        <v>9</v>
      </c>
      <c r="B356" t="s">
        <v>671</v>
      </c>
      <c r="C356">
        <v>46008</v>
      </c>
      <c r="D356">
        <v>46035</v>
      </c>
      <c r="E356" t="s">
        <v>1301</v>
      </c>
      <c r="F356" t="s">
        <v>313</v>
      </c>
      <c r="G356">
        <v>49698</v>
      </c>
      <c r="H356" t="s">
        <v>1418</v>
      </c>
      <c r="I356" t="s">
        <v>306</v>
      </c>
      <c r="J356">
        <v>3</v>
      </c>
      <c r="K356">
        <v>8</v>
      </c>
      <c r="L356">
        <v>32</v>
      </c>
      <c r="M356">
        <v>46014</v>
      </c>
      <c r="N356">
        <v>46020</v>
      </c>
      <c r="O356" t="s">
        <v>12</v>
      </c>
      <c r="P356" t="s">
        <v>315</v>
      </c>
      <c r="Q356" t="s">
        <v>316</v>
      </c>
      <c r="R356" t="s">
        <v>317</v>
      </c>
      <c r="S356" t="s">
        <v>316</v>
      </c>
      <c r="T356" t="s">
        <v>1419</v>
      </c>
      <c r="U356">
        <v>46021</v>
      </c>
      <c r="V356">
        <v>46021</v>
      </c>
      <c r="W356" t="s">
        <v>316</v>
      </c>
      <c r="X356" t="s">
        <v>319</v>
      </c>
      <c r="Y356" t="s">
        <v>319</v>
      </c>
      <c r="Z356" t="s">
        <v>320</v>
      </c>
      <c r="AA356" t="s">
        <v>316</v>
      </c>
      <c r="AB356" t="s">
        <v>316</v>
      </c>
    </row>
    <row r="357" spans="1:28">
      <c r="A357">
        <v>10</v>
      </c>
      <c r="B357" t="s">
        <v>671</v>
      </c>
      <c r="C357">
        <v>46008</v>
      </c>
      <c r="D357">
        <v>46035</v>
      </c>
      <c r="E357" t="s">
        <v>1301</v>
      </c>
      <c r="F357" t="s">
        <v>315</v>
      </c>
      <c r="G357">
        <v>49284</v>
      </c>
      <c r="H357" t="s">
        <v>1429</v>
      </c>
      <c r="I357" t="s">
        <v>306</v>
      </c>
      <c r="J357">
        <v>3</v>
      </c>
      <c r="K357">
        <v>7.75</v>
      </c>
      <c r="L357">
        <v>31</v>
      </c>
      <c r="M357">
        <v>46014</v>
      </c>
      <c r="N357">
        <v>46021</v>
      </c>
      <c r="O357" t="s">
        <v>12</v>
      </c>
      <c r="P357" t="s">
        <v>313</v>
      </c>
      <c r="Q357" t="s">
        <v>316</v>
      </c>
      <c r="R357" t="s">
        <v>317</v>
      </c>
      <c r="S357" t="s">
        <v>316</v>
      </c>
      <c r="T357" t="s">
        <v>1430</v>
      </c>
      <c r="U357">
        <v>46022</v>
      </c>
      <c r="V357">
        <v>46023</v>
      </c>
      <c r="W357" t="s">
        <v>316</v>
      </c>
      <c r="X357" t="s">
        <v>319</v>
      </c>
      <c r="Y357" t="s">
        <v>319</v>
      </c>
      <c r="Z357" t="s">
        <v>320</v>
      </c>
      <c r="AA357" t="s">
        <v>316</v>
      </c>
      <c r="AB357" t="s">
        <v>316</v>
      </c>
    </row>
    <row r="358" spans="1:28">
      <c r="A358">
        <v>11</v>
      </c>
      <c r="B358" t="s">
        <v>671</v>
      </c>
      <c r="C358">
        <v>46008</v>
      </c>
      <c r="D358">
        <v>46035</v>
      </c>
      <c r="E358" t="s">
        <v>1301</v>
      </c>
      <c r="F358" t="s">
        <v>315</v>
      </c>
      <c r="G358">
        <v>48709</v>
      </c>
      <c r="H358" t="s">
        <v>1439</v>
      </c>
      <c r="I358" t="s">
        <v>380</v>
      </c>
      <c r="J358">
        <v>5</v>
      </c>
      <c r="K358">
        <v>6</v>
      </c>
      <c r="L358">
        <v>24</v>
      </c>
      <c r="M358">
        <v>46022</v>
      </c>
      <c r="N358">
        <v>46035</v>
      </c>
      <c r="O358" t="s">
        <v>12</v>
      </c>
      <c r="P358" t="s">
        <v>320</v>
      </c>
      <c r="Q358" t="s">
        <v>320</v>
      </c>
      <c r="R358" t="s">
        <v>320</v>
      </c>
      <c r="S358" t="s">
        <v>320</v>
      </c>
      <c r="T358" t="s">
        <v>320</v>
      </c>
      <c r="U358" t="s">
        <v>320</v>
      </c>
      <c r="V358" t="s">
        <v>320</v>
      </c>
      <c r="W358" t="s">
        <v>320</v>
      </c>
      <c r="X358" t="s">
        <v>320</v>
      </c>
      <c r="Y358" t="s">
        <v>320</v>
      </c>
      <c r="Z358" t="s">
        <v>320</v>
      </c>
      <c r="AA358" t="s">
        <v>320</v>
      </c>
      <c r="AB358" t="s">
        <v>320</v>
      </c>
    </row>
    <row r="359" spans="1:28">
      <c r="A359">
        <v>12</v>
      </c>
      <c r="B359" t="s">
        <v>671</v>
      </c>
      <c r="C359">
        <v>46008</v>
      </c>
      <c r="D359">
        <v>46035</v>
      </c>
      <c r="E359" t="s">
        <v>1301</v>
      </c>
      <c r="F359" t="s">
        <v>313</v>
      </c>
      <c r="G359">
        <v>50372</v>
      </c>
      <c r="H359" t="s">
        <v>1449</v>
      </c>
      <c r="I359" t="s">
        <v>306</v>
      </c>
      <c r="J359">
        <v>3</v>
      </c>
      <c r="K359">
        <v>4.5</v>
      </c>
      <c r="L359">
        <v>18</v>
      </c>
      <c r="M359">
        <v>46022</v>
      </c>
      <c r="N359">
        <v>46028</v>
      </c>
      <c r="O359" t="s">
        <v>12</v>
      </c>
      <c r="P359" t="s">
        <v>315</v>
      </c>
      <c r="Q359" t="s">
        <v>316</v>
      </c>
      <c r="R359" t="s">
        <v>317</v>
      </c>
      <c r="S359" t="s">
        <v>316</v>
      </c>
      <c r="T359" t="s">
        <v>1450</v>
      </c>
      <c r="U359">
        <v>46031</v>
      </c>
      <c r="V359">
        <v>46031</v>
      </c>
      <c r="W359" t="s">
        <v>316</v>
      </c>
      <c r="X359" t="s">
        <v>319</v>
      </c>
      <c r="Y359" t="s">
        <v>319</v>
      </c>
      <c r="Z359" t="s">
        <v>320</v>
      </c>
      <c r="AA359" t="s">
        <v>316</v>
      </c>
      <c r="AB359" t="s">
        <v>316</v>
      </c>
    </row>
    <row r="360" spans="1:28">
      <c r="A360">
        <v>13</v>
      </c>
      <c r="B360" t="s">
        <v>671</v>
      </c>
      <c r="C360">
        <v>46008</v>
      </c>
      <c r="D360">
        <v>46035</v>
      </c>
      <c r="E360" t="s">
        <v>1301</v>
      </c>
      <c r="F360" t="s">
        <v>313</v>
      </c>
      <c r="G360" t="s">
        <v>1312</v>
      </c>
      <c r="H360" t="s">
        <v>1313</v>
      </c>
      <c r="I360" t="s">
        <v>376</v>
      </c>
      <c r="J360">
        <v>0</v>
      </c>
      <c r="K360">
        <v>1</v>
      </c>
      <c r="L360">
        <v>4</v>
      </c>
      <c r="M360">
        <v>46029</v>
      </c>
      <c r="N360">
        <v>46029</v>
      </c>
      <c r="O360" t="s">
        <v>320</v>
      </c>
      <c r="P360" t="s">
        <v>320</v>
      </c>
      <c r="Q360" t="s">
        <v>320</v>
      </c>
      <c r="R360" t="s">
        <v>320</v>
      </c>
      <c r="S360" t="s">
        <v>320</v>
      </c>
      <c r="T360" t="s">
        <v>320</v>
      </c>
      <c r="U360" t="s">
        <v>320</v>
      </c>
      <c r="V360" t="s">
        <v>320</v>
      </c>
      <c r="W360" t="s">
        <v>320</v>
      </c>
      <c r="X360" t="s">
        <v>320</v>
      </c>
      <c r="Y360" t="s">
        <v>320</v>
      </c>
      <c r="Z360" t="s">
        <v>320</v>
      </c>
      <c r="AA360" t="s">
        <v>320</v>
      </c>
      <c r="AB360" t="s">
        <v>320</v>
      </c>
    </row>
    <row r="361" spans="1:28">
      <c r="A361">
        <v>14</v>
      </c>
      <c r="B361" t="s">
        <v>671</v>
      </c>
      <c r="C361">
        <v>46008</v>
      </c>
      <c r="D361">
        <v>46035</v>
      </c>
      <c r="E361" t="s">
        <v>1464</v>
      </c>
      <c r="F361" t="s">
        <v>313</v>
      </c>
      <c r="G361">
        <v>26570</v>
      </c>
      <c r="H361" t="s">
        <v>1080</v>
      </c>
      <c r="I361" t="s">
        <v>579</v>
      </c>
      <c r="J361">
        <v>0</v>
      </c>
      <c r="K361">
        <v>1.5</v>
      </c>
      <c r="L361">
        <v>6</v>
      </c>
      <c r="M361">
        <v>46034</v>
      </c>
      <c r="N361">
        <v>46035</v>
      </c>
      <c r="O361" t="s">
        <v>12</v>
      </c>
      <c r="P361" t="s">
        <v>315</v>
      </c>
      <c r="Q361" t="s">
        <v>316</v>
      </c>
      <c r="R361" t="s">
        <v>317</v>
      </c>
      <c r="S361" t="s">
        <v>316</v>
      </c>
      <c r="T361" t="s">
        <v>1081</v>
      </c>
      <c r="U361">
        <v>46035</v>
      </c>
      <c r="V361">
        <v>46035</v>
      </c>
      <c r="W361" t="s">
        <v>316</v>
      </c>
      <c r="X361" t="s">
        <v>319</v>
      </c>
      <c r="Y361" t="s">
        <v>319</v>
      </c>
      <c r="Z361" t="s">
        <v>320</v>
      </c>
      <c r="AA361" t="s">
        <v>316</v>
      </c>
      <c r="AB361" t="s">
        <v>316</v>
      </c>
    </row>
    <row r="362" spans="1:28">
      <c r="A362">
        <v>15</v>
      </c>
      <c r="B362" t="s">
        <v>671</v>
      </c>
      <c r="C362">
        <v>46008</v>
      </c>
      <c r="D362">
        <v>46035</v>
      </c>
      <c r="E362" t="s">
        <v>1301</v>
      </c>
      <c r="F362" t="s">
        <v>315</v>
      </c>
      <c r="G362" t="s">
        <v>1468</v>
      </c>
      <c r="H362" t="s">
        <v>1469</v>
      </c>
      <c r="I362" t="s">
        <v>380</v>
      </c>
      <c r="J362">
        <v>2</v>
      </c>
      <c r="K362">
        <v>2.5</v>
      </c>
      <c r="L362">
        <v>10</v>
      </c>
      <c r="M362">
        <v>46031</v>
      </c>
      <c r="N362">
        <v>46035</v>
      </c>
      <c r="O362" t="s">
        <v>12</v>
      </c>
      <c r="P362" t="s">
        <v>320</v>
      </c>
      <c r="Q362" t="s">
        <v>320</v>
      </c>
      <c r="R362" t="s">
        <v>320</v>
      </c>
      <c r="S362" t="s">
        <v>320</v>
      </c>
      <c r="T362" t="s">
        <v>320</v>
      </c>
      <c r="U362" t="s">
        <v>320</v>
      </c>
      <c r="V362" t="s">
        <v>320</v>
      </c>
      <c r="W362" t="s">
        <v>320</v>
      </c>
      <c r="X362" t="s">
        <v>320</v>
      </c>
      <c r="Y362" t="s">
        <v>320</v>
      </c>
      <c r="Z362" t="s">
        <v>320</v>
      </c>
      <c r="AA362" t="s">
        <v>320</v>
      </c>
      <c r="AB362" t="s">
        <v>320</v>
      </c>
    </row>
    <row r="363" spans="1:28">
      <c r="A363">
        <v>1</v>
      </c>
      <c r="B363" t="s">
        <v>671</v>
      </c>
      <c r="C363">
        <v>46036</v>
      </c>
      <c r="D363">
        <v>46049</v>
      </c>
      <c r="E363" t="s">
        <v>1079</v>
      </c>
      <c r="F363" t="s">
        <v>313</v>
      </c>
      <c r="G363">
        <v>26570</v>
      </c>
      <c r="H363" t="s">
        <v>1080</v>
      </c>
      <c r="I363" t="s">
        <v>376</v>
      </c>
      <c r="J363">
        <v>2</v>
      </c>
      <c r="K363">
        <v>1.5</v>
      </c>
      <c r="L363">
        <v>6</v>
      </c>
      <c r="M363">
        <v>46034</v>
      </c>
      <c r="N363">
        <v>46035</v>
      </c>
      <c r="O363" t="s">
        <v>12</v>
      </c>
      <c r="P363" t="s">
        <v>315</v>
      </c>
      <c r="Q363" t="s">
        <v>316</v>
      </c>
      <c r="R363" t="s">
        <v>317</v>
      </c>
      <c r="S363" t="s">
        <v>316</v>
      </c>
      <c r="T363" t="s">
        <v>1081</v>
      </c>
      <c r="U363">
        <v>46035</v>
      </c>
      <c r="V363">
        <v>46035</v>
      </c>
      <c r="W363" t="s">
        <v>316</v>
      </c>
      <c r="X363" t="s">
        <v>319</v>
      </c>
      <c r="Y363" t="s">
        <v>319</v>
      </c>
      <c r="Z363" t="s">
        <v>320</v>
      </c>
      <c r="AA363" t="s">
        <v>316</v>
      </c>
      <c r="AB363" t="s">
        <v>316</v>
      </c>
    </row>
    <row r="364" spans="1:28">
      <c r="A364">
        <v>2</v>
      </c>
      <c r="B364" t="s">
        <v>671</v>
      </c>
      <c r="C364">
        <v>46036</v>
      </c>
      <c r="D364">
        <v>46049</v>
      </c>
      <c r="E364" t="s">
        <v>1079</v>
      </c>
      <c r="F364" t="s">
        <v>317</v>
      </c>
      <c r="G364">
        <v>49897</v>
      </c>
      <c r="H364" t="s">
        <v>1085</v>
      </c>
      <c r="I364" t="s">
        <v>306</v>
      </c>
      <c r="J364">
        <v>3</v>
      </c>
      <c r="K364">
        <v>6.625</v>
      </c>
      <c r="L364">
        <v>26.5</v>
      </c>
      <c r="O364" t="s">
        <v>320</v>
      </c>
      <c r="P364" t="s">
        <v>320</v>
      </c>
      <c r="Q364" t="s">
        <v>320</v>
      </c>
      <c r="R364" t="s">
        <v>320</v>
      </c>
      <c r="S364" t="s">
        <v>320</v>
      </c>
      <c r="T364" t="s">
        <v>320</v>
      </c>
      <c r="U364" t="s">
        <v>320</v>
      </c>
      <c r="V364" t="s">
        <v>320</v>
      </c>
      <c r="W364" t="s">
        <v>320</v>
      </c>
      <c r="X364" t="s">
        <v>320</v>
      </c>
      <c r="Y364" t="s">
        <v>320</v>
      </c>
      <c r="Z364" t="s">
        <v>320</v>
      </c>
      <c r="AA364" t="s">
        <v>320</v>
      </c>
      <c r="AB364" t="s">
        <v>320</v>
      </c>
    </row>
    <row r="365" spans="1:28">
      <c r="A365">
        <v>3</v>
      </c>
      <c r="B365" t="s">
        <v>671</v>
      </c>
      <c r="C365">
        <v>46036</v>
      </c>
      <c r="D365">
        <v>46049</v>
      </c>
      <c r="E365" t="s">
        <v>1079</v>
      </c>
      <c r="F365" t="s">
        <v>313</v>
      </c>
      <c r="G365">
        <v>51492</v>
      </c>
      <c r="H365" t="s">
        <v>1094</v>
      </c>
      <c r="I365" t="s">
        <v>306</v>
      </c>
      <c r="J365">
        <v>5</v>
      </c>
      <c r="K365">
        <v>3.5</v>
      </c>
      <c r="L365">
        <v>14</v>
      </c>
      <c r="M365">
        <v>46036</v>
      </c>
      <c r="N365">
        <v>46045</v>
      </c>
      <c r="O365" t="s">
        <v>12</v>
      </c>
      <c r="P365" t="s">
        <v>315</v>
      </c>
      <c r="Q365" t="s">
        <v>316</v>
      </c>
      <c r="R365" t="s">
        <v>317</v>
      </c>
      <c r="S365" t="s">
        <v>316</v>
      </c>
      <c r="T365" t="s">
        <v>320</v>
      </c>
      <c r="U365" t="s">
        <v>320</v>
      </c>
      <c r="V365" t="s">
        <v>320</v>
      </c>
      <c r="W365" t="s">
        <v>320</v>
      </c>
      <c r="X365" t="s">
        <v>320</v>
      </c>
      <c r="Y365" t="s">
        <v>320</v>
      </c>
      <c r="Z365" t="s">
        <v>320</v>
      </c>
      <c r="AA365" t="s">
        <v>320</v>
      </c>
      <c r="AB365" t="s">
        <v>320</v>
      </c>
    </row>
    <row r="366" spans="1:28">
      <c r="A366">
        <v>4</v>
      </c>
      <c r="B366" t="s">
        <v>671</v>
      </c>
      <c r="C366">
        <v>46036</v>
      </c>
      <c r="D366">
        <v>46049</v>
      </c>
      <c r="E366" t="s">
        <v>1079</v>
      </c>
      <c r="F366" t="s">
        <v>315</v>
      </c>
      <c r="G366" t="s">
        <v>1102</v>
      </c>
      <c r="H366" t="s">
        <v>1103</v>
      </c>
      <c r="I366" t="s">
        <v>306</v>
      </c>
      <c r="J366">
        <v>0</v>
      </c>
      <c r="K366">
        <v>3.5</v>
      </c>
      <c r="L366">
        <v>14</v>
      </c>
      <c r="M366">
        <v>46036</v>
      </c>
      <c r="N366">
        <v>46041</v>
      </c>
      <c r="O366" t="s">
        <v>12</v>
      </c>
      <c r="P366" t="s">
        <v>313</v>
      </c>
      <c r="Q366" t="s">
        <v>316</v>
      </c>
      <c r="R366" t="s">
        <v>317</v>
      </c>
      <c r="S366" t="s">
        <v>316</v>
      </c>
      <c r="T366" t="s">
        <v>1104</v>
      </c>
      <c r="U366">
        <v>46043</v>
      </c>
      <c r="V366">
        <v>46043</v>
      </c>
      <c r="W366" t="s">
        <v>316</v>
      </c>
      <c r="X366" t="s">
        <v>319</v>
      </c>
      <c r="Y366" t="s">
        <v>319</v>
      </c>
      <c r="Z366" t="s">
        <v>320</v>
      </c>
      <c r="AA366" t="s">
        <v>316</v>
      </c>
      <c r="AB366" t="s">
        <v>316</v>
      </c>
    </row>
    <row r="367" spans="1:28">
      <c r="A367">
        <v>5</v>
      </c>
      <c r="B367" t="s">
        <v>671</v>
      </c>
      <c r="C367">
        <v>46036</v>
      </c>
      <c r="D367">
        <v>46049</v>
      </c>
      <c r="E367" t="s">
        <v>1079</v>
      </c>
      <c r="F367" t="s">
        <v>317</v>
      </c>
      <c r="G367" t="s">
        <v>1110</v>
      </c>
      <c r="H367" s="100" t="s">
        <v>1111</v>
      </c>
      <c r="I367" t="s">
        <v>376</v>
      </c>
      <c r="J367">
        <v>0</v>
      </c>
      <c r="K367">
        <v>0</v>
      </c>
      <c r="L367">
        <v>0</v>
      </c>
      <c r="O367" t="s">
        <v>320</v>
      </c>
      <c r="P367" t="s">
        <v>320</v>
      </c>
      <c r="Q367" t="s">
        <v>320</v>
      </c>
      <c r="R367" t="s">
        <v>320</v>
      </c>
      <c r="S367" t="s">
        <v>320</v>
      </c>
      <c r="T367" t="s">
        <v>320</v>
      </c>
      <c r="U367" t="s">
        <v>320</v>
      </c>
      <c r="V367" t="s">
        <v>320</v>
      </c>
      <c r="W367" t="s">
        <v>320</v>
      </c>
      <c r="X367" t="s">
        <v>320</v>
      </c>
      <c r="Y367" t="s">
        <v>320</v>
      </c>
      <c r="Z367" t="s">
        <v>320</v>
      </c>
      <c r="AA367" t="s">
        <v>320</v>
      </c>
      <c r="AB367" t="s">
        <v>320</v>
      </c>
    </row>
    <row r="368" spans="1:28">
      <c r="A368">
        <v>6</v>
      </c>
      <c r="B368" t="s">
        <v>671</v>
      </c>
      <c r="C368">
        <v>46036</v>
      </c>
      <c r="D368">
        <v>46049</v>
      </c>
      <c r="E368" t="s">
        <v>1079</v>
      </c>
      <c r="F368" t="s">
        <v>317</v>
      </c>
      <c r="G368" t="s">
        <v>1115</v>
      </c>
      <c r="H368" t="s">
        <v>1116</v>
      </c>
      <c r="I368" t="s">
        <v>1117</v>
      </c>
      <c r="J368">
        <v>0</v>
      </c>
      <c r="K368">
        <v>2</v>
      </c>
      <c r="L368">
        <v>8</v>
      </c>
      <c r="O368" t="s">
        <v>320</v>
      </c>
      <c r="P368" t="s">
        <v>320</v>
      </c>
      <c r="Q368" t="s">
        <v>320</v>
      </c>
      <c r="R368" t="s">
        <v>320</v>
      </c>
      <c r="S368" t="s">
        <v>320</v>
      </c>
      <c r="T368" t="s">
        <v>320</v>
      </c>
      <c r="U368" t="s">
        <v>320</v>
      </c>
      <c r="V368" t="s">
        <v>320</v>
      </c>
      <c r="W368" t="s">
        <v>320</v>
      </c>
      <c r="X368" t="s">
        <v>320</v>
      </c>
      <c r="Y368" t="s">
        <v>320</v>
      </c>
      <c r="Z368" t="s">
        <v>320</v>
      </c>
      <c r="AA368" t="s">
        <v>320</v>
      </c>
      <c r="AB368" t="s">
        <v>320</v>
      </c>
    </row>
    <row r="369" spans="1:28">
      <c r="A369">
        <v>7</v>
      </c>
      <c r="B369" t="s">
        <v>671</v>
      </c>
      <c r="C369">
        <v>46036</v>
      </c>
      <c r="D369">
        <v>46049</v>
      </c>
      <c r="E369" t="s">
        <v>1079</v>
      </c>
      <c r="F369" t="s">
        <v>315</v>
      </c>
      <c r="G369">
        <v>26621</v>
      </c>
      <c r="H369" t="s">
        <v>1120</v>
      </c>
      <c r="I369" t="s">
        <v>376</v>
      </c>
      <c r="J369">
        <v>0</v>
      </c>
      <c r="K369">
        <v>0.25</v>
      </c>
      <c r="L369">
        <v>1</v>
      </c>
      <c r="M369">
        <v>46041</v>
      </c>
      <c r="N369">
        <v>46041</v>
      </c>
      <c r="O369" t="s">
        <v>12</v>
      </c>
      <c r="P369" t="s">
        <v>313</v>
      </c>
      <c r="Q369" t="s">
        <v>316</v>
      </c>
      <c r="R369" t="s">
        <v>317</v>
      </c>
      <c r="S369" t="s">
        <v>316</v>
      </c>
      <c r="T369" t="s">
        <v>1121</v>
      </c>
      <c r="U369">
        <v>46043</v>
      </c>
      <c r="V369">
        <v>46043</v>
      </c>
      <c r="W369" t="s">
        <v>316</v>
      </c>
      <c r="X369" t="s">
        <v>319</v>
      </c>
      <c r="Y369" t="s">
        <v>319</v>
      </c>
      <c r="Z369" t="s">
        <v>320</v>
      </c>
      <c r="AA369" t="s">
        <v>316</v>
      </c>
      <c r="AB369" t="s">
        <v>316</v>
      </c>
    </row>
    <row r="370" spans="1:28">
      <c r="A370">
        <v>8</v>
      </c>
      <c r="B370" t="s">
        <v>671</v>
      </c>
      <c r="C370">
        <v>46036</v>
      </c>
      <c r="D370">
        <v>46049</v>
      </c>
      <c r="E370" t="s">
        <v>1079</v>
      </c>
      <c r="F370" t="s">
        <v>315</v>
      </c>
      <c r="G370">
        <v>51499</v>
      </c>
      <c r="H370" t="s">
        <v>583</v>
      </c>
      <c r="I370" t="s">
        <v>306</v>
      </c>
      <c r="J370">
        <v>2</v>
      </c>
      <c r="K370">
        <v>1.75</v>
      </c>
      <c r="L370">
        <v>7</v>
      </c>
      <c r="M370" t="s">
        <v>320</v>
      </c>
      <c r="N370" t="s">
        <v>320</v>
      </c>
      <c r="O370" t="s">
        <v>320</v>
      </c>
      <c r="P370" t="s">
        <v>320</v>
      </c>
      <c r="Q370" t="s">
        <v>320</v>
      </c>
      <c r="R370" t="s">
        <v>320</v>
      </c>
      <c r="S370" t="s">
        <v>320</v>
      </c>
      <c r="T370" t="s">
        <v>320</v>
      </c>
      <c r="U370" t="s">
        <v>320</v>
      </c>
      <c r="V370" t="s">
        <v>320</v>
      </c>
      <c r="W370" t="s">
        <v>320</v>
      </c>
      <c r="X370" t="s">
        <v>320</v>
      </c>
      <c r="Y370" t="s">
        <v>320</v>
      </c>
      <c r="Z370" t="s">
        <v>320</v>
      </c>
      <c r="AA370" t="s">
        <v>320</v>
      </c>
      <c r="AB370" t="s">
        <v>320</v>
      </c>
    </row>
    <row r="371" spans="1:28">
      <c r="A371">
        <v>9</v>
      </c>
      <c r="B371" t="s">
        <v>671</v>
      </c>
      <c r="C371">
        <v>46036</v>
      </c>
      <c r="D371">
        <v>46049</v>
      </c>
      <c r="E371" t="s">
        <v>1079</v>
      </c>
      <c r="F371" t="s">
        <v>313</v>
      </c>
      <c r="G371">
        <v>51498</v>
      </c>
      <c r="H371" t="s">
        <v>588</v>
      </c>
      <c r="I371" t="s">
        <v>306</v>
      </c>
      <c r="J371">
        <v>1</v>
      </c>
      <c r="K371">
        <v>0.5</v>
      </c>
      <c r="L371">
        <v>2</v>
      </c>
      <c r="M371" t="s">
        <v>320</v>
      </c>
      <c r="N371" t="s">
        <v>320</v>
      </c>
      <c r="O371" t="s">
        <v>320</v>
      </c>
      <c r="P371" t="s">
        <v>320</v>
      </c>
      <c r="Q371" t="s">
        <v>320</v>
      </c>
      <c r="R371" t="s">
        <v>320</v>
      </c>
      <c r="S371" t="s">
        <v>320</v>
      </c>
      <c r="T371" t="s">
        <v>320</v>
      </c>
      <c r="U371" t="s">
        <v>320</v>
      </c>
      <c r="V371" t="s">
        <v>320</v>
      </c>
      <c r="W371" t="s">
        <v>320</v>
      </c>
      <c r="X371" t="s">
        <v>320</v>
      </c>
      <c r="Y371" t="s">
        <v>320</v>
      </c>
      <c r="Z371" t="s">
        <v>320</v>
      </c>
      <c r="AA371" t="s">
        <v>320</v>
      </c>
      <c r="AB371" t="s">
        <v>320</v>
      </c>
    </row>
    <row r="372" spans="1:28">
      <c r="A372">
        <v>10</v>
      </c>
      <c r="B372" t="s">
        <v>671</v>
      </c>
      <c r="C372">
        <v>46036</v>
      </c>
      <c r="D372">
        <v>46049</v>
      </c>
      <c r="E372" t="s">
        <v>1079</v>
      </c>
      <c r="F372" t="s">
        <v>506</v>
      </c>
      <c r="G372">
        <v>51500</v>
      </c>
      <c r="H372" t="s">
        <v>596</v>
      </c>
      <c r="I372" t="s">
        <v>306</v>
      </c>
      <c r="J372">
        <v>5</v>
      </c>
      <c r="K372">
        <v>4.5</v>
      </c>
      <c r="L372">
        <v>18</v>
      </c>
      <c r="M372" t="s">
        <v>320</v>
      </c>
      <c r="N372" t="s">
        <v>320</v>
      </c>
      <c r="O372" t="s">
        <v>320</v>
      </c>
      <c r="P372" t="s">
        <v>320</v>
      </c>
      <c r="Q372" t="s">
        <v>320</v>
      </c>
      <c r="R372" t="s">
        <v>320</v>
      </c>
      <c r="S372" t="s">
        <v>320</v>
      </c>
      <c r="T372" t="s">
        <v>320</v>
      </c>
      <c r="U372" t="s">
        <v>320</v>
      </c>
      <c r="V372" t="s">
        <v>320</v>
      </c>
      <c r="W372" t="s">
        <v>320</v>
      </c>
      <c r="X372" t="s">
        <v>320</v>
      </c>
      <c r="Y372" t="s">
        <v>320</v>
      </c>
      <c r="Z372" t="s">
        <v>320</v>
      </c>
      <c r="AA372" t="s">
        <v>320</v>
      </c>
      <c r="AB372" t="s">
        <v>320</v>
      </c>
    </row>
    <row r="373" spans="1:28">
      <c r="A373">
        <v>11</v>
      </c>
      <c r="B373" t="s">
        <v>671</v>
      </c>
      <c r="C373">
        <v>46036</v>
      </c>
      <c r="D373">
        <v>46049</v>
      </c>
      <c r="E373" t="s">
        <v>1079</v>
      </c>
      <c r="F373" t="s">
        <v>465</v>
      </c>
      <c r="G373">
        <v>51508</v>
      </c>
      <c r="H373" t="s">
        <v>1132</v>
      </c>
      <c r="I373" t="s">
        <v>306</v>
      </c>
      <c r="J373">
        <v>3</v>
      </c>
      <c r="K373">
        <v>3</v>
      </c>
      <c r="L373">
        <v>12</v>
      </c>
      <c r="M373" t="s">
        <v>320</v>
      </c>
      <c r="N373" t="s">
        <v>320</v>
      </c>
      <c r="O373" t="s">
        <v>12</v>
      </c>
      <c r="P373" t="s">
        <v>317</v>
      </c>
      <c r="Q373" t="s">
        <v>316</v>
      </c>
      <c r="R373" t="s">
        <v>317</v>
      </c>
      <c r="S373" t="s">
        <v>316</v>
      </c>
      <c r="T373" t="s">
        <v>320</v>
      </c>
      <c r="U373" t="s">
        <v>320</v>
      </c>
      <c r="V373" t="s">
        <v>320</v>
      </c>
      <c r="W373" t="s">
        <v>320</v>
      </c>
      <c r="X373" t="s">
        <v>320</v>
      </c>
      <c r="Y373" t="s">
        <v>320</v>
      </c>
      <c r="Z373" t="s">
        <v>320</v>
      </c>
      <c r="AA373" t="s">
        <v>320</v>
      </c>
      <c r="AB373" t="s">
        <v>320</v>
      </c>
    </row>
    <row r="374" spans="1:28">
      <c r="A374">
        <v>12</v>
      </c>
      <c r="B374" t="s">
        <v>671</v>
      </c>
      <c r="C374">
        <v>46036</v>
      </c>
      <c r="D374">
        <v>46049</v>
      </c>
      <c r="E374" t="s">
        <v>1079</v>
      </c>
      <c r="F374" t="s">
        <v>313</v>
      </c>
      <c r="G374">
        <v>26628</v>
      </c>
      <c r="H374" t="s">
        <v>1139</v>
      </c>
      <c r="I374" t="s">
        <v>376</v>
      </c>
      <c r="J374">
        <v>0</v>
      </c>
      <c r="K374">
        <v>0.5</v>
      </c>
      <c r="L374">
        <v>2</v>
      </c>
      <c r="M374">
        <v>46042</v>
      </c>
      <c r="N374">
        <v>46042</v>
      </c>
      <c r="O374" t="s">
        <v>12</v>
      </c>
      <c r="P374" t="s">
        <v>315</v>
      </c>
      <c r="Q374" t="s">
        <v>316</v>
      </c>
      <c r="R374" t="s">
        <v>317</v>
      </c>
      <c r="S374" t="s">
        <v>316</v>
      </c>
      <c r="T374" t="s">
        <v>1140</v>
      </c>
      <c r="U374">
        <v>46043</v>
      </c>
      <c r="V374">
        <v>46043</v>
      </c>
      <c r="W374" t="s">
        <v>316</v>
      </c>
      <c r="X374" t="s">
        <v>319</v>
      </c>
      <c r="Y374" t="s">
        <v>319</v>
      </c>
      <c r="Z374" t="s">
        <v>320</v>
      </c>
      <c r="AA374" t="s">
        <v>316</v>
      </c>
      <c r="AB374" t="s">
        <v>316</v>
      </c>
    </row>
    <row r="375" spans="1:28">
      <c r="A375">
        <v>13</v>
      </c>
      <c r="B375" t="s">
        <v>671</v>
      </c>
      <c r="C375">
        <v>46036</v>
      </c>
      <c r="D375">
        <v>46049</v>
      </c>
      <c r="E375" t="s">
        <v>1079</v>
      </c>
      <c r="F375" t="s">
        <v>313</v>
      </c>
      <c r="G375">
        <v>26388</v>
      </c>
      <c r="H375" t="s">
        <v>1143</v>
      </c>
      <c r="I375" t="s">
        <v>376</v>
      </c>
      <c r="J375">
        <v>0</v>
      </c>
      <c r="K375">
        <v>2.5</v>
      </c>
      <c r="L375">
        <v>10</v>
      </c>
      <c r="M375">
        <v>46043</v>
      </c>
      <c r="N375">
        <v>46043</v>
      </c>
      <c r="O375" t="s">
        <v>12</v>
      </c>
      <c r="P375" t="s">
        <v>315</v>
      </c>
      <c r="Q375" t="s">
        <v>316</v>
      </c>
      <c r="R375" t="s">
        <v>317</v>
      </c>
      <c r="S375" t="s">
        <v>316</v>
      </c>
      <c r="T375" t="s">
        <v>1144</v>
      </c>
      <c r="U375">
        <v>46044</v>
      </c>
      <c r="V375">
        <v>46044</v>
      </c>
      <c r="W375" t="s">
        <v>316</v>
      </c>
      <c r="X375" t="s">
        <v>319</v>
      </c>
      <c r="Y375" t="s">
        <v>319</v>
      </c>
      <c r="Z375" t="s">
        <v>320</v>
      </c>
      <c r="AA375" t="s">
        <v>316</v>
      </c>
      <c r="AB375" t="s">
        <v>316</v>
      </c>
    </row>
    <row r="376" spans="1:28">
      <c r="A376">
        <v>14</v>
      </c>
      <c r="B376" t="s">
        <v>671</v>
      </c>
      <c r="C376">
        <v>46036</v>
      </c>
      <c r="D376">
        <v>46049</v>
      </c>
      <c r="E376" t="s">
        <v>1079</v>
      </c>
      <c r="F376" t="s">
        <v>315</v>
      </c>
      <c r="G376">
        <v>51502</v>
      </c>
      <c r="H376" t="s">
        <v>668</v>
      </c>
      <c r="I376" t="s">
        <v>306</v>
      </c>
      <c r="J376">
        <v>2</v>
      </c>
      <c r="K376">
        <v>1.5</v>
      </c>
      <c r="L376">
        <v>6</v>
      </c>
      <c r="M376" t="s">
        <v>320</v>
      </c>
      <c r="N376" t="s">
        <v>320</v>
      </c>
      <c r="O376" t="s">
        <v>320</v>
      </c>
      <c r="P376" t="s">
        <v>320</v>
      </c>
      <c r="Q376" t="s">
        <v>320</v>
      </c>
      <c r="R376" t="s">
        <v>320</v>
      </c>
      <c r="S376" t="s">
        <v>320</v>
      </c>
      <c r="T376" t="s">
        <v>320</v>
      </c>
      <c r="U376" t="s">
        <v>320</v>
      </c>
      <c r="V376" t="s">
        <v>320</v>
      </c>
      <c r="W376" t="s">
        <v>320</v>
      </c>
      <c r="X376" t="s">
        <v>320</v>
      </c>
      <c r="Y376" t="s">
        <v>320</v>
      </c>
      <c r="Z376" t="s">
        <v>320</v>
      </c>
      <c r="AA376" t="s">
        <v>320</v>
      </c>
      <c r="AB376" t="s">
        <v>320</v>
      </c>
    </row>
    <row r="377" spans="1:28">
      <c r="A377">
        <v>15</v>
      </c>
      <c r="B377" t="s">
        <v>671</v>
      </c>
      <c r="C377">
        <v>46036</v>
      </c>
      <c r="D377">
        <v>46049</v>
      </c>
      <c r="E377" t="s">
        <v>1079</v>
      </c>
      <c r="F377" t="s">
        <v>1148</v>
      </c>
      <c r="G377">
        <v>51501</v>
      </c>
      <c r="H377" t="s">
        <v>1149</v>
      </c>
      <c r="I377" t="s">
        <v>306</v>
      </c>
      <c r="J377">
        <v>3</v>
      </c>
      <c r="K377">
        <v>1.625</v>
      </c>
      <c r="L377">
        <v>6.5</v>
      </c>
      <c r="M377" t="s">
        <v>320</v>
      </c>
      <c r="N377" t="s">
        <v>320</v>
      </c>
      <c r="O377" t="s">
        <v>320</v>
      </c>
      <c r="P377" t="s">
        <v>320</v>
      </c>
      <c r="Q377" t="s">
        <v>320</v>
      </c>
      <c r="R377" t="s">
        <v>320</v>
      </c>
      <c r="S377" t="s">
        <v>320</v>
      </c>
      <c r="T377" t="s">
        <v>320</v>
      </c>
      <c r="U377" t="s">
        <v>320</v>
      </c>
      <c r="V377" t="s">
        <v>320</v>
      </c>
      <c r="W377" t="s">
        <v>320</v>
      </c>
      <c r="X377" t="s">
        <v>320</v>
      </c>
      <c r="Y377" t="s">
        <v>320</v>
      </c>
      <c r="Z377" t="s">
        <v>320</v>
      </c>
      <c r="AA377" t="s">
        <v>320</v>
      </c>
      <c r="AB377" t="s">
        <v>320</v>
      </c>
    </row>
    <row r="378" spans="1:28">
      <c r="A378">
        <v>16</v>
      </c>
      <c r="B378" t="s">
        <v>671</v>
      </c>
      <c r="C378">
        <v>46036</v>
      </c>
      <c r="D378">
        <v>46049</v>
      </c>
      <c r="E378" t="s">
        <v>1079</v>
      </c>
      <c r="F378" t="s">
        <v>465</v>
      </c>
      <c r="G378">
        <v>51503</v>
      </c>
      <c r="H378" t="s">
        <v>1152</v>
      </c>
      <c r="I378" t="s">
        <v>306</v>
      </c>
      <c r="M378" t="s">
        <v>320</v>
      </c>
      <c r="N378" t="s">
        <v>320</v>
      </c>
      <c r="O378" t="s">
        <v>320</v>
      </c>
      <c r="P378" t="s">
        <v>320</v>
      </c>
      <c r="Q378" t="s">
        <v>320</v>
      </c>
      <c r="R378" t="s">
        <v>320</v>
      </c>
      <c r="S378" t="s">
        <v>320</v>
      </c>
      <c r="T378" t="s">
        <v>320</v>
      </c>
      <c r="U378" t="s">
        <v>320</v>
      </c>
      <c r="V378" t="s">
        <v>320</v>
      </c>
      <c r="W378" t="s">
        <v>320</v>
      </c>
      <c r="X378" t="s">
        <v>320</v>
      </c>
      <c r="Y378" t="s">
        <v>320</v>
      </c>
      <c r="Z378" t="s">
        <v>320</v>
      </c>
      <c r="AA378" t="s">
        <v>320</v>
      </c>
      <c r="AB378" t="s">
        <v>320</v>
      </c>
    </row>
    <row r="379" spans="1:28">
      <c r="A379">
        <v>17</v>
      </c>
      <c r="B379" t="s">
        <v>671</v>
      </c>
      <c r="C379">
        <v>46036</v>
      </c>
      <c r="D379">
        <v>46049</v>
      </c>
      <c r="E379" t="s">
        <v>1079</v>
      </c>
      <c r="F379" t="s">
        <v>315</v>
      </c>
      <c r="G379" t="s">
        <v>1154</v>
      </c>
      <c r="H379" t="s">
        <v>1155</v>
      </c>
      <c r="I379" t="s">
        <v>306</v>
      </c>
      <c r="J379">
        <v>0</v>
      </c>
      <c r="K379">
        <v>0.625</v>
      </c>
      <c r="L379">
        <v>2.5</v>
      </c>
      <c r="M379">
        <v>46044</v>
      </c>
      <c r="N379">
        <v>46044</v>
      </c>
      <c r="O379" t="s">
        <v>320</v>
      </c>
      <c r="P379" t="s">
        <v>320</v>
      </c>
      <c r="Q379" t="s">
        <v>320</v>
      </c>
      <c r="R379" t="s">
        <v>320</v>
      </c>
      <c r="S379" t="s">
        <v>320</v>
      </c>
      <c r="T379" t="s">
        <v>320</v>
      </c>
      <c r="U379" t="s">
        <v>320</v>
      </c>
      <c r="V379" t="s">
        <v>320</v>
      </c>
      <c r="W379" t="s">
        <v>320</v>
      </c>
      <c r="X379" t="s">
        <v>320</v>
      </c>
      <c r="Y379" t="s">
        <v>320</v>
      </c>
      <c r="Z379" t="s">
        <v>320</v>
      </c>
      <c r="AA379" t="s">
        <v>320</v>
      </c>
      <c r="AB379" t="s">
        <v>320</v>
      </c>
    </row>
    <row r="380" spans="1:28">
      <c r="A380">
        <v>18</v>
      </c>
      <c r="B380" t="s">
        <v>671</v>
      </c>
      <c r="C380">
        <v>46036</v>
      </c>
      <c r="D380">
        <v>46049</v>
      </c>
      <c r="E380" t="s">
        <v>1159</v>
      </c>
      <c r="F380" t="s">
        <v>465</v>
      </c>
      <c r="G380">
        <v>51599</v>
      </c>
      <c r="H380" t="s">
        <v>1160</v>
      </c>
      <c r="I380" t="s">
        <v>503</v>
      </c>
      <c r="J380">
        <v>2</v>
      </c>
      <c r="K380">
        <v>2</v>
      </c>
      <c r="L380">
        <v>8</v>
      </c>
      <c r="M380" t="s">
        <v>320</v>
      </c>
      <c r="N380" t="s">
        <v>320</v>
      </c>
      <c r="O380" t="s">
        <v>320</v>
      </c>
      <c r="P380" t="s">
        <v>320</v>
      </c>
      <c r="Q380" t="s">
        <v>320</v>
      </c>
      <c r="R380" t="s">
        <v>320</v>
      </c>
      <c r="S380" t="s">
        <v>320</v>
      </c>
      <c r="T380" t="s">
        <v>320</v>
      </c>
      <c r="U380" t="s">
        <v>320</v>
      </c>
      <c r="V380" t="s">
        <v>320</v>
      </c>
      <c r="W380" t="s">
        <v>320</v>
      </c>
      <c r="X380" t="s">
        <v>320</v>
      </c>
      <c r="Y380" t="s">
        <v>320</v>
      </c>
      <c r="Z380" t="s">
        <v>320</v>
      </c>
      <c r="AA380" t="s">
        <v>320</v>
      </c>
      <c r="AB380" t="s">
        <v>320</v>
      </c>
    </row>
    <row r="381" spans="1:28">
      <c r="A381">
        <v>19</v>
      </c>
      <c r="B381" t="s">
        <v>671</v>
      </c>
      <c r="C381">
        <v>46036</v>
      </c>
      <c r="D381">
        <v>46049</v>
      </c>
      <c r="E381" t="s">
        <v>1079</v>
      </c>
      <c r="F381" t="s">
        <v>315</v>
      </c>
      <c r="G381">
        <v>26653</v>
      </c>
      <c r="H381" t="s">
        <v>1163</v>
      </c>
      <c r="I381" t="s">
        <v>376</v>
      </c>
      <c r="J381">
        <v>0</v>
      </c>
      <c r="K381">
        <v>0.75</v>
      </c>
      <c r="L381">
        <v>3</v>
      </c>
      <c r="M381">
        <v>46045</v>
      </c>
      <c r="N381">
        <v>46045</v>
      </c>
      <c r="O381" t="s">
        <v>12</v>
      </c>
      <c r="P381" t="s">
        <v>313</v>
      </c>
      <c r="Q381" t="s">
        <v>316</v>
      </c>
      <c r="R381" t="s">
        <v>317</v>
      </c>
      <c r="S381" t="s">
        <v>316</v>
      </c>
      <c r="T381" t="s">
        <v>1164</v>
      </c>
      <c r="U381">
        <v>46045</v>
      </c>
      <c r="V381">
        <v>46045</v>
      </c>
      <c r="W381" t="s">
        <v>316</v>
      </c>
      <c r="X381" t="s">
        <v>319</v>
      </c>
      <c r="Y381" t="s">
        <v>319</v>
      </c>
      <c r="Z381" t="s">
        <v>320</v>
      </c>
      <c r="AA381" t="s">
        <v>316</v>
      </c>
      <c r="AB381" t="s">
        <v>316</v>
      </c>
    </row>
    <row r="382" spans="1:28">
      <c r="A382">
        <v>20</v>
      </c>
      <c r="B382" t="s">
        <v>671</v>
      </c>
      <c r="C382">
        <v>46036</v>
      </c>
      <c r="D382">
        <v>46049</v>
      </c>
      <c r="E382" t="s">
        <v>1079</v>
      </c>
      <c r="F382" t="s">
        <v>315</v>
      </c>
      <c r="G382">
        <v>26665</v>
      </c>
      <c r="H382" t="s">
        <v>1103</v>
      </c>
      <c r="I382" t="s">
        <v>376</v>
      </c>
      <c r="J382">
        <v>0</v>
      </c>
      <c r="K382">
        <v>0</v>
      </c>
      <c r="L382">
        <v>0</v>
      </c>
      <c r="M382">
        <v>46036</v>
      </c>
      <c r="N382">
        <v>46041</v>
      </c>
      <c r="O382" t="s">
        <v>12</v>
      </c>
      <c r="P382" t="s">
        <v>313</v>
      </c>
      <c r="Q382" t="s">
        <v>316</v>
      </c>
      <c r="R382" t="s">
        <v>317</v>
      </c>
      <c r="S382" t="s">
        <v>316</v>
      </c>
      <c r="T382" t="s">
        <v>1104</v>
      </c>
      <c r="U382">
        <v>46043</v>
      </c>
      <c r="V382">
        <v>46043</v>
      </c>
      <c r="W382" t="s">
        <v>316</v>
      </c>
      <c r="X382" t="s">
        <v>319</v>
      </c>
      <c r="Y382" t="s">
        <v>319</v>
      </c>
      <c r="Z382" t="s">
        <v>320</v>
      </c>
      <c r="AA382" t="s">
        <v>316</v>
      </c>
      <c r="AB382" t="s">
        <v>316</v>
      </c>
    </row>
    <row r="383" spans="1:28">
      <c r="A383">
        <v>21</v>
      </c>
      <c r="B383" t="s">
        <v>671</v>
      </c>
      <c r="C383">
        <v>46036</v>
      </c>
      <c r="D383">
        <v>46049</v>
      </c>
      <c r="E383" t="s">
        <v>1079</v>
      </c>
      <c r="F383" t="s">
        <v>315</v>
      </c>
      <c r="G383">
        <v>26662</v>
      </c>
      <c r="H383" t="s">
        <v>1167</v>
      </c>
      <c r="I383" t="s">
        <v>348</v>
      </c>
      <c r="J383">
        <v>0</v>
      </c>
      <c r="K383">
        <v>1</v>
      </c>
      <c r="L383">
        <v>4</v>
      </c>
      <c r="M383">
        <v>46049</v>
      </c>
      <c r="N383" t="s">
        <v>320</v>
      </c>
      <c r="O383" t="s">
        <v>320</v>
      </c>
      <c r="P383" t="s">
        <v>320</v>
      </c>
      <c r="Q383" t="s">
        <v>320</v>
      </c>
      <c r="R383" t="s">
        <v>320</v>
      </c>
      <c r="S383" t="s">
        <v>320</v>
      </c>
      <c r="T383" t="s">
        <v>320</v>
      </c>
      <c r="U383" t="s">
        <v>320</v>
      </c>
      <c r="V383" t="s">
        <v>320</v>
      </c>
      <c r="W383" t="s">
        <v>320</v>
      </c>
      <c r="X383" t="s">
        <v>320</v>
      </c>
      <c r="Y383" t="s">
        <v>320</v>
      </c>
      <c r="Z383" t="s">
        <v>320</v>
      </c>
      <c r="AA383" t="s">
        <v>320</v>
      </c>
      <c r="AB383" t="s">
        <v>320</v>
      </c>
    </row>
    <row r="384" spans="1:28">
      <c r="A384">
        <v>1</v>
      </c>
      <c r="B384" t="s">
        <v>671</v>
      </c>
      <c r="C384">
        <v>46050</v>
      </c>
      <c r="D384">
        <v>46063</v>
      </c>
      <c r="E384" t="s">
        <v>1172</v>
      </c>
      <c r="F384" t="s">
        <v>465</v>
      </c>
      <c r="G384">
        <v>51599</v>
      </c>
      <c r="H384" t="s">
        <v>1160</v>
      </c>
      <c r="I384" t="s">
        <v>306</v>
      </c>
      <c r="J384">
        <v>2</v>
      </c>
      <c r="M384" t="s">
        <v>320</v>
      </c>
      <c r="N384" t="s">
        <v>320</v>
      </c>
      <c r="O384" t="s">
        <v>320</v>
      </c>
      <c r="P384" t="s">
        <v>320</v>
      </c>
      <c r="Q384" t="s">
        <v>320</v>
      </c>
      <c r="R384" t="s">
        <v>320</v>
      </c>
      <c r="S384" t="s">
        <v>320</v>
      </c>
      <c r="T384" t="s">
        <v>320</v>
      </c>
      <c r="U384" t="s">
        <v>320</v>
      </c>
      <c r="V384" t="s">
        <v>320</v>
      </c>
      <c r="W384" t="s">
        <v>320</v>
      </c>
      <c r="X384" t="s">
        <v>320</v>
      </c>
      <c r="Y384" t="s">
        <v>320</v>
      </c>
      <c r="Z384" t="s">
        <v>320</v>
      </c>
      <c r="AA384" t="s">
        <v>320</v>
      </c>
      <c r="AB384" t="s">
        <v>320</v>
      </c>
    </row>
    <row r="385" spans="1:28">
      <c r="A385">
        <v>2</v>
      </c>
      <c r="B385" t="s">
        <v>671</v>
      </c>
      <c r="C385">
        <v>46050</v>
      </c>
      <c r="D385">
        <v>46063</v>
      </c>
      <c r="E385" t="s">
        <v>1172</v>
      </c>
      <c r="F385" t="s">
        <v>313</v>
      </c>
      <c r="G385">
        <v>26662</v>
      </c>
      <c r="H385" t="s">
        <v>1167</v>
      </c>
      <c r="I385" t="s">
        <v>376</v>
      </c>
      <c r="J385">
        <v>3</v>
      </c>
      <c r="M385">
        <v>46050</v>
      </c>
      <c r="N385">
        <v>46050</v>
      </c>
      <c r="O385" t="s">
        <v>320</v>
      </c>
      <c r="P385" t="s">
        <v>320</v>
      </c>
      <c r="Q385" t="s">
        <v>320</v>
      </c>
      <c r="R385" t="s">
        <v>320</v>
      </c>
      <c r="S385" t="s">
        <v>320</v>
      </c>
      <c r="T385" t="s">
        <v>320</v>
      </c>
      <c r="U385" t="s">
        <v>320</v>
      </c>
      <c r="V385" t="s">
        <v>320</v>
      </c>
      <c r="W385" t="s">
        <v>320</v>
      </c>
      <c r="X385" t="s">
        <v>320</v>
      </c>
      <c r="Y385" t="s">
        <v>320</v>
      </c>
      <c r="Z385" t="s">
        <v>320</v>
      </c>
      <c r="AA385" t="s">
        <v>320</v>
      </c>
      <c r="AB385" t="s">
        <v>320</v>
      </c>
    </row>
    <row r="386" spans="1:28">
      <c r="A386">
        <v>3</v>
      </c>
      <c r="B386" t="s">
        <v>302</v>
      </c>
      <c r="C386">
        <v>46050</v>
      </c>
      <c r="D386">
        <v>46063</v>
      </c>
      <c r="E386" t="s">
        <v>1172</v>
      </c>
      <c r="F386" t="s">
        <v>317</v>
      </c>
      <c r="G386">
        <v>26658</v>
      </c>
      <c r="H386" s="100" t="s">
        <v>1111</v>
      </c>
      <c r="I386" t="s">
        <v>376</v>
      </c>
      <c r="J386">
        <v>2</v>
      </c>
      <c r="K386">
        <v>2</v>
      </c>
      <c r="L386">
        <v>5</v>
      </c>
      <c r="M386">
        <v>46050</v>
      </c>
      <c r="N386">
        <v>46051</v>
      </c>
      <c r="O386" t="s">
        <v>12</v>
      </c>
      <c r="P386" t="s">
        <v>1228</v>
      </c>
      <c r="Q386" t="s">
        <v>316</v>
      </c>
      <c r="R386" t="s">
        <v>1229</v>
      </c>
      <c r="S386" t="s">
        <v>316</v>
      </c>
      <c r="T386" t="s">
        <v>1230</v>
      </c>
      <c r="U386">
        <v>46050</v>
      </c>
      <c r="V386">
        <v>46050</v>
      </c>
      <c r="W386" t="s">
        <v>320</v>
      </c>
      <c r="X386" t="s">
        <v>320</v>
      </c>
      <c r="Y386" t="s">
        <v>320</v>
      </c>
      <c r="Z386" t="s">
        <v>320</v>
      </c>
      <c r="AA386" t="s">
        <v>320</v>
      </c>
      <c r="AB386" t="s">
        <v>320</v>
      </c>
    </row>
    <row r="387" spans="1:28">
      <c r="A387">
        <v>4</v>
      </c>
      <c r="B387" t="s">
        <v>302</v>
      </c>
      <c r="C387">
        <v>46050</v>
      </c>
      <c r="D387">
        <v>46063</v>
      </c>
      <c r="E387" t="s">
        <v>1172</v>
      </c>
      <c r="F387" t="s">
        <v>465</v>
      </c>
      <c r="G387">
        <v>51706</v>
      </c>
      <c r="H387" t="s">
        <v>1236</v>
      </c>
      <c r="I387" t="s">
        <v>399</v>
      </c>
      <c r="J387">
        <v>3</v>
      </c>
    </row>
    <row r="388" spans="1:28">
      <c r="A388">
        <v>5</v>
      </c>
      <c r="B388" t="s">
        <v>302</v>
      </c>
      <c r="C388">
        <v>46050</v>
      </c>
      <c r="D388">
        <v>46063</v>
      </c>
      <c r="E388" t="s">
        <v>1172</v>
      </c>
      <c r="F388" t="s">
        <v>313</v>
      </c>
      <c r="G388">
        <v>50622</v>
      </c>
      <c r="H388" t="s">
        <v>1245</v>
      </c>
      <c r="I388" t="s">
        <v>306</v>
      </c>
      <c r="J388">
        <v>3</v>
      </c>
      <c r="M388">
        <v>46051</v>
      </c>
      <c r="N388">
        <v>46051</v>
      </c>
      <c r="O388" t="s">
        <v>12</v>
      </c>
      <c r="P388" t="s">
        <v>315</v>
      </c>
      <c r="Q388" t="s">
        <v>316</v>
      </c>
      <c r="R388" t="s">
        <v>317</v>
      </c>
      <c r="S388" t="s">
        <v>316</v>
      </c>
      <c r="T388" t="s">
        <v>1246</v>
      </c>
      <c r="U388">
        <v>46051</v>
      </c>
      <c r="V388">
        <v>46051</v>
      </c>
      <c r="W388" t="s">
        <v>316</v>
      </c>
      <c r="X388" t="s">
        <v>319</v>
      </c>
      <c r="Y388" t="s">
        <v>319</v>
      </c>
      <c r="Z388" t="s">
        <v>320</v>
      </c>
      <c r="AA388" t="s">
        <v>316</v>
      </c>
      <c r="AB388" t="s">
        <v>316</v>
      </c>
    </row>
    <row r="389" spans="1:28">
      <c r="A389">
        <v>6</v>
      </c>
      <c r="B389" t="s">
        <v>302</v>
      </c>
      <c r="C389">
        <v>46050</v>
      </c>
      <c r="D389">
        <v>46063</v>
      </c>
      <c r="E389" t="s">
        <v>1172</v>
      </c>
      <c r="F389" t="s">
        <v>315</v>
      </c>
      <c r="G389" t="s">
        <v>1176</v>
      </c>
      <c r="H389" t="s">
        <v>1177</v>
      </c>
      <c r="I389" t="s">
        <v>376</v>
      </c>
      <c r="J389">
        <v>5</v>
      </c>
      <c r="M389">
        <v>46051</v>
      </c>
      <c r="O389" t="s">
        <v>12</v>
      </c>
      <c r="P389" t="s">
        <v>313</v>
      </c>
      <c r="Q389" t="s">
        <v>316</v>
      </c>
      <c r="R389" t="s">
        <v>317</v>
      </c>
      <c r="S389" t="s">
        <v>316</v>
      </c>
      <c r="T389" t="s">
        <v>1249</v>
      </c>
      <c r="U389">
        <v>46052</v>
      </c>
      <c r="V389">
        <v>46052</v>
      </c>
      <c r="W389" t="s">
        <v>316</v>
      </c>
      <c r="X389" t="s">
        <v>319</v>
      </c>
      <c r="Y389" t="s">
        <v>319</v>
      </c>
      <c r="Z389" t="s">
        <v>320</v>
      </c>
      <c r="AA389" t="s">
        <v>316</v>
      </c>
      <c r="AB389" t="s">
        <v>316</v>
      </c>
    </row>
    <row r="390" spans="1:28">
      <c r="A390">
        <v>7</v>
      </c>
      <c r="B390" t="s">
        <v>302</v>
      </c>
      <c r="C390">
        <v>46050</v>
      </c>
      <c r="D390">
        <v>46063</v>
      </c>
      <c r="E390" t="s">
        <v>1172</v>
      </c>
      <c r="F390" t="s">
        <v>313</v>
      </c>
      <c r="G390">
        <v>26687</v>
      </c>
      <c r="H390" t="s">
        <v>1179</v>
      </c>
      <c r="I390" t="s">
        <v>376</v>
      </c>
      <c r="J390">
        <v>3</v>
      </c>
      <c r="M390">
        <v>46052</v>
      </c>
      <c r="N390">
        <v>46055</v>
      </c>
      <c r="O390" t="s">
        <v>320</v>
      </c>
      <c r="P390" t="s">
        <v>320</v>
      </c>
      <c r="Q390" t="s">
        <v>320</v>
      </c>
      <c r="R390" t="s">
        <v>320</v>
      </c>
      <c r="S390" t="s">
        <v>320</v>
      </c>
      <c r="T390" t="s">
        <v>320</v>
      </c>
      <c r="U390" t="s">
        <v>320</v>
      </c>
      <c r="V390" t="s">
        <v>320</v>
      </c>
      <c r="W390" t="s">
        <v>320</v>
      </c>
      <c r="X390" t="s">
        <v>320</v>
      </c>
      <c r="Y390" t="s">
        <v>320</v>
      </c>
      <c r="Z390" t="s">
        <v>320</v>
      </c>
      <c r="AA390" t="s">
        <v>320</v>
      </c>
      <c r="AB390" t="s">
        <v>320</v>
      </c>
    </row>
    <row r="391" spans="1:28">
      <c r="A391">
        <v>8</v>
      </c>
      <c r="B391" t="s">
        <v>302</v>
      </c>
      <c r="C391">
        <v>46050</v>
      </c>
      <c r="D391">
        <v>46063</v>
      </c>
      <c r="E391" t="s">
        <v>1172</v>
      </c>
      <c r="F391" t="s">
        <v>317</v>
      </c>
      <c r="G391" t="s">
        <v>1181</v>
      </c>
      <c r="H391" t="s">
        <v>1182</v>
      </c>
      <c r="I391" t="s">
        <v>1262</v>
      </c>
      <c r="J391">
        <v>0</v>
      </c>
      <c r="M391">
        <v>46051</v>
      </c>
      <c r="N391">
        <v>46052</v>
      </c>
      <c r="O391" t="s">
        <v>12</v>
      </c>
      <c r="P391" t="s">
        <v>315</v>
      </c>
      <c r="Q391" t="s">
        <v>316</v>
      </c>
      <c r="R391" t="s">
        <v>1229</v>
      </c>
      <c r="S391" t="s">
        <v>316</v>
      </c>
      <c r="T391" t="s">
        <v>1263</v>
      </c>
      <c r="U391">
        <v>46052</v>
      </c>
      <c r="V391">
        <v>46053</v>
      </c>
      <c r="W391" t="s">
        <v>316</v>
      </c>
      <c r="X391" t="s">
        <v>319</v>
      </c>
      <c r="Y391" t="s">
        <v>1264</v>
      </c>
      <c r="Z391" t="s">
        <v>1264</v>
      </c>
      <c r="AA391" t="s">
        <v>1264</v>
      </c>
      <c r="AB391" t="s">
        <v>1264</v>
      </c>
    </row>
    <row r="392" spans="1:28">
      <c r="A392">
        <v>9</v>
      </c>
      <c r="B392" t="s">
        <v>302</v>
      </c>
      <c r="C392">
        <v>46050</v>
      </c>
      <c r="D392">
        <v>46063</v>
      </c>
      <c r="E392" t="s">
        <v>1172</v>
      </c>
      <c r="F392" t="s">
        <v>1184</v>
      </c>
      <c r="G392" t="s">
        <v>1115</v>
      </c>
      <c r="H392" t="s">
        <v>1185</v>
      </c>
      <c r="I392" t="s">
        <v>1262</v>
      </c>
      <c r="J392">
        <v>0</v>
      </c>
      <c r="M392">
        <v>46006</v>
      </c>
      <c r="N392">
        <v>46052</v>
      </c>
      <c r="O392" t="s">
        <v>320</v>
      </c>
      <c r="P392" t="s">
        <v>320</v>
      </c>
      <c r="Q392" t="s">
        <v>320</v>
      </c>
      <c r="R392" t="s">
        <v>320</v>
      </c>
      <c r="S392" t="s">
        <v>320</v>
      </c>
      <c r="T392" t="s">
        <v>320</v>
      </c>
      <c r="U392" t="s">
        <v>320</v>
      </c>
      <c r="V392" t="s">
        <v>320</v>
      </c>
      <c r="W392" t="s">
        <v>320</v>
      </c>
      <c r="X392" t="s">
        <v>320</v>
      </c>
      <c r="Y392" t="s">
        <v>320</v>
      </c>
      <c r="Z392" t="s">
        <v>320</v>
      </c>
      <c r="AA392" t="s">
        <v>320</v>
      </c>
      <c r="AB392" t="s">
        <v>320</v>
      </c>
    </row>
    <row r="393" spans="1:28">
      <c r="A393">
        <v>10</v>
      </c>
      <c r="B393" t="s">
        <v>302</v>
      </c>
      <c r="C393">
        <v>46050</v>
      </c>
      <c r="D393">
        <v>46063</v>
      </c>
      <c r="E393" t="s">
        <v>1188</v>
      </c>
      <c r="F393" t="s">
        <v>315</v>
      </c>
      <c r="G393" t="s">
        <v>1273</v>
      </c>
      <c r="H393" t="s">
        <v>1274</v>
      </c>
      <c r="I393" t="s">
        <v>399</v>
      </c>
      <c r="J393">
        <v>5</v>
      </c>
      <c r="M393">
        <v>46056</v>
      </c>
    </row>
    <row r="394" spans="1:28">
      <c r="A394">
        <v>11</v>
      </c>
      <c r="B394" t="s">
        <v>302</v>
      </c>
      <c r="C394">
        <v>46050</v>
      </c>
      <c r="D394">
        <v>46063</v>
      </c>
      <c r="E394" t="s">
        <v>1172</v>
      </c>
      <c r="F394" t="s">
        <v>317</v>
      </c>
      <c r="G394">
        <v>51683</v>
      </c>
      <c r="H394" t="s">
        <v>1280</v>
      </c>
      <c r="I394" t="s">
        <v>399</v>
      </c>
      <c r="J394">
        <v>5</v>
      </c>
      <c r="M394">
        <v>46055</v>
      </c>
    </row>
    <row r="395" spans="1:28">
      <c r="A395">
        <v>12</v>
      </c>
      <c r="B395" t="s">
        <v>302</v>
      </c>
      <c r="C395">
        <v>46050</v>
      </c>
      <c r="D395">
        <v>46063</v>
      </c>
      <c r="E395" t="s">
        <v>1188</v>
      </c>
      <c r="F395" t="s">
        <v>313</v>
      </c>
      <c r="G395">
        <v>26725</v>
      </c>
      <c r="H395" t="s">
        <v>1189</v>
      </c>
      <c r="I395" t="s">
        <v>1068</v>
      </c>
      <c r="J395">
        <v>3</v>
      </c>
      <c r="M395">
        <v>46056</v>
      </c>
      <c r="N395">
        <v>46057</v>
      </c>
      <c r="O395" t="s">
        <v>12</v>
      </c>
      <c r="P395" t="s">
        <v>315</v>
      </c>
      <c r="Q395" t="s">
        <v>316</v>
      </c>
      <c r="R395" t="s">
        <v>317</v>
      </c>
      <c r="S395" t="s">
        <v>316</v>
      </c>
      <c r="T395" t="s">
        <v>1287</v>
      </c>
      <c r="U395">
        <v>46057</v>
      </c>
      <c r="V395">
        <v>46057</v>
      </c>
      <c r="W395" t="s">
        <v>316</v>
      </c>
      <c r="X395" t="s">
        <v>319</v>
      </c>
      <c r="Y395" t="s">
        <v>319</v>
      </c>
      <c r="Z395" t="s">
        <v>320</v>
      </c>
      <c r="AA395" t="s">
        <v>316</v>
      </c>
      <c r="AB395" t="s">
        <v>316</v>
      </c>
    </row>
    <row r="396" spans="1:28">
      <c r="A396">
        <v>13</v>
      </c>
      <c r="B396" t="s">
        <v>302</v>
      </c>
      <c r="C396">
        <v>46050</v>
      </c>
      <c r="D396">
        <v>46063</v>
      </c>
      <c r="E396" t="s">
        <v>1172</v>
      </c>
      <c r="F396" t="s">
        <v>313</v>
      </c>
      <c r="G396">
        <v>87259</v>
      </c>
      <c r="H396" t="s">
        <v>1291</v>
      </c>
      <c r="I396" t="s">
        <v>306</v>
      </c>
      <c r="M396" t="s">
        <v>320</v>
      </c>
      <c r="N396" t="s">
        <v>320</v>
      </c>
      <c r="O396" t="s">
        <v>320</v>
      </c>
      <c r="P396" t="s">
        <v>320</v>
      </c>
      <c r="Q396" t="s">
        <v>320</v>
      </c>
      <c r="R396" t="s">
        <v>320</v>
      </c>
      <c r="S396" t="s">
        <v>320</v>
      </c>
      <c r="T396" t="s">
        <v>320</v>
      </c>
      <c r="U396" t="s">
        <v>320</v>
      </c>
      <c r="V396" t="s">
        <v>320</v>
      </c>
      <c r="W396" t="s">
        <v>320</v>
      </c>
      <c r="X396" t="s">
        <v>320</v>
      </c>
      <c r="Y396" t="s">
        <v>320</v>
      </c>
      <c r="Z396" t="s">
        <v>320</v>
      </c>
      <c r="AA396" t="s">
        <v>320</v>
      </c>
      <c r="AB396" t="s">
        <v>320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SFBVPM32UOPROQ6YSRFJY6TUX27OQLWC:ms-officescript%3A%2F%2Fonedrive_business_sharinglink%2Fu!aHR0cHM6Ly9yZWxldmFudHp0ZWNoLW15LnNoYXJlcG9pbnQuY29tLzp1Oi9nL3BlcnNvbmFsL2dhbmFwYXRoaXJhbWFuX2JhbGFzdWJyYW1hbmlhbl9yZWxldmFudHpfY29tL0VYcWpueGREMkpSS25IcDB2cjdvTHNJQlNVdFB3c25jd01xM1NZZkNpeEU4Qmc"/>
</scriptIds>
</file>

<file path=customXml/itemProps1.xml><?xml version="1.0" encoding="utf-8"?>
<ds:datastoreItem xmlns:ds="http://schemas.openxmlformats.org/officeDocument/2006/customXml" ds:itemID="{4B7DCEF3-AAE4-462F-B711-705E37E6EC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2024-02-13T06:39:44Z</dcterms:created>
  <dcterms:modified xsi:type="dcterms:W3CDTF">2026-05-17T10:35:25Z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2026-03-27T12:06:45Z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21277491-3229-410c-9451-78a8c240227b</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